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tables/table3.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E:\"/>
    </mc:Choice>
  </mc:AlternateContent>
  <xr:revisionPtr revIDLastSave="0" documentId="8_{0BFDAE72-872E-4D55-B76B-D63ADD92DE2B}" xr6:coauthVersionLast="47" xr6:coauthVersionMax="47" xr10:uidLastSave="{00000000-0000-0000-0000-000000000000}"/>
  <bookViews>
    <workbookView xWindow="-108" yWindow="-108" windowWidth="23256" windowHeight="12456" xr2:uid="{A1DC580C-3E01-41BF-BEED-9BB6AD6F242D}"/>
  </bookViews>
  <sheets>
    <sheet name="student_performance_updated_100" sheetId="1" r:id="rId1"/>
    <sheet name="Summary" sheetId="3" r:id="rId2"/>
    <sheet name="Remarks Pivot Table" sheetId="8" r:id="rId3"/>
    <sheet name="REMARKS" sheetId="7" r:id="rId4"/>
    <sheet name="Analysis" sheetId="5" r:id="rId5"/>
    <sheet name="Attendance v Final Grade" sheetId="9" r:id="rId6"/>
    <sheet name="Parent Support v Final Grade" sheetId="4" r:id="rId7"/>
    <sheet name="Parent Support PV table" sheetId="2" r:id="rId8"/>
    <sheet name="Dashboard" sheetId="13" r:id="rId9"/>
  </sheets>
  <definedNames>
    <definedName name="_xlnm._FilterDatabase" localSheetId="0" hidden="1">student_performance_updated_100!$A$1:$J$1001</definedName>
    <definedName name="ExternalData_1" localSheetId="3" hidden="1">'REMARKS'!$B$1:$H$1001</definedName>
    <definedName name="Slicer_AttendanceRate">#N/A</definedName>
    <definedName name="Slicer_Online_Classes_Taken">#N/A</definedName>
    <definedName name="Slicer_ParentalSupport">#N/A</definedName>
    <definedName name="Slicer_ParentalSupport1">#N/A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5" l="1" a="1"/>
  <c r="E2" i="5" s="1"/>
  <c r="E3" i="5" a="1"/>
  <c r="E3" i="5" s="1"/>
  <c r="E4" i="5" a="1"/>
  <c r="E4" i="5" s="1"/>
  <c r="E5" i="5" a="1"/>
  <c r="E5" i="5" s="1"/>
  <c r="E6" i="5" a="1"/>
  <c r="E6" i="5" s="1"/>
  <c r="E7" i="5" a="1"/>
  <c r="E7" i="5" s="1"/>
  <c r="E8" i="5" a="1"/>
  <c r="E8" i="5" s="1"/>
  <c r="E9" i="5" a="1"/>
  <c r="E9" i="5" s="1"/>
  <c r="E10" i="5" a="1"/>
  <c r="E10" i="5" s="1"/>
  <c r="I8" i="5" s="1"/>
  <c r="E11" i="5" a="1"/>
  <c r="E11" i="5" s="1"/>
  <c r="E12" i="5" a="1"/>
  <c r="E12" i="5" s="1"/>
  <c r="E13" i="5" a="1"/>
  <c r="E13" i="5" s="1"/>
  <c r="E14" i="5" a="1"/>
  <c r="E14" i="5" s="1"/>
  <c r="E15" i="5" a="1"/>
  <c r="E15" i="5" s="1"/>
  <c r="E16" i="5" a="1"/>
  <c r="E16" i="5" s="1"/>
  <c r="E17" i="5" a="1"/>
  <c r="E17" i="5" s="1"/>
  <c r="E18" i="5" a="1"/>
  <c r="E18" i="5" s="1"/>
  <c r="E19" i="5" a="1"/>
  <c r="E19" i="5" s="1"/>
  <c r="E20" i="5" a="1"/>
  <c r="E20" i="5" s="1"/>
  <c r="E21" i="5" a="1"/>
  <c r="E21" i="5" s="1"/>
  <c r="E22" i="5" a="1"/>
  <c r="E22" i="5" s="1"/>
  <c r="E23" i="5" a="1"/>
  <c r="E23" i="5" s="1"/>
  <c r="E24" i="5" a="1"/>
  <c r="E24" i="5" s="1"/>
  <c r="E25" i="5" a="1"/>
  <c r="E25" i="5" s="1"/>
  <c r="E26" i="5" a="1"/>
  <c r="E26" i="5" s="1"/>
  <c r="E27" i="5" a="1"/>
  <c r="E27" i="5" s="1"/>
  <c r="E28" i="5" a="1"/>
  <c r="E28" i="5" s="1"/>
  <c r="E29" i="5" a="1"/>
  <c r="E29" i="5" s="1"/>
  <c r="E30" i="5" a="1"/>
  <c r="E30" i="5" s="1"/>
  <c r="E31" i="5" a="1"/>
  <c r="E31" i="5" s="1"/>
  <c r="E32" i="5" a="1"/>
  <c r="E32" i="5" s="1"/>
  <c r="E33" i="5" a="1"/>
  <c r="E33" i="5" s="1"/>
  <c r="E34" i="5" a="1"/>
  <c r="E34" i="5" s="1"/>
  <c r="E35" i="5" a="1"/>
  <c r="E35" i="5" s="1"/>
  <c r="E36" i="5" a="1"/>
  <c r="E36" i="5" s="1"/>
  <c r="E37" i="5" a="1"/>
  <c r="E37" i="5" s="1"/>
  <c r="E38" i="5" a="1"/>
  <c r="E38" i="5" s="1"/>
  <c r="E39" i="5" a="1"/>
  <c r="E39" i="5" s="1"/>
  <c r="E40" i="5" a="1"/>
  <c r="E40" i="5" s="1"/>
  <c r="E41" i="5" a="1"/>
  <c r="E41" i="5" s="1"/>
  <c r="E42" i="5" a="1"/>
  <c r="E42" i="5" s="1"/>
  <c r="E43" i="5" a="1"/>
  <c r="E43" i="5" s="1"/>
  <c r="E44" i="5" a="1"/>
  <c r="E44" i="5" s="1"/>
  <c r="E45" i="5" a="1"/>
  <c r="E45" i="5" s="1"/>
  <c r="E46" i="5" a="1"/>
  <c r="E46" i="5" s="1"/>
  <c r="E47" i="5" a="1"/>
  <c r="E47" i="5" s="1"/>
  <c r="E48" i="5" a="1"/>
  <c r="E48" i="5" s="1"/>
  <c r="E49" i="5" a="1"/>
  <c r="E49" i="5" s="1"/>
  <c r="E50" i="5" a="1"/>
  <c r="E50" i="5" s="1"/>
  <c r="E51" i="5" a="1"/>
  <c r="E51" i="5" s="1"/>
  <c r="E52" i="5" a="1"/>
  <c r="E52" i="5" s="1"/>
  <c r="E53" i="5" a="1"/>
  <c r="E53" i="5" s="1"/>
  <c r="E54" i="5" a="1"/>
  <c r="E54" i="5" s="1"/>
  <c r="E55" i="5" a="1"/>
  <c r="E55" i="5" s="1"/>
  <c r="E56" i="5" a="1"/>
  <c r="E56" i="5" s="1"/>
  <c r="E57" i="5" a="1"/>
  <c r="E57" i="5" s="1"/>
  <c r="E58" i="5" a="1"/>
  <c r="E58" i="5" s="1"/>
  <c r="E59" i="5" a="1"/>
  <c r="E59" i="5" s="1"/>
  <c r="E60" i="5" a="1"/>
  <c r="E60" i="5" s="1"/>
  <c r="E61" i="5" a="1"/>
  <c r="E61" i="5" s="1"/>
  <c r="E62" i="5" a="1"/>
  <c r="E62" i="5" s="1"/>
  <c r="E63" i="5" a="1"/>
  <c r="E63" i="5" s="1"/>
  <c r="E64" i="5" a="1"/>
  <c r="E64" i="5" s="1"/>
  <c r="E65" i="5" a="1"/>
  <c r="E65" i="5" s="1"/>
  <c r="E66" i="5" a="1"/>
  <c r="E66" i="5" s="1"/>
  <c r="E67" i="5" a="1"/>
  <c r="E67" i="5" s="1"/>
  <c r="E68" i="5" a="1"/>
  <c r="E68" i="5" s="1"/>
  <c r="E69" i="5" a="1"/>
  <c r="E69" i="5" s="1"/>
  <c r="E70" i="5" a="1"/>
  <c r="E70" i="5" s="1"/>
  <c r="E71" i="5" a="1"/>
  <c r="E71" i="5" s="1"/>
  <c r="E72" i="5" a="1"/>
  <c r="E72" i="5" s="1"/>
  <c r="E73" i="5" a="1"/>
  <c r="E73" i="5" s="1"/>
  <c r="E74" i="5" a="1"/>
  <c r="E74" i="5" s="1"/>
  <c r="E75" i="5" a="1"/>
  <c r="E75" i="5" s="1"/>
  <c r="E76" i="5" a="1"/>
  <c r="E76" i="5" s="1"/>
  <c r="E77" i="5" a="1"/>
  <c r="E77" i="5" s="1"/>
  <c r="E78" i="5" a="1"/>
  <c r="E78" i="5" s="1"/>
  <c r="E79" i="5" a="1"/>
  <c r="E79" i="5" s="1"/>
  <c r="E80" i="5" a="1"/>
  <c r="E80" i="5" s="1"/>
  <c r="E81" i="5" a="1"/>
  <c r="E81" i="5" s="1"/>
  <c r="E82" i="5" a="1"/>
  <c r="E82" i="5" s="1"/>
  <c r="E83" i="5" a="1"/>
  <c r="E83" i="5" s="1"/>
  <c r="E84" i="5" a="1"/>
  <c r="E84" i="5" s="1"/>
  <c r="E85" i="5" a="1"/>
  <c r="E85" i="5" s="1"/>
  <c r="E86" i="5" a="1"/>
  <c r="E86" i="5" s="1"/>
  <c r="E87" i="5" a="1"/>
  <c r="E87" i="5" s="1"/>
  <c r="E88" i="5" a="1"/>
  <c r="E88" i="5" s="1"/>
  <c r="E89" i="5" a="1"/>
  <c r="E89" i="5" s="1"/>
  <c r="E90" i="5" a="1"/>
  <c r="E90" i="5" s="1"/>
  <c r="E91" i="5" a="1"/>
  <c r="E91" i="5"/>
  <c r="E92" i="5" a="1"/>
  <c r="E92" i="5" s="1"/>
  <c r="E93" i="5" a="1"/>
  <c r="E93" i="5" s="1"/>
  <c r="E94" i="5" a="1"/>
  <c r="E94" i="5" s="1"/>
  <c r="E95" i="5" a="1"/>
  <c r="E95" i="5" s="1"/>
  <c r="E96" i="5" a="1"/>
  <c r="E96" i="5" s="1"/>
  <c r="E97" i="5" a="1"/>
  <c r="E97" i="5" s="1"/>
  <c r="E98" i="5" a="1"/>
  <c r="E98" i="5" s="1"/>
  <c r="E99" i="5" a="1"/>
  <c r="E99" i="5" s="1"/>
  <c r="E100" i="5" a="1"/>
  <c r="E100" i="5" s="1"/>
  <c r="E101" i="5" a="1"/>
  <c r="E101" i="5" s="1"/>
  <c r="E102" i="5" a="1"/>
  <c r="E102" i="5" s="1"/>
  <c r="E103" i="5" a="1"/>
  <c r="E103" i="5" s="1"/>
  <c r="E104" i="5" a="1"/>
  <c r="E104" i="5" s="1"/>
  <c r="E105" i="5" a="1"/>
  <c r="E105" i="5" s="1"/>
  <c r="E106" i="5" a="1"/>
  <c r="E106" i="5" s="1"/>
  <c r="E107" i="5" a="1"/>
  <c r="E107" i="5" s="1"/>
  <c r="E108" i="5" a="1"/>
  <c r="E108" i="5" s="1"/>
  <c r="E109" i="5" a="1"/>
  <c r="E109" i="5" s="1"/>
  <c r="E110" i="5" a="1"/>
  <c r="E110" i="5" s="1"/>
  <c r="E111" i="5" a="1"/>
  <c r="E111" i="5" s="1"/>
  <c r="E112" i="5" a="1"/>
  <c r="E112" i="5" s="1"/>
  <c r="E113" i="5" a="1"/>
  <c r="E113" i="5" s="1"/>
  <c r="E114" i="5" a="1"/>
  <c r="E114" i="5" s="1"/>
  <c r="E115" i="5" a="1"/>
  <c r="E115" i="5" s="1"/>
  <c r="E116" i="5" a="1"/>
  <c r="E116" i="5" s="1"/>
  <c r="E117" i="5" a="1"/>
  <c r="E117" i="5" s="1"/>
  <c r="E118" i="5" a="1"/>
  <c r="E118" i="5" s="1"/>
  <c r="E119" i="5" a="1"/>
  <c r="E119" i="5" s="1"/>
  <c r="E120" i="5" a="1"/>
  <c r="E120" i="5" s="1"/>
  <c r="E121" i="5" a="1"/>
  <c r="E121" i="5" s="1"/>
  <c r="E122" i="5" a="1"/>
  <c r="E122" i="5" s="1"/>
  <c r="E123" i="5" a="1"/>
  <c r="E123" i="5" s="1"/>
  <c r="E124" i="5" a="1"/>
  <c r="E124" i="5" s="1"/>
  <c r="E125" i="5" a="1"/>
  <c r="E125" i="5" s="1"/>
  <c r="E126" i="5" a="1"/>
  <c r="E126" i="5" s="1"/>
  <c r="E127" i="5" a="1"/>
  <c r="E127" i="5" s="1"/>
  <c r="E128" i="5" a="1"/>
  <c r="E128" i="5" s="1"/>
  <c r="E129" i="5" a="1"/>
  <c r="E129" i="5" s="1"/>
  <c r="E130" i="5" a="1"/>
  <c r="E130" i="5" s="1"/>
  <c r="E131" i="5" a="1"/>
  <c r="E131" i="5" s="1"/>
  <c r="E132" i="5" a="1"/>
  <c r="E132" i="5" s="1"/>
  <c r="E133" i="5" a="1"/>
  <c r="E133" i="5" s="1"/>
  <c r="E134" i="5" a="1"/>
  <c r="E134" i="5" s="1"/>
  <c r="E135" i="5" a="1"/>
  <c r="E135" i="5" s="1"/>
  <c r="E136" i="5" a="1"/>
  <c r="E136" i="5" s="1"/>
  <c r="E137" i="5" a="1"/>
  <c r="E137" i="5" s="1"/>
  <c r="E138" i="5" a="1"/>
  <c r="E138" i="5" s="1"/>
  <c r="E139" i="5" a="1"/>
  <c r="E139" i="5" s="1"/>
  <c r="E140" i="5" a="1"/>
  <c r="E140" i="5" s="1"/>
  <c r="E141" i="5" a="1"/>
  <c r="E141" i="5" s="1"/>
  <c r="E142" i="5" a="1"/>
  <c r="E142" i="5" s="1"/>
  <c r="E143" i="5" a="1"/>
  <c r="E143" i="5" s="1"/>
  <c r="E144" i="5" a="1"/>
  <c r="E144" i="5" s="1"/>
  <c r="E145" i="5" a="1"/>
  <c r="E145" i="5" s="1"/>
  <c r="E146" i="5" a="1"/>
  <c r="E146" i="5" s="1"/>
  <c r="E147" i="5" a="1"/>
  <c r="E147" i="5" s="1"/>
  <c r="E148" i="5" a="1"/>
  <c r="E148" i="5" s="1"/>
  <c r="E149" i="5" a="1"/>
  <c r="E149" i="5" s="1"/>
  <c r="E150" i="5" a="1"/>
  <c r="E150" i="5" s="1"/>
  <c r="E151" i="5" a="1"/>
  <c r="E151" i="5" s="1"/>
  <c r="E152" i="5" a="1"/>
  <c r="E152" i="5" s="1"/>
  <c r="E153" i="5" a="1"/>
  <c r="E153" i="5" s="1"/>
  <c r="E154" i="5" a="1"/>
  <c r="E154" i="5" s="1"/>
  <c r="E155" i="5" a="1"/>
  <c r="E155" i="5" s="1"/>
  <c r="E156" i="5" a="1"/>
  <c r="E156" i="5" s="1"/>
  <c r="E157" i="5" a="1"/>
  <c r="E157" i="5" s="1"/>
  <c r="E158" i="5" a="1"/>
  <c r="E158" i="5" s="1"/>
  <c r="E159" i="5" a="1"/>
  <c r="E159" i="5" s="1"/>
  <c r="E160" i="5" a="1"/>
  <c r="E160" i="5" s="1"/>
  <c r="E161" i="5" a="1"/>
  <c r="E161" i="5" s="1"/>
  <c r="E162" i="5" a="1"/>
  <c r="E162" i="5" s="1"/>
  <c r="E163" i="5" a="1"/>
  <c r="E163" i="5" s="1"/>
  <c r="E164" i="5" a="1"/>
  <c r="E164" i="5" s="1"/>
  <c r="E165" i="5" a="1"/>
  <c r="E165" i="5" s="1"/>
  <c r="E166" i="5" a="1"/>
  <c r="E166" i="5" s="1"/>
  <c r="E167" i="5" a="1"/>
  <c r="E167" i="5" s="1"/>
  <c r="E168" i="5" a="1"/>
  <c r="E168" i="5" s="1"/>
  <c r="E169" i="5" a="1"/>
  <c r="E169" i="5" s="1"/>
  <c r="E170" i="5" a="1"/>
  <c r="E170" i="5" s="1"/>
  <c r="E171" i="5" a="1"/>
  <c r="E171" i="5" s="1"/>
  <c r="E172" i="5" a="1"/>
  <c r="E172" i="5" s="1"/>
  <c r="E173" i="5" a="1"/>
  <c r="E173" i="5" s="1"/>
  <c r="E174" i="5" a="1"/>
  <c r="E174" i="5" s="1"/>
  <c r="E175" i="5" a="1"/>
  <c r="E175" i="5" s="1"/>
  <c r="E176" i="5" a="1"/>
  <c r="E176" i="5" s="1"/>
  <c r="E177" i="5" a="1"/>
  <c r="E177" i="5" s="1"/>
  <c r="E178" i="5" a="1"/>
  <c r="E178" i="5" s="1"/>
  <c r="E179" i="5" a="1"/>
  <c r="E179" i="5" s="1"/>
  <c r="E180" i="5" a="1"/>
  <c r="E180" i="5" s="1"/>
  <c r="E181" i="5" a="1"/>
  <c r="E181" i="5" s="1"/>
  <c r="E182" i="5" a="1"/>
  <c r="E182" i="5" s="1"/>
  <c r="E183" i="5" a="1"/>
  <c r="E183" i="5" s="1"/>
  <c r="E184" i="5" a="1"/>
  <c r="E184" i="5" s="1"/>
  <c r="E185" i="5" a="1"/>
  <c r="E185" i="5" s="1"/>
  <c r="E186" i="5" a="1"/>
  <c r="E186" i="5" s="1"/>
  <c r="E187" i="5" a="1"/>
  <c r="E187" i="5" s="1"/>
  <c r="E188" i="5" a="1"/>
  <c r="E188" i="5" s="1"/>
  <c r="E189" i="5" a="1"/>
  <c r="E189" i="5" s="1"/>
  <c r="E190" i="5" a="1"/>
  <c r="E190" i="5" s="1"/>
  <c r="E191" i="5" a="1"/>
  <c r="E191" i="5" s="1"/>
  <c r="E192" i="5" a="1"/>
  <c r="E192" i="5" s="1"/>
  <c r="E193" i="5" a="1"/>
  <c r="E193" i="5" s="1"/>
  <c r="E194" i="5" a="1"/>
  <c r="E194" i="5" s="1"/>
  <c r="E195" i="5" a="1"/>
  <c r="E195" i="5" s="1"/>
  <c r="E196" i="5" a="1"/>
  <c r="E196" i="5" s="1"/>
  <c r="E197" i="5" a="1"/>
  <c r="E197" i="5" s="1"/>
  <c r="E198" i="5" a="1"/>
  <c r="E198" i="5" s="1"/>
  <c r="E199" i="5" a="1"/>
  <c r="E199" i="5" s="1"/>
  <c r="E200" i="5" a="1"/>
  <c r="E200" i="5" s="1"/>
  <c r="E201" i="5" a="1"/>
  <c r="E201" i="5" s="1"/>
  <c r="E202" i="5" a="1"/>
  <c r="E202" i="5" s="1"/>
  <c r="E203" i="5" a="1"/>
  <c r="E203" i="5" s="1"/>
  <c r="E204" i="5" a="1"/>
  <c r="E204" i="5" s="1"/>
  <c r="E205" i="5" a="1"/>
  <c r="E205" i="5" s="1"/>
  <c r="E206" i="5" a="1"/>
  <c r="E206" i="5" s="1"/>
  <c r="E207" i="5" a="1"/>
  <c r="E207" i="5" s="1"/>
  <c r="E208" i="5" a="1"/>
  <c r="E208" i="5" s="1"/>
  <c r="E209" i="5" a="1"/>
  <c r="E209" i="5" s="1"/>
  <c r="E210" i="5" a="1"/>
  <c r="E210" i="5" s="1"/>
  <c r="E211" i="5" a="1"/>
  <c r="E211" i="5" s="1"/>
  <c r="E212" i="5" a="1"/>
  <c r="E212" i="5" s="1"/>
  <c r="E213" i="5" a="1"/>
  <c r="E213" i="5" s="1"/>
  <c r="E214" i="5" a="1"/>
  <c r="E214" i="5" s="1"/>
  <c r="E215" i="5" a="1"/>
  <c r="E215" i="5" s="1"/>
  <c r="E216" i="5" a="1"/>
  <c r="E216" i="5"/>
  <c r="E217" i="5" a="1"/>
  <c r="E217" i="5" s="1"/>
  <c r="E218" i="5" a="1"/>
  <c r="E218" i="5" s="1"/>
  <c r="E219" i="5" a="1"/>
  <c r="E219" i="5" s="1"/>
  <c r="E220" i="5" a="1"/>
  <c r="E220" i="5" s="1"/>
  <c r="E221" i="5" a="1"/>
  <c r="E221" i="5" s="1"/>
  <c r="E222" i="5" a="1"/>
  <c r="E222" i="5" s="1"/>
  <c r="E223" i="5" a="1"/>
  <c r="E223" i="5" s="1"/>
  <c r="E224" i="5" a="1"/>
  <c r="E224" i="5" s="1"/>
  <c r="E225" i="5" a="1"/>
  <c r="E225" i="5" s="1"/>
  <c r="E226" i="5" a="1"/>
  <c r="E226" i="5" s="1"/>
  <c r="E227" i="5" a="1"/>
  <c r="E227" i="5" s="1"/>
  <c r="E228" i="5" a="1"/>
  <c r="E228" i="5" s="1"/>
  <c r="E229" i="5" a="1"/>
  <c r="E229" i="5" s="1"/>
  <c r="E230" i="5" a="1"/>
  <c r="E230" i="5" s="1"/>
  <c r="E231" i="5" a="1"/>
  <c r="E231" i="5" s="1"/>
  <c r="E232" i="5" a="1"/>
  <c r="E232" i="5" s="1"/>
  <c r="E233" i="5" a="1"/>
  <c r="E233" i="5" s="1"/>
  <c r="E234" i="5" a="1"/>
  <c r="E234" i="5" s="1"/>
  <c r="E235" i="5" a="1"/>
  <c r="E235" i="5" s="1"/>
  <c r="E236" i="5" a="1"/>
  <c r="E236" i="5" s="1"/>
  <c r="E237" i="5" a="1"/>
  <c r="E237" i="5" s="1"/>
  <c r="E238" i="5" a="1"/>
  <c r="E238" i="5" s="1"/>
  <c r="E239" i="5" a="1"/>
  <c r="E239" i="5" s="1"/>
  <c r="E240" i="5" a="1"/>
  <c r="E240" i="5" s="1"/>
  <c r="E241" i="5" a="1"/>
  <c r="E241" i="5" s="1"/>
  <c r="E242" i="5" a="1"/>
  <c r="E242" i="5" s="1"/>
  <c r="E243" i="5" a="1"/>
  <c r="E243" i="5" s="1"/>
  <c r="E244" i="5" a="1"/>
  <c r="E244" i="5" s="1"/>
  <c r="E245" i="5" a="1"/>
  <c r="E245" i="5" s="1"/>
  <c r="E246" i="5" a="1"/>
  <c r="E246" i="5" s="1"/>
  <c r="E247" i="5" a="1"/>
  <c r="E247" i="5" s="1"/>
  <c r="E248" i="5" a="1"/>
  <c r="E248" i="5" s="1"/>
  <c r="E249" i="5" a="1"/>
  <c r="E249" i="5" s="1"/>
  <c r="E250" i="5" a="1"/>
  <c r="E250" i="5"/>
  <c r="E251" i="5" a="1"/>
  <c r="E251" i="5" s="1"/>
  <c r="E252" i="5" a="1"/>
  <c r="E252" i="5" s="1"/>
  <c r="E253" i="5" a="1"/>
  <c r="E253" i="5" s="1"/>
  <c r="E254" i="5" a="1"/>
  <c r="E254" i="5" s="1"/>
  <c r="E255" i="5" a="1"/>
  <c r="E255" i="5" s="1"/>
  <c r="E256" i="5" a="1"/>
  <c r="E256" i="5" s="1"/>
  <c r="E257" i="5" a="1"/>
  <c r="E257" i="5" s="1"/>
  <c r="E258" i="5" a="1"/>
  <c r="E258" i="5" s="1"/>
  <c r="E259" i="5" a="1"/>
  <c r="E259" i="5" s="1"/>
  <c r="E260" i="5" a="1"/>
  <c r="E260" i="5" s="1"/>
  <c r="E261" i="5" a="1"/>
  <c r="E261" i="5" s="1"/>
  <c r="E262" i="5" a="1"/>
  <c r="E262" i="5" s="1"/>
  <c r="E263" i="5" a="1"/>
  <c r="E263" i="5" s="1"/>
  <c r="E264" i="5" a="1"/>
  <c r="E264" i="5" s="1"/>
  <c r="E265" i="5" a="1"/>
  <c r="E265" i="5" s="1"/>
  <c r="E266" i="5" a="1"/>
  <c r="E266" i="5" s="1"/>
  <c r="E267" i="5" a="1"/>
  <c r="E267" i="5" s="1"/>
  <c r="E268" i="5" a="1"/>
  <c r="E268" i="5" s="1"/>
  <c r="E269" i="5" a="1"/>
  <c r="E269" i="5" s="1"/>
  <c r="E270" i="5" a="1"/>
  <c r="E270" i="5" s="1"/>
  <c r="E271" i="5" a="1"/>
  <c r="E271" i="5" s="1"/>
  <c r="E272" i="5" a="1"/>
  <c r="E272" i="5" s="1"/>
  <c r="E273" i="5" a="1"/>
  <c r="E273" i="5" s="1"/>
  <c r="E274" i="5" a="1"/>
  <c r="E274" i="5" s="1"/>
  <c r="E275" i="5" a="1"/>
  <c r="E275" i="5" s="1"/>
  <c r="E276" i="5" a="1"/>
  <c r="E276" i="5" s="1"/>
  <c r="E277" i="5" a="1"/>
  <c r="E277" i="5" s="1"/>
  <c r="E278" i="5" a="1"/>
  <c r="E278" i="5" s="1"/>
  <c r="E279" i="5" a="1"/>
  <c r="E279" i="5" s="1"/>
  <c r="E280" i="5" a="1"/>
  <c r="E280" i="5"/>
  <c r="E281" i="5" a="1"/>
  <c r="E281" i="5" s="1"/>
  <c r="E282" i="5" a="1"/>
  <c r="E282" i="5" s="1"/>
  <c r="E283" i="5" a="1"/>
  <c r="E283" i="5" s="1"/>
  <c r="E284" i="5" a="1"/>
  <c r="E284" i="5" s="1"/>
  <c r="E285" i="5" a="1"/>
  <c r="E285" i="5" s="1"/>
  <c r="E286" i="5" a="1"/>
  <c r="E286" i="5" s="1"/>
  <c r="E287" i="5" a="1"/>
  <c r="E287" i="5" s="1"/>
  <c r="E288" i="5" a="1"/>
  <c r="E288" i="5" s="1"/>
  <c r="E289" i="5" a="1"/>
  <c r="E289" i="5" s="1"/>
  <c r="E290" i="5" a="1"/>
  <c r="E290" i="5" s="1"/>
  <c r="E291" i="5" a="1"/>
  <c r="E291" i="5" s="1"/>
  <c r="E292" i="5" a="1"/>
  <c r="E292" i="5" s="1"/>
  <c r="E293" i="5" a="1"/>
  <c r="E293" i="5" s="1"/>
  <c r="E294" i="5" a="1"/>
  <c r="E294" i="5" s="1"/>
  <c r="E295" i="5" a="1"/>
  <c r="E295" i="5" s="1"/>
  <c r="E296" i="5" a="1"/>
  <c r="E296" i="5" s="1"/>
  <c r="E297" i="5" a="1"/>
  <c r="E297" i="5" s="1"/>
  <c r="E298" i="5" a="1"/>
  <c r="E298" i="5" s="1"/>
  <c r="E299" i="5" a="1"/>
  <c r="E299" i="5" s="1"/>
  <c r="E300" i="5" a="1"/>
  <c r="E300" i="5" s="1"/>
  <c r="E301" i="5" a="1"/>
  <c r="E301" i="5" s="1"/>
  <c r="E302" i="5" a="1"/>
  <c r="E302" i="5" s="1"/>
  <c r="E303" i="5" a="1"/>
  <c r="E303" i="5" s="1"/>
  <c r="E304" i="5" a="1"/>
  <c r="E304" i="5" s="1"/>
  <c r="E305" i="5" a="1"/>
  <c r="E305" i="5" s="1"/>
  <c r="E306" i="5" a="1"/>
  <c r="E306" i="5" s="1"/>
  <c r="E307" i="5" a="1"/>
  <c r="E307" i="5" s="1"/>
  <c r="E308" i="5" a="1"/>
  <c r="E308" i="5" s="1"/>
  <c r="E309" i="5" a="1"/>
  <c r="E309" i="5" s="1"/>
  <c r="E310" i="5" a="1"/>
  <c r="E310" i="5" s="1"/>
  <c r="E311" i="5" a="1"/>
  <c r="E311" i="5" s="1"/>
  <c r="E312" i="5" a="1"/>
  <c r="E312" i="5" s="1"/>
  <c r="E313" i="5" a="1"/>
  <c r="E313" i="5" s="1"/>
  <c r="E314" i="5" a="1"/>
  <c r="E314" i="5" s="1"/>
  <c r="E315" i="5" a="1"/>
  <c r="E315" i="5" s="1"/>
  <c r="E316" i="5" a="1"/>
  <c r="E316" i="5" s="1"/>
  <c r="E317" i="5" a="1"/>
  <c r="E317" i="5" s="1"/>
  <c r="E318" i="5" a="1"/>
  <c r="E318" i="5" s="1"/>
  <c r="E319" i="5" a="1"/>
  <c r="E319" i="5" s="1"/>
  <c r="E320" i="5" a="1"/>
  <c r="E320" i="5" s="1"/>
  <c r="E321" i="5" a="1"/>
  <c r="E321" i="5" s="1"/>
  <c r="E322" i="5" a="1"/>
  <c r="E322" i="5" s="1"/>
  <c r="E323" i="5" a="1"/>
  <c r="E323" i="5" s="1"/>
  <c r="E324" i="5" a="1"/>
  <c r="E324" i="5" s="1"/>
  <c r="E325" i="5" a="1"/>
  <c r="E325" i="5" s="1"/>
  <c r="E326" i="5" a="1"/>
  <c r="E326" i="5" s="1"/>
  <c r="E327" i="5" a="1"/>
  <c r="E327" i="5" s="1"/>
  <c r="E328" i="5" a="1"/>
  <c r="E328" i="5" s="1"/>
  <c r="E329" i="5" a="1"/>
  <c r="E329" i="5" s="1"/>
  <c r="E330" i="5" a="1"/>
  <c r="E330" i="5" s="1"/>
  <c r="E331" i="5" a="1"/>
  <c r="E331" i="5" s="1"/>
  <c r="E332" i="5" a="1"/>
  <c r="E332" i="5" s="1"/>
  <c r="E333" i="5" a="1"/>
  <c r="E333" i="5" s="1"/>
  <c r="E334" i="5" a="1"/>
  <c r="E334" i="5" s="1"/>
  <c r="E335" i="5" a="1"/>
  <c r="E335" i="5" s="1"/>
  <c r="E336" i="5" a="1"/>
  <c r="E336" i="5" s="1"/>
  <c r="E337" i="5" a="1"/>
  <c r="E337" i="5" s="1"/>
  <c r="E338" i="5" a="1"/>
  <c r="E338" i="5" s="1"/>
  <c r="E339" i="5" a="1"/>
  <c r="E339" i="5" s="1"/>
  <c r="E340" i="5" a="1"/>
  <c r="E340" i="5" s="1"/>
  <c r="E341" i="5" a="1"/>
  <c r="E341" i="5" s="1"/>
  <c r="E342" i="5" a="1"/>
  <c r="E342" i="5" s="1"/>
  <c r="E343" i="5" a="1"/>
  <c r="E343" i="5" s="1"/>
  <c r="E344" i="5" a="1"/>
  <c r="E344" i="5" s="1"/>
  <c r="E345" i="5" a="1"/>
  <c r="E345" i="5" s="1"/>
  <c r="E346" i="5" a="1"/>
  <c r="E346" i="5" s="1"/>
  <c r="E347" i="5" a="1"/>
  <c r="E347" i="5" s="1"/>
  <c r="E348" i="5" a="1"/>
  <c r="E348" i="5" s="1"/>
  <c r="E349" i="5" a="1"/>
  <c r="E349" i="5" s="1"/>
  <c r="E350" i="5" a="1"/>
  <c r="E350" i="5" s="1"/>
  <c r="E351" i="5" a="1"/>
  <c r="E351" i="5" s="1"/>
  <c r="E352" i="5" a="1"/>
  <c r="E352" i="5" s="1"/>
  <c r="E353" i="5" a="1"/>
  <c r="E353" i="5" s="1"/>
  <c r="E354" i="5" a="1"/>
  <c r="E354" i="5" s="1"/>
  <c r="E355" i="5" a="1"/>
  <c r="E355" i="5" s="1"/>
  <c r="E356" i="5" a="1"/>
  <c r="E356" i="5" s="1"/>
  <c r="E357" i="5" a="1"/>
  <c r="E357" i="5" s="1"/>
  <c r="E358" i="5" a="1"/>
  <c r="E358" i="5" s="1"/>
  <c r="E359" i="5" a="1"/>
  <c r="E359" i="5"/>
  <c r="E360" i="5" a="1"/>
  <c r="E360" i="5" s="1"/>
  <c r="E361" i="5" a="1"/>
  <c r="E361" i="5" s="1"/>
  <c r="E362" i="5" a="1"/>
  <c r="E362" i="5" s="1"/>
  <c r="E363" i="5" a="1"/>
  <c r="E363" i="5" s="1"/>
  <c r="E364" i="5" a="1"/>
  <c r="E364" i="5" s="1"/>
  <c r="E365" i="5" a="1"/>
  <c r="E365" i="5" s="1"/>
  <c r="E366" i="5" a="1"/>
  <c r="E366" i="5" s="1"/>
  <c r="E367" i="5" a="1"/>
  <c r="E367" i="5" s="1"/>
  <c r="E368" i="5" a="1"/>
  <c r="E368" i="5" s="1"/>
  <c r="E369" i="5" a="1"/>
  <c r="E369" i="5" s="1"/>
  <c r="E370" i="5" a="1"/>
  <c r="E370" i="5" s="1"/>
  <c r="E371" i="5" a="1"/>
  <c r="E371" i="5" s="1"/>
  <c r="E372" i="5" a="1"/>
  <c r="E372" i="5" s="1"/>
  <c r="E373" i="5" a="1"/>
  <c r="E373" i="5" s="1"/>
  <c r="E374" i="5" a="1"/>
  <c r="E374" i="5" s="1"/>
  <c r="E375" i="5" a="1"/>
  <c r="E375" i="5" s="1"/>
  <c r="E376" i="5" a="1"/>
  <c r="E376" i="5" s="1"/>
  <c r="E377" i="5" a="1"/>
  <c r="E377" i="5" s="1"/>
  <c r="E378" i="5" a="1"/>
  <c r="E378" i="5" s="1"/>
  <c r="E379" i="5" a="1"/>
  <c r="E379" i="5" s="1"/>
  <c r="E380" i="5" a="1"/>
  <c r="E380" i="5" s="1"/>
  <c r="E381" i="5" a="1"/>
  <c r="E381" i="5" s="1"/>
  <c r="E382" i="5" a="1"/>
  <c r="E382" i="5" s="1"/>
  <c r="E383" i="5" a="1"/>
  <c r="E383" i="5" s="1"/>
  <c r="E384" i="5" a="1"/>
  <c r="E384" i="5" s="1"/>
  <c r="E385" i="5" a="1"/>
  <c r="E385" i="5" s="1"/>
  <c r="E386" i="5" a="1"/>
  <c r="E386" i="5" s="1"/>
  <c r="E387" i="5" a="1"/>
  <c r="E387" i="5" s="1"/>
  <c r="E388" i="5" a="1"/>
  <c r="E388" i="5" s="1"/>
  <c r="E389" i="5" a="1"/>
  <c r="E389" i="5" s="1"/>
  <c r="E390" i="5" a="1"/>
  <c r="E390" i="5" s="1"/>
  <c r="E391" i="5" a="1"/>
  <c r="E391" i="5" s="1"/>
  <c r="E392" i="5" a="1"/>
  <c r="E392" i="5" s="1"/>
  <c r="E393" i="5" a="1"/>
  <c r="E393" i="5" s="1"/>
  <c r="E394" i="5" a="1"/>
  <c r="E394" i="5"/>
  <c r="E395" i="5" a="1"/>
  <c r="E395" i="5" s="1"/>
  <c r="E396" i="5" a="1"/>
  <c r="E396" i="5" s="1"/>
  <c r="E397" i="5" a="1"/>
  <c r="E397" i="5" s="1"/>
  <c r="E398" i="5" a="1"/>
  <c r="E398" i="5" s="1"/>
  <c r="E399" i="5" a="1"/>
  <c r="E399" i="5" s="1"/>
  <c r="E400" i="5" a="1"/>
  <c r="E400" i="5" s="1"/>
  <c r="E401" i="5" a="1"/>
  <c r="E401" i="5" s="1"/>
  <c r="E402" i="5" a="1"/>
  <c r="E402" i="5" s="1"/>
  <c r="E403" i="5" a="1"/>
  <c r="E403" i="5" s="1"/>
  <c r="E404" i="5" a="1"/>
  <c r="E404" i="5" s="1"/>
  <c r="E405" i="5" a="1"/>
  <c r="E405" i="5" s="1"/>
  <c r="E406" i="5" a="1"/>
  <c r="E406" i="5" s="1"/>
  <c r="E407" i="5" a="1"/>
  <c r="E407" i="5" s="1"/>
  <c r="E408" i="5" a="1"/>
  <c r="E408" i="5" s="1"/>
  <c r="E409" i="5" a="1"/>
  <c r="E409" i="5" s="1"/>
  <c r="E410" i="5" a="1"/>
  <c r="E410" i="5" s="1"/>
  <c r="E411" i="5" a="1"/>
  <c r="E411" i="5" s="1"/>
  <c r="E412" i="5" a="1"/>
  <c r="E412" i="5" s="1"/>
  <c r="E413" i="5" a="1"/>
  <c r="E413" i="5" s="1"/>
  <c r="E414" i="5" a="1"/>
  <c r="E414" i="5" s="1"/>
  <c r="E415" i="5" a="1"/>
  <c r="E415" i="5" s="1"/>
  <c r="E416" i="5" a="1"/>
  <c r="E416" i="5" s="1"/>
  <c r="E417" i="5" a="1"/>
  <c r="E417" i="5" s="1"/>
  <c r="E418" i="5" a="1"/>
  <c r="E418" i="5" s="1"/>
  <c r="E419" i="5" a="1"/>
  <c r="E419" i="5" s="1"/>
  <c r="E420" i="5" a="1"/>
  <c r="E420" i="5" s="1"/>
  <c r="E421" i="5" a="1"/>
  <c r="E421" i="5" s="1"/>
  <c r="E422" i="5" a="1"/>
  <c r="E422" i="5" s="1"/>
  <c r="E423" i="5" a="1"/>
  <c r="E423" i="5" s="1"/>
  <c r="E424" i="5" a="1"/>
  <c r="E424" i="5" s="1"/>
  <c r="E425" i="5" a="1"/>
  <c r="E425" i="5" s="1"/>
  <c r="E426" i="5" a="1"/>
  <c r="E426" i="5" s="1"/>
  <c r="E427" i="5" a="1"/>
  <c r="E427" i="5" s="1"/>
  <c r="E428" i="5" a="1"/>
  <c r="E428" i="5" s="1"/>
  <c r="E429" i="5" a="1"/>
  <c r="E429" i="5" s="1"/>
  <c r="E430" i="5" a="1"/>
  <c r="E430" i="5" s="1"/>
  <c r="E431" i="5" a="1"/>
  <c r="E431" i="5" s="1"/>
  <c r="E432" i="5" a="1"/>
  <c r="E432" i="5" s="1"/>
  <c r="E433" i="5" a="1"/>
  <c r="E433" i="5" s="1"/>
  <c r="E434" i="5" a="1"/>
  <c r="E434" i="5" s="1"/>
  <c r="E435" i="5" a="1"/>
  <c r="E435" i="5" s="1"/>
  <c r="E436" i="5" a="1"/>
  <c r="E436" i="5" s="1"/>
  <c r="E437" i="5" a="1"/>
  <c r="E437" i="5" s="1"/>
  <c r="E438" i="5" a="1"/>
  <c r="E438" i="5" s="1"/>
  <c r="E439" i="5" a="1"/>
  <c r="E439" i="5" s="1"/>
  <c r="E440" i="5" a="1"/>
  <c r="E440" i="5" s="1"/>
  <c r="E441" i="5" a="1"/>
  <c r="E441" i="5" s="1"/>
  <c r="E442" i="5" a="1"/>
  <c r="E442" i="5" s="1"/>
  <c r="E443" i="5" a="1"/>
  <c r="E443" i="5" s="1"/>
  <c r="E444" i="5" a="1"/>
  <c r="E444" i="5"/>
  <c r="E445" i="5" a="1"/>
  <c r="E445" i="5" s="1"/>
  <c r="E446" i="5" a="1"/>
  <c r="E446" i="5" s="1"/>
  <c r="E447" i="5" a="1"/>
  <c r="E447" i="5" s="1"/>
  <c r="E448" i="5" a="1"/>
  <c r="E448" i="5" s="1"/>
  <c r="E449" i="5" a="1"/>
  <c r="E449" i="5" s="1"/>
  <c r="E450" i="5" a="1"/>
  <c r="E450" i="5" s="1"/>
  <c r="E451" i="5" a="1"/>
  <c r="E451" i="5" s="1"/>
  <c r="E452" i="5" a="1"/>
  <c r="E452" i="5" s="1"/>
  <c r="E453" i="5" a="1"/>
  <c r="E453" i="5" s="1"/>
  <c r="E454" i="5" a="1"/>
  <c r="E454" i="5" s="1"/>
  <c r="E455" i="5" a="1"/>
  <c r="E455" i="5" s="1"/>
  <c r="E456" i="5" a="1"/>
  <c r="E456" i="5" s="1"/>
  <c r="E457" i="5" a="1"/>
  <c r="E457" i="5" s="1"/>
  <c r="E458" i="5" a="1"/>
  <c r="E458" i="5" s="1"/>
  <c r="E459" i="5" a="1"/>
  <c r="E459" i="5" s="1"/>
  <c r="E460" i="5" a="1"/>
  <c r="E460" i="5" s="1"/>
  <c r="E461" i="5" a="1"/>
  <c r="E461" i="5" s="1"/>
  <c r="E462" i="5" a="1"/>
  <c r="E462" i="5" s="1"/>
  <c r="E463" i="5" a="1"/>
  <c r="E463" i="5" s="1"/>
  <c r="E464" i="5" a="1"/>
  <c r="E464" i="5" s="1"/>
  <c r="E465" i="5" a="1"/>
  <c r="E465" i="5" s="1"/>
  <c r="E466" i="5" a="1"/>
  <c r="E466" i="5" s="1"/>
  <c r="E467" i="5" a="1"/>
  <c r="E467" i="5" s="1"/>
  <c r="E468" i="5" a="1"/>
  <c r="E468" i="5" s="1"/>
  <c r="E469" i="5" a="1"/>
  <c r="E469" i="5" s="1"/>
  <c r="E470" i="5" a="1"/>
  <c r="E470" i="5" s="1"/>
  <c r="E471" i="5" a="1"/>
  <c r="E471" i="5" s="1"/>
  <c r="E472" i="5" a="1"/>
  <c r="E472" i="5" s="1"/>
  <c r="E473" i="5" a="1"/>
  <c r="E473" i="5" s="1"/>
  <c r="E474" i="5" a="1"/>
  <c r="E474" i="5" s="1"/>
  <c r="E475" i="5" a="1"/>
  <c r="E475" i="5" s="1"/>
  <c r="E476" i="5" a="1"/>
  <c r="E476" i="5" s="1"/>
  <c r="E477" i="5" a="1"/>
  <c r="E477" i="5" s="1"/>
  <c r="E478" i="5" a="1"/>
  <c r="E478" i="5" s="1"/>
  <c r="E479" i="5" a="1"/>
  <c r="E479" i="5" s="1"/>
  <c r="E480" i="5" a="1"/>
  <c r="E480" i="5" s="1"/>
  <c r="E481" i="5" a="1"/>
  <c r="E481" i="5" s="1"/>
  <c r="E482" i="5" a="1"/>
  <c r="E482" i="5" s="1"/>
  <c r="E483" i="5" a="1"/>
  <c r="E483" i="5" s="1"/>
  <c r="E484" i="5" a="1"/>
  <c r="E484" i="5" s="1"/>
  <c r="E485" i="5" a="1"/>
  <c r="E485" i="5" s="1"/>
  <c r="E486" i="5" a="1"/>
  <c r="E486" i="5" s="1"/>
  <c r="E487" i="5" a="1"/>
  <c r="E487" i="5"/>
  <c r="E488" i="5" a="1"/>
  <c r="E488" i="5" s="1"/>
  <c r="E489" i="5" a="1"/>
  <c r="E489" i="5" s="1"/>
  <c r="E490" i="5" a="1"/>
  <c r="E490" i="5" s="1"/>
  <c r="E491" i="5" a="1"/>
  <c r="E491" i="5" s="1"/>
  <c r="E492" i="5" a="1"/>
  <c r="E492" i="5" s="1"/>
  <c r="E493" i="5" a="1"/>
  <c r="E493" i="5" s="1"/>
  <c r="E494" i="5" a="1"/>
  <c r="E494" i="5" s="1"/>
  <c r="E495" i="5" a="1"/>
  <c r="E495" i="5" s="1"/>
  <c r="E496" i="5" a="1"/>
  <c r="E496" i="5" s="1"/>
  <c r="E497" i="5" a="1"/>
  <c r="E497" i="5" s="1"/>
  <c r="E498" i="5" a="1"/>
  <c r="E498" i="5" s="1"/>
  <c r="E499" i="5" a="1"/>
  <c r="E499" i="5" s="1"/>
  <c r="E500" i="5" a="1"/>
  <c r="E500" i="5" s="1"/>
  <c r="E501" i="5" a="1"/>
  <c r="E501" i="5" s="1"/>
  <c r="E502" i="5" a="1"/>
  <c r="E502" i="5" s="1"/>
  <c r="E503" i="5" a="1"/>
  <c r="E503" i="5" s="1"/>
  <c r="E504" i="5" a="1"/>
  <c r="E504" i="5" s="1"/>
  <c r="E505" i="5" a="1"/>
  <c r="E505" i="5" s="1"/>
  <c r="E506" i="5" a="1"/>
  <c r="E506" i="5" s="1"/>
  <c r="E507" i="5" a="1"/>
  <c r="E507" i="5" s="1"/>
  <c r="E508" i="5" a="1"/>
  <c r="E508" i="5" s="1"/>
  <c r="E509" i="5" a="1"/>
  <c r="E509" i="5" s="1"/>
  <c r="E510" i="5" a="1"/>
  <c r="E510" i="5" s="1"/>
  <c r="E511" i="5" a="1"/>
  <c r="E511" i="5" s="1"/>
  <c r="E512" i="5" a="1"/>
  <c r="E512" i="5" s="1"/>
  <c r="E513" i="5" a="1"/>
  <c r="E513" i="5" s="1"/>
  <c r="E514" i="5" a="1"/>
  <c r="E514" i="5" s="1"/>
  <c r="E515" i="5" a="1"/>
  <c r="E515" i="5" s="1"/>
  <c r="E516" i="5" a="1"/>
  <c r="E516" i="5" s="1"/>
  <c r="E517" i="5" a="1"/>
  <c r="E517" i="5" s="1"/>
  <c r="E518" i="5" a="1"/>
  <c r="E518" i="5" s="1"/>
  <c r="E519" i="5" a="1"/>
  <c r="E519" i="5" s="1"/>
  <c r="E520" i="5" a="1"/>
  <c r="E520" i="5" s="1"/>
  <c r="E521" i="5" a="1"/>
  <c r="E521" i="5" s="1"/>
  <c r="E522" i="5" a="1"/>
  <c r="E522" i="5" s="1"/>
  <c r="E523" i="5" a="1"/>
  <c r="E523" i="5" s="1"/>
  <c r="E524" i="5" a="1"/>
  <c r="E524" i="5" s="1"/>
  <c r="E525" i="5" a="1"/>
  <c r="E525" i="5" s="1"/>
  <c r="E526" i="5" a="1"/>
  <c r="E526" i="5" s="1"/>
  <c r="E527" i="5" a="1"/>
  <c r="E527" i="5" s="1"/>
  <c r="E528" i="5" a="1"/>
  <c r="E528" i="5" s="1"/>
  <c r="E529" i="5" a="1"/>
  <c r="E529" i="5" s="1"/>
  <c r="E530" i="5" a="1"/>
  <c r="E530" i="5" s="1"/>
  <c r="E531" i="5" a="1"/>
  <c r="E531" i="5" s="1"/>
  <c r="E532" i="5" a="1"/>
  <c r="E532" i="5" s="1"/>
  <c r="E533" i="5" a="1"/>
  <c r="E533" i="5" s="1"/>
  <c r="E534" i="5" a="1"/>
  <c r="E534" i="5" s="1"/>
  <c r="E535" i="5" a="1"/>
  <c r="E535" i="5" s="1"/>
  <c r="E536" i="5" a="1"/>
  <c r="E536" i="5" s="1"/>
  <c r="E537" i="5" a="1"/>
  <c r="E537" i="5" s="1"/>
  <c r="E538" i="5" a="1"/>
  <c r="E538" i="5" s="1"/>
  <c r="E539" i="5" a="1"/>
  <c r="E539" i="5" s="1"/>
  <c r="E540" i="5" a="1"/>
  <c r="E540" i="5" s="1"/>
  <c r="E541" i="5" a="1"/>
  <c r="E541" i="5" s="1"/>
  <c r="E542" i="5" a="1"/>
  <c r="E542" i="5" s="1"/>
  <c r="E543" i="5" a="1"/>
  <c r="E543" i="5" s="1"/>
  <c r="E544" i="5" a="1"/>
  <c r="E544" i="5" s="1"/>
  <c r="E545" i="5" a="1"/>
  <c r="E545" i="5" s="1"/>
  <c r="E546" i="5" a="1"/>
  <c r="E546" i="5"/>
  <c r="E547" i="5" a="1"/>
  <c r="E547" i="5" s="1"/>
  <c r="E548" i="5" a="1"/>
  <c r="E548" i="5" s="1"/>
  <c r="E549" i="5" a="1"/>
  <c r="E549" i="5" s="1"/>
  <c r="E550" i="5" a="1"/>
  <c r="E550" i="5" s="1"/>
  <c r="E551" i="5" a="1"/>
  <c r="E551" i="5" s="1"/>
  <c r="E552" i="5" a="1"/>
  <c r="E552" i="5" s="1"/>
  <c r="E553" i="5" a="1"/>
  <c r="E553" i="5" s="1"/>
  <c r="E554" i="5" a="1"/>
  <c r="E554" i="5" s="1"/>
  <c r="E555" i="5" a="1"/>
  <c r="E555" i="5" s="1"/>
  <c r="E556" i="5" a="1"/>
  <c r="E556" i="5" s="1"/>
  <c r="E557" i="5" a="1"/>
  <c r="E557" i="5" s="1"/>
  <c r="E558" i="5" a="1"/>
  <c r="E558" i="5" s="1"/>
  <c r="E559" i="5" a="1"/>
  <c r="E559" i="5" s="1"/>
  <c r="E560" i="5" a="1"/>
  <c r="E560" i="5" s="1"/>
  <c r="E561" i="5" a="1"/>
  <c r="E561" i="5" s="1"/>
  <c r="E562" i="5" a="1"/>
  <c r="E562" i="5" s="1"/>
  <c r="E563" i="5" a="1"/>
  <c r="E563" i="5" s="1"/>
  <c r="E564" i="5" a="1"/>
  <c r="E564" i="5" s="1"/>
  <c r="E565" i="5" a="1"/>
  <c r="E565" i="5" s="1"/>
  <c r="E566" i="5" a="1"/>
  <c r="E566" i="5" s="1"/>
  <c r="E567" i="5" a="1"/>
  <c r="E567" i="5" s="1"/>
  <c r="E568" i="5" a="1"/>
  <c r="E568" i="5" s="1"/>
  <c r="E569" i="5" a="1"/>
  <c r="E569" i="5" s="1"/>
  <c r="E570" i="5" a="1"/>
  <c r="E570" i="5" s="1"/>
  <c r="E571" i="5" a="1"/>
  <c r="E571" i="5" s="1"/>
  <c r="E572" i="5" a="1"/>
  <c r="E572" i="5" s="1"/>
  <c r="E573" i="5" a="1"/>
  <c r="E573" i="5" s="1"/>
  <c r="E574" i="5" a="1"/>
  <c r="E574" i="5" s="1"/>
  <c r="E575" i="5" a="1"/>
  <c r="E575" i="5" s="1"/>
  <c r="E576" i="5" a="1"/>
  <c r="E576" i="5" s="1"/>
  <c r="E577" i="5" a="1"/>
  <c r="E577" i="5" s="1"/>
  <c r="E578" i="5" a="1"/>
  <c r="E578" i="5" s="1"/>
  <c r="E579" i="5" a="1"/>
  <c r="E579" i="5" s="1"/>
  <c r="E580" i="5" a="1"/>
  <c r="E580" i="5" s="1"/>
  <c r="E581" i="5" a="1"/>
  <c r="E581" i="5" s="1"/>
  <c r="E582" i="5" a="1"/>
  <c r="E582" i="5" s="1"/>
  <c r="E583" i="5" a="1"/>
  <c r="E583" i="5" s="1"/>
  <c r="E584" i="5" a="1"/>
  <c r="E584" i="5" s="1"/>
  <c r="E585" i="5" a="1"/>
  <c r="E585" i="5" s="1"/>
  <c r="E586" i="5" a="1"/>
  <c r="E586" i="5" s="1"/>
  <c r="E587" i="5" a="1"/>
  <c r="E587" i="5" s="1"/>
  <c r="E588" i="5" a="1"/>
  <c r="E588" i="5" s="1"/>
  <c r="E589" i="5" a="1"/>
  <c r="E589" i="5" s="1"/>
  <c r="E590" i="5" a="1"/>
  <c r="E590" i="5" s="1"/>
  <c r="E591" i="5" a="1"/>
  <c r="E591" i="5" s="1"/>
  <c r="E592" i="5" a="1"/>
  <c r="E592" i="5" s="1"/>
  <c r="E593" i="5" a="1"/>
  <c r="E593" i="5" s="1"/>
  <c r="E594" i="5" a="1"/>
  <c r="E594" i="5" s="1"/>
  <c r="E595" i="5" a="1"/>
  <c r="E595" i="5" s="1"/>
  <c r="E596" i="5" a="1"/>
  <c r="E596" i="5" s="1"/>
  <c r="E597" i="5" a="1"/>
  <c r="E597" i="5" s="1"/>
  <c r="E598" i="5" a="1"/>
  <c r="E598" i="5" s="1"/>
  <c r="E599" i="5" a="1"/>
  <c r="E599" i="5" s="1"/>
  <c r="E600" i="5" a="1"/>
  <c r="E600" i="5" s="1"/>
  <c r="E601" i="5" a="1"/>
  <c r="E601" i="5" s="1"/>
  <c r="E602" i="5" a="1"/>
  <c r="E602" i="5" s="1"/>
  <c r="E603" i="5" a="1"/>
  <c r="E603" i="5" s="1"/>
  <c r="E604" i="5" a="1"/>
  <c r="E604" i="5" s="1"/>
  <c r="E605" i="5" a="1"/>
  <c r="E605" i="5" s="1"/>
  <c r="E606" i="5" a="1"/>
  <c r="E606" i="5" s="1"/>
  <c r="E607" i="5" a="1"/>
  <c r="E607" i="5" s="1"/>
  <c r="E608" i="5" a="1"/>
  <c r="E608" i="5" s="1"/>
  <c r="E609" i="5" a="1"/>
  <c r="E609" i="5" s="1"/>
  <c r="E610" i="5" a="1"/>
  <c r="E610" i="5" s="1"/>
  <c r="E611" i="5" a="1"/>
  <c r="E611" i="5" s="1"/>
  <c r="E612" i="5" a="1"/>
  <c r="E612" i="5" s="1"/>
  <c r="E613" i="5" a="1"/>
  <c r="E613" i="5" s="1"/>
  <c r="E614" i="5" a="1"/>
  <c r="E614" i="5" s="1"/>
  <c r="E615" i="5" a="1"/>
  <c r="E615" i="5" s="1"/>
  <c r="E616" i="5" a="1"/>
  <c r="E616" i="5" s="1"/>
  <c r="E617" i="5" a="1"/>
  <c r="E617" i="5" s="1"/>
  <c r="E618" i="5" a="1"/>
  <c r="E618" i="5" s="1"/>
  <c r="E619" i="5" a="1"/>
  <c r="E619" i="5" s="1"/>
  <c r="E620" i="5" a="1"/>
  <c r="E620" i="5" s="1"/>
  <c r="E621" i="5" a="1"/>
  <c r="E621" i="5" s="1"/>
  <c r="E622" i="5" a="1"/>
  <c r="E622" i="5" s="1"/>
  <c r="E623" i="5" a="1"/>
  <c r="E623" i="5" s="1"/>
  <c r="E624" i="5" a="1"/>
  <c r="E624" i="5" s="1"/>
  <c r="E625" i="5" a="1"/>
  <c r="E625" i="5" s="1"/>
  <c r="E626" i="5" a="1"/>
  <c r="E626" i="5" s="1"/>
  <c r="E627" i="5" a="1"/>
  <c r="E627" i="5" s="1"/>
  <c r="E628" i="5" a="1"/>
  <c r="E628" i="5" s="1"/>
  <c r="E629" i="5" a="1"/>
  <c r="E629" i="5" s="1"/>
  <c r="E630" i="5" a="1"/>
  <c r="E630" i="5" s="1"/>
  <c r="E631" i="5" a="1"/>
  <c r="E631" i="5" s="1"/>
  <c r="E632" i="5" a="1"/>
  <c r="E632" i="5" s="1"/>
  <c r="E633" i="5" a="1"/>
  <c r="E633" i="5" s="1"/>
  <c r="E634" i="5" a="1"/>
  <c r="E634" i="5" s="1"/>
  <c r="E635" i="5" a="1"/>
  <c r="E635" i="5" s="1"/>
  <c r="E636" i="5" a="1"/>
  <c r="E636" i="5" s="1"/>
  <c r="E637" i="5" a="1"/>
  <c r="E637" i="5" s="1"/>
  <c r="E638" i="5" a="1"/>
  <c r="E638" i="5" s="1"/>
  <c r="E639" i="5" a="1"/>
  <c r="E639" i="5" s="1"/>
  <c r="E640" i="5" a="1"/>
  <c r="E640" i="5" s="1"/>
  <c r="E641" i="5" a="1"/>
  <c r="E641" i="5" s="1"/>
  <c r="E642" i="5" a="1"/>
  <c r="E642" i="5" s="1"/>
  <c r="E643" i="5" a="1"/>
  <c r="E643" i="5" s="1"/>
  <c r="E644" i="5" a="1"/>
  <c r="E644" i="5" s="1"/>
  <c r="E645" i="5" a="1"/>
  <c r="E645" i="5" s="1"/>
  <c r="E646" i="5" a="1"/>
  <c r="E646" i="5" s="1"/>
  <c r="E647" i="5" a="1"/>
  <c r="E647" i="5" s="1"/>
  <c r="E648" i="5" a="1"/>
  <c r="E648" i="5" s="1"/>
  <c r="E649" i="5" a="1"/>
  <c r="E649" i="5" s="1"/>
  <c r="E650" i="5" a="1"/>
  <c r="E650" i="5" s="1"/>
  <c r="E651" i="5" a="1"/>
  <c r="E651" i="5" s="1"/>
  <c r="E652" i="5" a="1"/>
  <c r="E652" i="5" s="1"/>
  <c r="E653" i="5" a="1"/>
  <c r="E653" i="5" s="1"/>
  <c r="E654" i="5" a="1"/>
  <c r="E654" i="5" s="1"/>
  <c r="E655" i="5" a="1"/>
  <c r="E655" i="5" s="1"/>
  <c r="E656" i="5" a="1"/>
  <c r="E656" i="5" s="1"/>
  <c r="E657" i="5" a="1"/>
  <c r="E657" i="5" s="1"/>
  <c r="E658" i="5" a="1"/>
  <c r="E658" i="5" s="1"/>
  <c r="E659" i="5" a="1"/>
  <c r="E659" i="5" s="1"/>
  <c r="E660" i="5" a="1"/>
  <c r="E660" i="5" s="1"/>
  <c r="E661" i="5" a="1"/>
  <c r="E661" i="5" s="1"/>
  <c r="E662" i="5" a="1"/>
  <c r="E662" i="5" s="1"/>
  <c r="E663" i="5" a="1"/>
  <c r="E663" i="5" s="1"/>
  <c r="E664" i="5" a="1"/>
  <c r="E664" i="5" s="1"/>
  <c r="E665" i="5" a="1"/>
  <c r="E665" i="5"/>
  <c r="E666" i="5" a="1"/>
  <c r="E666" i="5" s="1"/>
  <c r="E667" i="5" a="1"/>
  <c r="E667" i="5" s="1"/>
  <c r="E668" i="5" a="1"/>
  <c r="E668" i="5" s="1"/>
  <c r="E669" i="5" a="1"/>
  <c r="E669" i="5" s="1"/>
  <c r="E670" i="5" a="1"/>
  <c r="E670" i="5" s="1"/>
  <c r="E671" i="5" a="1"/>
  <c r="E671" i="5" s="1"/>
  <c r="E672" i="5" a="1"/>
  <c r="E672" i="5"/>
  <c r="E673" i="5" a="1"/>
  <c r="E673" i="5" s="1"/>
  <c r="E674" i="5" a="1"/>
  <c r="E674" i="5" s="1"/>
  <c r="E675" i="5" a="1"/>
  <c r="E675" i="5" s="1"/>
  <c r="E676" i="5" a="1"/>
  <c r="E676" i="5" s="1"/>
  <c r="E677" i="5" a="1"/>
  <c r="E677" i="5" s="1"/>
  <c r="E678" i="5" a="1"/>
  <c r="E678" i="5" s="1"/>
  <c r="E679" i="5" a="1"/>
  <c r="E679" i="5" s="1"/>
  <c r="E680" i="5" a="1"/>
  <c r="E680" i="5" s="1"/>
  <c r="E681" i="5" a="1"/>
  <c r="E681" i="5" s="1"/>
  <c r="E682" i="5" a="1"/>
  <c r="E682" i="5" s="1"/>
  <c r="E683" i="5" a="1"/>
  <c r="E683" i="5" s="1"/>
  <c r="E684" i="5" a="1"/>
  <c r="E684" i="5" s="1"/>
  <c r="E685" i="5" a="1"/>
  <c r="E685" i="5" s="1"/>
  <c r="E686" i="5" a="1"/>
  <c r="E686" i="5" s="1"/>
  <c r="E687" i="5" a="1"/>
  <c r="E687" i="5" s="1"/>
  <c r="E688" i="5" a="1"/>
  <c r="E688" i="5" s="1"/>
  <c r="E689" i="5" a="1"/>
  <c r="E689" i="5" s="1"/>
  <c r="E690" i="5" a="1"/>
  <c r="E690" i="5" s="1"/>
  <c r="E691" i="5" a="1"/>
  <c r="E691" i="5" s="1"/>
  <c r="E692" i="5" a="1"/>
  <c r="E692" i="5" s="1"/>
  <c r="E693" i="5" a="1"/>
  <c r="E693" i="5" s="1"/>
  <c r="E694" i="5" a="1"/>
  <c r="E694" i="5" s="1"/>
  <c r="E695" i="5" a="1"/>
  <c r="E695" i="5" s="1"/>
  <c r="E696" i="5" a="1"/>
  <c r="E696" i="5" s="1"/>
  <c r="E697" i="5" a="1"/>
  <c r="E697" i="5" s="1"/>
  <c r="E698" i="5" a="1"/>
  <c r="E698" i="5" s="1"/>
  <c r="E699" i="5" a="1"/>
  <c r="E699" i="5" s="1"/>
  <c r="E700" i="5" a="1"/>
  <c r="E700" i="5" s="1"/>
  <c r="E701" i="5" a="1"/>
  <c r="E701" i="5" s="1"/>
  <c r="E702" i="5" a="1"/>
  <c r="E702" i="5" s="1"/>
  <c r="E703" i="5" a="1"/>
  <c r="E703" i="5" s="1"/>
  <c r="E704" i="5" a="1"/>
  <c r="E704" i="5" s="1"/>
  <c r="E705" i="5" a="1"/>
  <c r="E705" i="5" s="1"/>
  <c r="E706" i="5" a="1"/>
  <c r="E706" i="5" s="1"/>
  <c r="E707" i="5" a="1"/>
  <c r="E707" i="5" s="1"/>
  <c r="E708" i="5" a="1"/>
  <c r="E708" i="5" s="1"/>
  <c r="E709" i="5" a="1"/>
  <c r="E709" i="5" s="1"/>
  <c r="E710" i="5" a="1"/>
  <c r="E710" i="5" s="1"/>
  <c r="E711" i="5" a="1"/>
  <c r="E711" i="5" s="1"/>
  <c r="E712" i="5" a="1"/>
  <c r="E712" i="5"/>
  <c r="E713" i="5" a="1"/>
  <c r="E713" i="5" s="1"/>
  <c r="E714" i="5" a="1"/>
  <c r="E714" i="5" s="1"/>
  <c r="E715" i="5" a="1"/>
  <c r="E715" i="5" s="1"/>
  <c r="E716" i="5" a="1"/>
  <c r="E716" i="5" s="1"/>
  <c r="E717" i="5" a="1"/>
  <c r="E717" i="5"/>
  <c r="E718" i="5" a="1"/>
  <c r="E718" i="5" s="1"/>
  <c r="E719" i="5" a="1"/>
  <c r="E719" i="5" s="1"/>
  <c r="E720" i="5" a="1"/>
  <c r="E720" i="5" s="1"/>
  <c r="E721" i="5" a="1"/>
  <c r="E721" i="5" s="1"/>
  <c r="E722" i="5" a="1"/>
  <c r="E722" i="5" s="1"/>
  <c r="E723" i="5" a="1"/>
  <c r="E723" i="5" s="1"/>
  <c r="E724" i="5" a="1"/>
  <c r="E724" i="5" s="1"/>
  <c r="E725" i="5" a="1"/>
  <c r="E725" i="5" s="1"/>
  <c r="E726" i="5" a="1"/>
  <c r="E726" i="5" s="1"/>
  <c r="E727" i="5" a="1"/>
  <c r="E727" i="5"/>
  <c r="E728" i="5" a="1"/>
  <c r="E728" i="5" s="1"/>
  <c r="E729" i="5" a="1"/>
  <c r="E729" i="5" s="1"/>
  <c r="E730" i="5" a="1"/>
  <c r="E730" i="5" s="1"/>
  <c r="E731" i="5" a="1"/>
  <c r="E731" i="5" s="1"/>
  <c r="E732" i="5" a="1"/>
  <c r="E732" i="5" s="1"/>
  <c r="E733" i="5" a="1"/>
  <c r="E733" i="5"/>
  <c r="E734" i="5" a="1"/>
  <c r="E734" i="5" s="1"/>
  <c r="E735" i="5" a="1"/>
  <c r="E735" i="5" s="1"/>
  <c r="E736" i="5" a="1"/>
  <c r="E736" i="5" s="1"/>
  <c r="E737" i="5" a="1"/>
  <c r="E737" i="5" s="1"/>
  <c r="E738" i="5" a="1"/>
  <c r="E738" i="5" s="1"/>
  <c r="E739" i="5" a="1"/>
  <c r="E739" i="5" s="1"/>
  <c r="E740" i="5" a="1"/>
  <c r="E740" i="5" s="1"/>
  <c r="E741" i="5" a="1"/>
  <c r="E741" i="5" s="1"/>
  <c r="E742" i="5" a="1"/>
  <c r="E742" i="5" s="1"/>
  <c r="E743" i="5" a="1"/>
  <c r="E743" i="5" s="1"/>
  <c r="E744" i="5" a="1"/>
  <c r="E744" i="5" s="1"/>
  <c r="E745" i="5" a="1"/>
  <c r="E745" i="5" s="1"/>
  <c r="E746" i="5" a="1"/>
  <c r="E746" i="5" s="1"/>
  <c r="E747" i="5" a="1"/>
  <c r="E747" i="5" s="1"/>
  <c r="E748" i="5" a="1"/>
  <c r="E748" i="5" s="1"/>
  <c r="E749" i="5" a="1"/>
  <c r="E749" i="5" s="1"/>
  <c r="E750" i="5" a="1"/>
  <c r="E750" i="5" s="1"/>
  <c r="E751" i="5" a="1"/>
  <c r="E751" i="5" s="1"/>
  <c r="E752" i="5" a="1"/>
  <c r="E752" i="5" s="1"/>
  <c r="E753" i="5" a="1"/>
  <c r="E753" i="5" s="1"/>
  <c r="E754" i="5" a="1"/>
  <c r="E754" i="5" s="1"/>
  <c r="E755" i="5" a="1"/>
  <c r="E755" i="5" s="1"/>
  <c r="E756" i="5" a="1"/>
  <c r="E756" i="5" s="1"/>
  <c r="E757" i="5" a="1"/>
  <c r="E757" i="5" s="1"/>
  <c r="E758" i="5" a="1"/>
  <c r="E758" i="5" s="1"/>
  <c r="E759" i="5" a="1"/>
  <c r="E759" i="5" s="1"/>
  <c r="E760" i="5" a="1"/>
  <c r="E760" i="5" s="1"/>
  <c r="E761" i="5" a="1"/>
  <c r="E761" i="5" s="1"/>
  <c r="E762" i="5" a="1"/>
  <c r="E762" i="5" s="1"/>
  <c r="E763" i="5" a="1"/>
  <c r="E763" i="5" s="1"/>
  <c r="E764" i="5" a="1"/>
  <c r="E764" i="5" s="1"/>
  <c r="E765" i="5" a="1"/>
  <c r="E765" i="5" s="1"/>
  <c r="E766" i="5" a="1"/>
  <c r="E766" i="5" s="1"/>
  <c r="E767" i="5" a="1"/>
  <c r="E767" i="5"/>
  <c r="E768" i="5" a="1"/>
  <c r="E768" i="5" s="1"/>
  <c r="E769" i="5" a="1"/>
  <c r="E769" i="5" s="1"/>
  <c r="E770" i="5" a="1"/>
  <c r="E770" i="5" s="1"/>
  <c r="E771" i="5" a="1"/>
  <c r="E771" i="5" s="1"/>
  <c r="E772" i="5" a="1"/>
  <c r="E772" i="5" s="1"/>
  <c r="E773" i="5" a="1"/>
  <c r="E773" i="5" s="1"/>
  <c r="E774" i="5" a="1"/>
  <c r="E774" i="5" s="1"/>
  <c r="E775" i="5" a="1"/>
  <c r="E775" i="5" s="1"/>
  <c r="E776" i="5" a="1"/>
  <c r="E776" i="5" s="1"/>
  <c r="E777" i="5" a="1"/>
  <c r="E777" i="5" s="1"/>
  <c r="E778" i="5" a="1"/>
  <c r="E778" i="5" s="1"/>
  <c r="E779" i="5" a="1"/>
  <c r="E779" i="5" s="1"/>
  <c r="E780" i="5" a="1"/>
  <c r="E780" i="5" s="1"/>
  <c r="E781" i="5" a="1"/>
  <c r="E781" i="5" s="1"/>
  <c r="E782" i="5" a="1"/>
  <c r="E782" i="5" s="1"/>
  <c r="E783" i="5" a="1"/>
  <c r="E783" i="5" s="1"/>
  <c r="E784" i="5" a="1"/>
  <c r="E784" i="5"/>
  <c r="E785" i="5" a="1"/>
  <c r="E785" i="5" s="1"/>
  <c r="E786" i="5" a="1"/>
  <c r="E786" i="5" s="1"/>
  <c r="E787" i="5" a="1"/>
  <c r="E787" i="5" s="1"/>
  <c r="E788" i="5" a="1"/>
  <c r="E788" i="5" s="1"/>
  <c r="E789" i="5" a="1"/>
  <c r="E789" i="5" s="1"/>
  <c r="E790" i="5" a="1"/>
  <c r="E790" i="5" s="1"/>
  <c r="E791" i="5" a="1"/>
  <c r="E791" i="5" s="1"/>
  <c r="E792" i="5" a="1"/>
  <c r="E792" i="5" s="1"/>
  <c r="E793" i="5" a="1"/>
  <c r="E793" i="5" s="1"/>
  <c r="E794" i="5" a="1"/>
  <c r="E794" i="5" s="1"/>
  <c r="E795" i="5" a="1"/>
  <c r="E795" i="5" s="1"/>
  <c r="E796" i="5" a="1"/>
  <c r="E796" i="5" s="1"/>
  <c r="E797" i="5" a="1"/>
  <c r="E797" i="5" s="1"/>
  <c r="E798" i="5" a="1"/>
  <c r="E798" i="5" s="1"/>
  <c r="E799" i="5" a="1"/>
  <c r="E799" i="5" s="1"/>
  <c r="E800" i="5" a="1"/>
  <c r="E800" i="5" s="1"/>
  <c r="E801" i="5" a="1"/>
  <c r="E801" i="5" s="1"/>
  <c r="E802" i="5" a="1"/>
  <c r="E802" i="5" s="1"/>
  <c r="E803" i="5" a="1"/>
  <c r="E803" i="5" s="1"/>
  <c r="E804" i="5" a="1"/>
  <c r="E804" i="5" s="1"/>
  <c r="E805" i="5" a="1"/>
  <c r="E805" i="5" s="1"/>
  <c r="E806" i="5" a="1"/>
  <c r="E806" i="5" s="1"/>
  <c r="E807" i="5" a="1"/>
  <c r="E807" i="5" s="1"/>
  <c r="E808" i="5" a="1"/>
  <c r="E808" i="5" s="1"/>
  <c r="E809" i="5" a="1"/>
  <c r="E809" i="5" s="1"/>
  <c r="E810" i="5" a="1"/>
  <c r="E810" i="5" s="1"/>
  <c r="E811" i="5" a="1"/>
  <c r="E811" i="5" s="1"/>
  <c r="E812" i="5" a="1"/>
  <c r="E812" i="5" s="1"/>
  <c r="E813" i="5" a="1"/>
  <c r="E813" i="5" s="1"/>
  <c r="E814" i="5" a="1"/>
  <c r="E814" i="5" s="1"/>
  <c r="E815" i="5" a="1"/>
  <c r="E815" i="5" s="1"/>
  <c r="E816" i="5" a="1"/>
  <c r="E816" i="5" s="1"/>
  <c r="E817" i="5" a="1"/>
  <c r="E817" i="5" s="1"/>
  <c r="E818" i="5" a="1"/>
  <c r="E818" i="5" s="1"/>
  <c r="E819" i="5" a="1"/>
  <c r="E819" i="5" s="1"/>
  <c r="E820" i="5" a="1"/>
  <c r="E820" i="5" s="1"/>
  <c r="E821" i="5" a="1"/>
  <c r="E821" i="5" s="1"/>
  <c r="E822" i="5" a="1"/>
  <c r="E822" i="5" s="1"/>
  <c r="E823" i="5" a="1"/>
  <c r="E823" i="5" s="1"/>
  <c r="E824" i="5" a="1"/>
  <c r="E824" i="5" s="1"/>
  <c r="E825" i="5" a="1"/>
  <c r="E825" i="5" s="1"/>
  <c r="E826" i="5" a="1"/>
  <c r="E826" i="5" s="1"/>
  <c r="E827" i="5" a="1"/>
  <c r="E827" i="5" s="1"/>
  <c r="E828" i="5" a="1"/>
  <c r="E828" i="5" s="1"/>
  <c r="E829" i="5" a="1"/>
  <c r="E829" i="5" s="1"/>
  <c r="E830" i="5" a="1"/>
  <c r="E830" i="5" s="1"/>
  <c r="E831" i="5" a="1"/>
  <c r="E831" i="5" s="1"/>
  <c r="E832" i="5" a="1"/>
  <c r="E832" i="5" s="1"/>
  <c r="E833" i="5" a="1"/>
  <c r="E833" i="5" s="1"/>
  <c r="E834" i="5" a="1"/>
  <c r="E834" i="5" s="1"/>
  <c r="E835" i="5" a="1"/>
  <c r="E835" i="5" s="1"/>
  <c r="E836" i="5" a="1"/>
  <c r="E836" i="5" s="1"/>
  <c r="E837" i="5" a="1"/>
  <c r="E837" i="5" s="1"/>
  <c r="E838" i="5" a="1"/>
  <c r="E838" i="5" s="1"/>
  <c r="E839" i="5" a="1"/>
  <c r="E839" i="5" s="1"/>
  <c r="E840" i="5" a="1"/>
  <c r="E840" i="5" s="1"/>
  <c r="E841" i="5" a="1"/>
  <c r="E841" i="5"/>
  <c r="E842" i="5" a="1"/>
  <c r="E842" i="5" s="1"/>
  <c r="E843" i="5" a="1"/>
  <c r="E843" i="5" s="1"/>
  <c r="E844" i="5" a="1"/>
  <c r="E844" i="5" s="1"/>
  <c r="E845" i="5" a="1"/>
  <c r="E845" i="5" s="1"/>
  <c r="E846" i="5" a="1"/>
  <c r="E846" i="5" s="1"/>
  <c r="E847" i="5" a="1"/>
  <c r="E847" i="5" s="1"/>
  <c r="E848" i="5" a="1"/>
  <c r="E848" i="5" s="1"/>
  <c r="E849" i="5" a="1"/>
  <c r="E849" i="5" s="1"/>
  <c r="E850" i="5" a="1"/>
  <c r="E850" i="5" s="1"/>
  <c r="E851" i="5" a="1"/>
  <c r="E851" i="5" s="1"/>
  <c r="E852" i="5" a="1"/>
  <c r="E852" i="5" s="1"/>
  <c r="E853" i="5" a="1"/>
  <c r="E853" i="5" s="1"/>
  <c r="E854" i="5" a="1"/>
  <c r="E854" i="5" s="1"/>
  <c r="E855" i="5" a="1"/>
  <c r="E855" i="5" s="1"/>
  <c r="E856" i="5" a="1"/>
  <c r="E856" i="5" s="1"/>
  <c r="E857" i="5" a="1"/>
  <c r="E857" i="5" s="1"/>
  <c r="E858" i="5" a="1"/>
  <c r="E858" i="5" s="1"/>
  <c r="E859" i="5" a="1"/>
  <c r="E859" i="5" s="1"/>
  <c r="E860" i="5" a="1"/>
  <c r="E860" i="5" s="1"/>
  <c r="E861" i="5" a="1"/>
  <c r="E861" i="5" s="1"/>
  <c r="E862" i="5" a="1"/>
  <c r="E862" i="5" s="1"/>
  <c r="E863" i="5" a="1"/>
  <c r="E863" i="5" s="1"/>
  <c r="E864" i="5" a="1"/>
  <c r="E864" i="5" s="1"/>
  <c r="E865" i="5" a="1"/>
  <c r="E865" i="5" s="1"/>
  <c r="E866" i="5" a="1"/>
  <c r="E866" i="5" s="1"/>
  <c r="E867" i="5" a="1"/>
  <c r="E867" i="5" s="1"/>
  <c r="E868" i="5" a="1"/>
  <c r="E868" i="5" s="1"/>
  <c r="E869" i="5" a="1"/>
  <c r="E869" i="5" s="1"/>
  <c r="E870" i="5" a="1"/>
  <c r="E870" i="5"/>
  <c r="E871" i="5" a="1"/>
  <c r="E871" i="5" s="1"/>
  <c r="E872" i="5" a="1"/>
  <c r="E872" i="5" s="1"/>
  <c r="E873" i="5" a="1"/>
  <c r="E873" i="5" s="1"/>
  <c r="E874" i="5" a="1"/>
  <c r="E874" i="5" s="1"/>
  <c r="E875" i="5" a="1"/>
  <c r="E875" i="5" s="1"/>
  <c r="E876" i="5" a="1"/>
  <c r="E876" i="5" s="1"/>
  <c r="E877" i="5" a="1"/>
  <c r="E877" i="5" s="1"/>
  <c r="E878" i="5" a="1"/>
  <c r="E878" i="5" s="1"/>
  <c r="E879" i="5" a="1"/>
  <c r="E879" i="5" s="1"/>
  <c r="E880" i="5" a="1"/>
  <c r="E880" i="5" s="1"/>
  <c r="E881" i="5" a="1"/>
  <c r="E881" i="5" s="1"/>
  <c r="E882" i="5" a="1"/>
  <c r="E882" i="5" s="1"/>
  <c r="E883" i="5" a="1"/>
  <c r="E883" i="5" s="1"/>
  <c r="E884" i="5" a="1"/>
  <c r="E884" i="5" s="1"/>
  <c r="E885" i="5" a="1"/>
  <c r="E885" i="5" s="1"/>
  <c r="E886" i="5" a="1"/>
  <c r="E886" i="5" s="1"/>
  <c r="E887" i="5" a="1"/>
  <c r="E887" i="5" s="1"/>
  <c r="E888" i="5" a="1"/>
  <c r="E888" i="5" s="1"/>
  <c r="E889" i="5" a="1"/>
  <c r="E889" i="5" s="1"/>
  <c r="E890" i="5" a="1"/>
  <c r="E890" i="5" s="1"/>
  <c r="E891" i="5" a="1"/>
  <c r="E891" i="5"/>
  <c r="E892" i="5" a="1"/>
  <c r="E892" i="5" s="1"/>
  <c r="E893" i="5" a="1"/>
  <c r="E893" i="5" s="1"/>
  <c r="E894" i="5" a="1"/>
  <c r="E894" i="5" s="1"/>
  <c r="E895" i="5" a="1"/>
  <c r="E895" i="5" s="1"/>
  <c r="E896" i="5" a="1"/>
  <c r="E896" i="5" s="1"/>
  <c r="E897" i="5" a="1"/>
  <c r="E897" i="5" s="1"/>
  <c r="E898" i="5" a="1"/>
  <c r="E898" i="5" s="1"/>
  <c r="E899" i="5" a="1"/>
  <c r="E899" i="5" s="1"/>
  <c r="E900" i="5" a="1"/>
  <c r="E900" i="5" s="1"/>
  <c r="E901" i="5" a="1"/>
  <c r="E901" i="5" s="1"/>
  <c r="E902" i="5" a="1"/>
  <c r="E902" i="5" s="1"/>
  <c r="E903" i="5" a="1"/>
  <c r="E903" i="5" s="1"/>
  <c r="E904" i="5" a="1"/>
  <c r="E904" i="5" s="1"/>
  <c r="E905" i="5" a="1"/>
  <c r="E905" i="5" s="1"/>
  <c r="E906" i="5" a="1"/>
  <c r="E906" i="5" s="1"/>
  <c r="E907" i="5" a="1"/>
  <c r="E907" i="5" s="1"/>
  <c r="E908" i="5" a="1"/>
  <c r="E908" i="5" s="1"/>
  <c r="E909" i="5" a="1"/>
  <c r="E909" i="5" s="1"/>
  <c r="E910" i="5" a="1"/>
  <c r="E910" i="5" s="1"/>
  <c r="E911" i="5" a="1"/>
  <c r="E911" i="5" s="1"/>
  <c r="E912" i="5" a="1"/>
  <c r="E912" i="5" s="1"/>
  <c r="E913" i="5" a="1"/>
  <c r="E913" i="5" s="1"/>
  <c r="E914" i="5" a="1"/>
  <c r="E914" i="5" s="1"/>
  <c r="E915" i="5" a="1"/>
  <c r="E915" i="5" s="1"/>
  <c r="E916" i="5" a="1"/>
  <c r="E916" i="5" s="1"/>
  <c r="E917" i="5" a="1"/>
  <c r="E917" i="5" s="1"/>
  <c r="E918" i="5" a="1"/>
  <c r="E918" i="5" s="1"/>
  <c r="E919" i="5" a="1"/>
  <c r="E919" i="5"/>
  <c r="E920" i="5" a="1"/>
  <c r="E920" i="5" s="1"/>
  <c r="E921" i="5" a="1"/>
  <c r="E921" i="5" s="1"/>
  <c r="E922" i="5" a="1"/>
  <c r="E922" i="5" s="1"/>
  <c r="E923" i="5" a="1"/>
  <c r="E923" i="5" s="1"/>
  <c r="E924" i="5" a="1"/>
  <c r="E924" i="5" s="1"/>
  <c r="E925" i="5" a="1"/>
  <c r="E925" i="5"/>
  <c r="E926" i="5" a="1"/>
  <c r="E926" i="5"/>
  <c r="E927" i="5" a="1"/>
  <c r="E927" i="5" s="1"/>
  <c r="E928" i="5" a="1"/>
  <c r="E928" i="5" s="1"/>
  <c r="E929" i="5" a="1"/>
  <c r="E929" i="5" s="1"/>
  <c r="E930" i="5" a="1"/>
  <c r="E930" i="5" s="1"/>
  <c r="E931" i="5" a="1"/>
  <c r="E931" i="5" s="1"/>
  <c r="E932" i="5" a="1"/>
  <c r="E932" i="5" s="1"/>
  <c r="E933" i="5" a="1"/>
  <c r="E933" i="5" s="1"/>
  <c r="E934" i="5" a="1"/>
  <c r="E934" i="5" s="1"/>
  <c r="E935" i="5" a="1"/>
  <c r="E935" i="5" s="1"/>
  <c r="E936" i="5" a="1"/>
  <c r="E936" i="5" s="1"/>
  <c r="E937" i="5" a="1"/>
  <c r="E937" i="5" s="1"/>
  <c r="E938" i="5" a="1"/>
  <c r="E938" i="5" s="1"/>
  <c r="E939" i="5" a="1"/>
  <c r="E939" i="5" s="1"/>
  <c r="E940" i="5" a="1"/>
  <c r="E940" i="5" s="1"/>
  <c r="E941" i="5" a="1"/>
  <c r="E941" i="5" s="1"/>
  <c r="E942" i="5" a="1"/>
  <c r="E942" i="5" s="1"/>
  <c r="E943" i="5" a="1"/>
  <c r="E943" i="5" s="1"/>
  <c r="E944" i="5" a="1"/>
  <c r="E944" i="5" s="1"/>
  <c r="E945" i="5" a="1"/>
  <c r="E945" i="5" s="1"/>
  <c r="E946" i="5" a="1"/>
  <c r="E946" i="5" s="1"/>
  <c r="E947" i="5" a="1"/>
  <c r="E947" i="5" s="1"/>
  <c r="E948" i="5" a="1"/>
  <c r="E948" i="5" s="1"/>
  <c r="E949" i="5" a="1"/>
  <c r="E949" i="5" s="1"/>
  <c r="E950" i="5" a="1"/>
  <c r="E950" i="5" s="1"/>
  <c r="E951" i="5" a="1"/>
  <c r="E951" i="5" s="1"/>
  <c r="E952" i="5" a="1"/>
  <c r="E952" i="5" s="1"/>
  <c r="E953" i="5" a="1"/>
  <c r="E953" i="5" s="1"/>
  <c r="E954" i="5" a="1"/>
  <c r="E954" i="5" s="1"/>
  <c r="E955" i="5" a="1"/>
  <c r="E955" i="5" s="1"/>
  <c r="E956" i="5" a="1"/>
  <c r="E956" i="5" s="1"/>
  <c r="E957" i="5" a="1"/>
  <c r="E957" i="5"/>
  <c r="E958" i="5" a="1"/>
  <c r="E958" i="5" s="1"/>
  <c r="E959" i="5" a="1"/>
  <c r="E959" i="5" s="1"/>
  <c r="E960" i="5" a="1"/>
  <c r="E960" i="5" s="1"/>
  <c r="E961" i="5" a="1"/>
  <c r="E961" i="5" s="1"/>
  <c r="E962" i="5" a="1"/>
  <c r="E962" i="5" s="1"/>
  <c r="E963" i="5" a="1"/>
  <c r="E963" i="5" s="1"/>
  <c r="E964" i="5" a="1"/>
  <c r="E964" i="5" s="1"/>
  <c r="E965" i="5" a="1"/>
  <c r="E965" i="5" s="1"/>
  <c r="E966" i="5" a="1"/>
  <c r="E966" i="5" s="1"/>
  <c r="E967" i="5" a="1"/>
  <c r="E967" i="5" s="1"/>
  <c r="E968" i="5" a="1"/>
  <c r="E968" i="5" s="1"/>
  <c r="E969" i="5" a="1"/>
  <c r="E969" i="5" s="1"/>
  <c r="E970" i="5" a="1"/>
  <c r="E970" i="5" s="1"/>
  <c r="E971" i="5" a="1"/>
  <c r="E971" i="5" s="1"/>
  <c r="E972" i="5" a="1"/>
  <c r="E972" i="5" s="1"/>
  <c r="E973" i="5" a="1"/>
  <c r="E973" i="5" s="1"/>
  <c r="E974" i="5" a="1"/>
  <c r="E974" i="5" s="1"/>
  <c r="E975" i="5" a="1"/>
  <c r="E975" i="5" s="1"/>
  <c r="E976" i="5" a="1"/>
  <c r="E976" i="5" s="1"/>
  <c r="E977" i="5" a="1"/>
  <c r="E977" i="5" s="1"/>
  <c r="E978" i="5" a="1"/>
  <c r="E978" i="5"/>
  <c r="E979" i="5" a="1"/>
  <c r="E979" i="5" s="1"/>
  <c r="E980" i="5" a="1"/>
  <c r="E980" i="5"/>
  <c r="E981" i="5" a="1"/>
  <c r="E981" i="5" s="1"/>
  <c r="E982" i="5" a="1"/>
  <c r="E982" i="5" s="1"/>
  <c r="E983" i="5" a="1"/>
  <c r="E983" i="5" s="1"/>
  <c r="E984" i="5" a="1"/>
  <c r="E984" i="5" s="1"/>
  <c r="E985" i="5" a="1"/>
  <c r="E985" i="5" s="1"/>
  <c r="E986" i="5" a="1"/>
  <c r="E986" i="5" s="1"/>
  <c r="E987" i="5" a="1"/>
  <c r="E987" i="5" s="1"/>
  <c r="E988" i="5" a="1"/>
  <c r="E988" i="5" s="1"/>
  <c r="E989" i="5" a="1"/>
  <c r="E989" i="5" s="1"/>
  <c r="E990" i="5" a="1"/>
  <c r="E990" i="5"/>
  <c r="E991" i="5" a="1"/>
  <c r="E991" i="5" s="1"/>
  <c r="E992" i="5" a="1"/>
  <c r="E992" i="5" s="1"/>
  <c r="E993" i="5" a="1"/>
  <c r="E993" i="5" s="1"/>
  <c r="E994" i="5" a="1"/>
  <c r="E994" i="5" s="1"/>
  <c r="E995" i="5" a="1"/>
  <c r="E995" i="5" s="1"/>
  <c r="E996" i="5" a="1"/>
  <c r="E996" i="5" s="1"/>
  <c r="E997" i="5" a="1"/>
  <c r="E997" i="5" s="1"/>
  <c r="E998" i="5" a="1"/>
  <c r="E998" i="5" s="1"/>
  <c r="E999" i="5" a="1"/>
  <c r="E999" i="5" s="1"/>
  <c r="E1000" i="5" a="1"/>
  <c r="E1000" i="5" s="1"/>
  <c r="E1001" i="5" a="1"/>
  <c r="E1001" i="5" s="1"/>
  <c r="C3" i="5" a="1"/>
  <c r="C3" i="5" s="1"/>
  <c r="C4" i="5" a="1"/>
  <c r="C4" i="5" s="1"/>
  <c r="C5" i="5" a="1"/>
  <c r="C5" i="5" s="1"/>
  <c r="C6" i="5" a="1"/>
  <c r="C6" i="5" s="1"/>
  <c r="C7" i="5" a="1"/>
  <c r="C7" i="5" s="1"/>
  <c r="C8" i="5" a="1"/>
  <c r="C8" i="5" s="1"/>
  <c r="C9" i="5" a="1"/>
  <c r="C9" i="5" s="1"/>
  <c r="C10" i="5" a="1"/>
  <c r="C10" i="5" s="1"/>
  <c r="C11" i="5" a="1"/>
  <c r="C11" i="5" s="1"/>
  <c r="C12" i="5" a="1"/>
  <c r="C12" i="5" s="1"/>
  <c r="C13" i="5" a="1"/>
  <c r="C13" i="5" s="1"/>
  <c r="C14" i="5" a="1"/>
  <c r="C14" i="5" s="1"/>
  <c r="C15" i="5" a="1"/>
  <c r="C15" i="5" s="1"/>
  <c r="C16" i="5" a="1"/>
  <c r="C16" i="5" s="1"/>
  <c r="C17" i="5" a="1"/>
  <c r="C17" i="5" s="1"/>
  <c r="C18" i="5" a="1"/>
  <c r="C18" i="5" s="1"/>
  <c r="C19" i="5" a="1"/>
  <c r="C19" i="5" s="1"/>
  <c r="C20" i="5" a="1"/>
  <c r="C20" i="5" s="1"/>
  <c r="C21" i="5" a="1"/>
  <c r="C21" i="5" s="1"/>
  <c r="C22" i="5" a="1"/>
  <c r="C22" i="5" s="1"/>
  <c r="C23" i="5" a="1"/>
  <c r="C23" i="5" s="1"/>
  <c r="C24" i="5" a="1"/>
  <c r="C24" i="5" s="1"/>
  <c r="C25" i="5" a="1"/>
  <c r="C25" i="5" s="1"/>
  <c r="C26" i="5" a="1"/>
  <c r="C26" i="5" s="1"/>
  <c r="C27" i="5" a="1"/>
  <c r="C27" i="5" s="1"/>
  <c r="C28" i="5" a="1"/>
  <c r="C28" i="5" s="1"/>
  <c r="C29" i="5" a="1"/>
  <c r="C29" i="5" s="1"/>
  <c r="C30" i="5" a="1"/>
  <c r="C30" i="5" s="1"/>
  <c r="C31" i="5" a="1"/>
  <c r="C31" i="5" s="1"/>
  <c r="C32" i="5" a="1"/>
  <c r="C32" i="5" s="1"/>
  <c r="C33" i="5" a="1"/>
  <c r="C33" i="5" s="1"/>
  <c r="C34" i="5" a="1"/>
  <c r="C34" i="5" s="1"/>
  <c r="C35" i="5" a="1"/>
  <c r="C35" i="5"/>
  <c r="C36" i="5" a="1"/>
  <c r="C36" i="5" s="1"/>
  <c r="C37" i="5" a="1"/>
  <c r="C37" i="5" s="1"/>
  <c r="C38" i="5" a="1"/>
  <c r="C38" i="5" s="1"/>
  <c r="C39" i="5" a="1"/>
  <c r="C39" i="5" s="1"/>
  <c r="C40" i="5" a="1"/>
  <c r="C40" i="5" s="1"/>
  <c r="C41" i="5" a="1"/>
  <c r="C41" i="5" s="1"/>
  <c r="C42" i="5" a="1"/>
  <c r="C42" i="5" s="1"/>
  <c r="C43" i="5" a="1"/>
  <c r="C43" i="5" s="1"/>
  <c r="C44" i="5" a="1"/>
  <c r="C44" i="5" s="1"/>
  <c r="C45" i="5" a="1"/>
  <c r="C45" i="5" s="1"/>
  <c r="C46" i="5" a="1"/>
  <c r="C46" i="5" s="1"/>
  <c r="C47" i="5" a="1"/>
  <c r="C47" i="5" s="1"/>
  <c r="C48" i="5" a="1"/>
  <c r="C48" i="5" s="1"/>
  <c r="C49" i="5" a="1"/>
  <c r="C49" i="5" s="1"/>
  <c r="C50" i="5" a="1"/>
  <c r="C50" i="5" s="1"/>
  <c r="C51" i="5" a="1"/>
  <c r="C51" i="5" s="1"/>
  <c r="C52" i="5" a="1"/>
  <c r="C52" i="5" s="1"/>
  <c r="C53" i="5" a="1"/>
  <c r="C53" i="5" s="1"/>
  <c r="C54" i="5" a="1"/>
  <c r="C54" i="5"/>
  <c r="C55" i="5" a="1"/>
  <c r="C55" i="5" s="1"/>
  <c r="C56" i="5" a="1"/>
  <c r="C56" i="5" s="1"/>
  <c r="C57" i="5" a="1"/>
  <c r="C57" i="5" s="1"/>
  <c r="C58" i="5" a="1"/>
  <c r="C58" i="5" s="1"/>
  <c r="C59" i="5" a="1"/>
  <c r="C59" i="5" s="1"/>
  <c r="C60" i="5" a="1"/>
  <c r="C60" i="5" s="1"/>
  <c r="C61" i="5" a="1"/>
  <c r="C61" i="5" s="1"/>
  <c r="C62" i="5" a="1"/>
  <c r="C62" i="5" s="1"/>
  <c r="C63" i="5" a="1"/>
  <c r="C63" i="5" s="1"/>
  <c r="C64" i="5" a="1"/>
  <c r="C64" i="5" s="1"/>
  <c r="C65" i="5" a="1"/>
  <c r="C65" i="5" s="1"/>
  <c r="C66" i="5" a="1"/>
  <c r="C66" i="5" s="1"/>
  <c r="C67" i="5" a="1"/>
  <c r="C67" i="5" s="1"/>
  <c r="C68" i="5" a="1"/>
  <c r="C68" i="5" s="1"/>
  <c r="C69" i="5" a="1"/>
  <c r="C69" i="5" s="1"/>
  <c r="C70" i="5" a="1"/>
  <c r="C70" i="5" s="1"/>
  <c r="C71" i="5" a="1"/>
  <c r="C71" i="5" s="1"/>
  <c r="C72" i="5" a="1"/>
  <c r="C72" i="5" s="1"/>
  <c r="C73" i="5" a="1"/>
  <c r="C73" i="5" s="1"/>
  <c r="C74" i="5" a="1"/>
  <c r="C74" i="5" s="1"/>
  <c r="C75" i="5" a="1"/>
  <c r="C75" i="5" s="1"/>
  <c r="C76" i="5" a="1"/>
  <c r="C76" i="5" s="1"/>
  <c r="C77" i="5" a="1"/>
  <c r="C77" i="5" s="1"/>
  <c r="C78" i="5" a="1"/>
  <c r="C78" i="5" s="1"/>
  <c r="C79" i="5" a="1"/>
  <c r="C79" i="5" s="1"/>
  <c r="C80" i="5" a="1"/>
  <c r="C80" i="5" s="1"/>
  <c r="C81" i="5" a="1"/>
  <c r="C81" i="5" s="1"/>
  <c r="C82" i="5" a="1"/>
  <c r="C82" i="5" s="1"/>
  <c r="C83" i="5" a="1"/>
  <c r="C83" i="5" s="1"/>
  <c r="C84" i="5" a="1"/>
  <c r="C84" i="5" s="1"/>
  <c r="C85" i="5" a="1"/>
  <c r="C85" i="5" s="1"/>
  <c r="C86" i="5" a="1"/>
  <c r="C86" i="5" s="1"/>
  <c r="C87" i="5" a="1"/>
  <c r="C87" i="5" s="1"/>
  <c r="C88" i="5" a="1"/>
  <c r="C88" i="5" s="1"/>
  <c r="C89" i="5" a="1"/>
  <c r="C89" i="5" s="1"/>
  <c r="C90" i="5" a="1"/>
  <c r="C90" i="5" s="1"/>
  <c r="C91" i="5" a="1"/>
  <c r="C91" i="5" s="1"/>
  <c r="C92" i="5" a="1"/>
  <c r="C92" i="5" s="1"/>
  <c r="C93" i="5" a="1"/>
  <c r="C93" i="5" s="1"/>
  <c r="C94" i="5" a="1"/>
  <c r="C94" i="5" s="1"/>
  <c r="C95" i="5" a="1"/>
  <c r="C95" i="5" s="1"/>
  <c r="C96" i="5" a="1"/>
  <c r="C96" i="5" s="1"/>
  <c r="C97" i="5" a="1"/>
  <c r="C97" i="5" s="1"/>
  <c r="C98" i="5" a="1"/>
  <c r="C98" i="5" s="1"/>
  <c r="C99" i="5" a="1"/>
  <c r="C99" i="5" s="1"/>
  <c r="C100" i="5" a="1"/>
  <c r="C100" i="5" s="1"/>
  <c r="C101" i="5" a="1"/>
  <c r="C101" i="5" s="1"/>
  <c r="C102" i="5" a="1"/>
  <c r="C102" i="5" s="1"/>
  <c r="C103" i="5" a="1"/>
  <c r="C103" i="5" s="1"/>
  <c r="C104" i="5" a="1"/>
  <c r="C104" i="5" s="1"/>
  <c r="C105" i="5" a="1"/>
  <c r="C105" i="5" s="1"/>
  <c r="C106" i="5" a="1"/>
  <c r="C106" i="5" s="1"/>
  <c r="C107" i="5" a="1"/>
  <c r="C107" i="5" s="1"/>
  <c r="C108" i="5" a="1"/>
  <c r="C108" i="5" s="1"/>
  <c r="C109" i="5" a="1"/>
  <c r="C109" i="5" s="1"/>
  <c r="C110" i="5" a="1"/>
  <c r="C110" i="5" s="1"/>
  <c r="C111" i="5" a="1"/>
  <c r="C111" i="5" s="1"/>
  <c r="C112" i="5" a="1"/>
  <c r="C112" i="5" s="1"/>
  <c r="C113" i="5" a="1"/>
  <c r="C113" i="5" s="1"/>
  <c r="C114" i="5" a="1"/>
  <c r="C114" i="5" s="1"/>
  <c r="C115" i="5" a="1"/>
  <c r="C115" i="5" s="1"/>
  <c r="C116" i="5" a="1"/>
  <c r="C116" i="5" s="1"/>
  <c r="C117" i="5" a="1"/>
  <c r="C117" i="5" s="1"/>
  <c r="C118" i="5" a="1"/>
  <c r="C118" i="5" s="1"/>
  <c r="C119" i="5" a="1"/>
  <c r="C119" i="5" s="1"/>
  <c r="C120" i="5" a="1"/>
  <c r="C120" i="5" s="1"/>
  <c r="C121" i="5" a="1"/>
  <c r="C121" i="5" s="1"/>
  <c r="C122" i="5" a="1"/>
  <c r="C122" i="5" s="1"/>
  <c r="C123" i="5" a="1"/>
  <c r="C123" i="5" s="1"/>
  <c r="C124" i="5" a="1"/>
  <c r="C124" i="5" s="1"/>
  <c r="C125" i="5" a="1"/>
  <c r="C125" i="5" s="1"/>
  <c r="C126" i="5" a="1"/>
  <c r="C126" i="5" s="1"/>
  <c r="C127" i="5" a="1"/>
  <c r="C127" i="5" s="1"/>
  <c r="C128" i="5" a="1"/>
  <c r="C128" i="5" s="1"/>
  <c r="C129" i="5" a="1"/>
  <c r="C129" i="5" s="1"/>
  <c r="C130" i="5" a="1"/>
  <c r="C130" i="5" s="1"/>
  <c r="C131" i="5" a="1"/>
  <c r="C131" i="5" s="1"/>
  <c r="C132" i="5" a="1"/>
  <c r="C132" i="5" s="1"/>
  <c r="C133" i="5" a="1"/>
  <c r="C133" i="5" s="1"/>
  <c r="C134" i="5" a="1"/>
  <c r="C134" i="5" s="1"/>
  <c r="C135" i="5" a="1"/>
  <c r="C135" i="5" s="1"/>
  <c r="C136" i="5" a="1"/>
  <c r="C136" i="5"/>
  <c r="C137" i="5" a="1"/>
  <c r="C137" i="5" s="1"/>
  <c r="C138" i="5" a="1"/>
  <c r="C138" i="5" s="1"/>
  <c r="C139" i="5" a="1"/>
  <c r="C139" i="5" s="1"/>
  <c r="C140" i="5" a="1"/>
  <c r="C140" i="5" s="1"/>
  <c r="C141" i="5" a="1"/>
  <c r="C141" i="5" s="1"/>
  <c r="C142" i="5" a="1"/>
  <c r="C142" i="5" s="1"/>
  <c r="C143" i="5" a="1"/>
  <c r="C143" i="5" s="1"/>
  <c r="C144" i="5" a="1"/>
  <c r="C144" i="5" s="1"/>
  <c r="C145" i="5" a="1"/>
  <c r="C145" i="5" s="1"/>
  <c r="C146" i="5" a="1"/>
  <c r="C146" i="5" s="1"/>
  <c r="C147" i="5" a="1"/>
  <c r="C147" i="5" s="1"/>
  <c r="C148" i="5" a="1"/>
  <c r="C148" i="5" s="1"/>
  <c r="C149" i="5" a="1"/>
  <c r="C149" i="5"/>
  <c r="C150" i="5" a="1"/>
  <c r="C150" i="5" s="1"/>
  <c r="C151" i="5" a="1"/>
  <c r="C151" i="5" s="1"/>
  <c r="C152" i="5" a="1"/>
  <c r="C152" i="5" s="1"/>
  <c r="C153" i="5" a="1"/>
  <c r="C153" i="5" s="1"/>
  <c r="C154" i="5" a="1"/>
  <c r="C154" i="5" s="1"/>
  <c r="C155" i="5" a="1"/>
  <c r="C155" i="5" s="1"/>
  <c r="C156" i="5" a="1"/>
  <c r="C156" i="5" s="1"/>
  <c r="C157" i="5" a="1"/>
  <c r="C157" i="5" s="1"/>
  <c r="C158" i="5" a="1"/>
  <c r="C158" i="5" s="1"/>
  <c r="C159" i="5" a="1"/>
  <c r="C159" i="5" s="1"/>
  <c r="C160" i="5" a="1"/>
  <c r="C160" i="5" s="1"/>
  <c r="C161" i="5" a="1"/>
  <c r="C161" i="5" s="1"/>
  <c r="C162" i="5" a="1"/>
  <c r="C162" i="5" s="1"/>
  <c r="C163" i="5" a="1"/>
  <c r="C163" i="5" s="1"/>
  <c r="C164" i="5" a="1"/>
  <c r="C164" i="5" s="1"/>
  <c r="C165" i="5" a="1"/>
  <c r="C165" i="5" s="1"/>
  <c r="C166" i="5" a="1"/>
  <c r="C166" i="5" s="1"/>
  <c r="C167" i="5" a="1"/>
  <c r="C167" i="5" s="1"/>
  <c r="C168" i="5" a="1"/>
  <c r="C168" i="5" s="1"/>
  <c r="C169" i="5" a="1"/>
  <c r="C169" i="5" s="1"/>
  <c r="C170" i="5" a="1"/>
  <c r="C170" i="5" s="1"/>
  <c r="C171" i="5" a="1"/>
  <c r="C171" i="5" s="1"/>
  <c r="C172" i="5" a="1"/>
  <c r="C172" i="5" s="1"/>
  <c r="C173" i="5" a="1"/>
  <c r="C173" i="5" s="1"/>
  <c r="C174" i="5" a="1"/>
  <c r="C174" i="5"/>
  <c r="C175" i="5" a="1"/>
  <c r="C175" i="5" s="1"/>
  <c r="C176" i="5" a="1"/>
  <c r="C176" i="5" s="1"/>
  <c r="C177" i="5" a="1"/>
  <c r="C177" i="5" s="1"/>
  <c r="C178" i="5" a="1"/>
  <c r="C178" i="5" s="1"/>
  <c r="C179" i="5" a="1"/>
  <c r="C179" i="5" s="1"/>
  <c r="C180" i="5" a="1"/>
  <c r="C180" i="5" s="1"/>
  <c r="C181" i="5" a="1"/>
  <c r="C181" i="5" s="1"/>
  <c r="C182" i="5" a="1"/>
  <c r="C182" i="5" s="1"/>
  <c r="C183" i="5" a="1"/>
  <c r="C183" i="5" s="1"/>
  <c r="C184" i="5" a="1"/>
  <c r="C184" i="5"/>
  <c r="C185" i="5" a="1"/>
  <c r="C185" i="5" s="1"/>
  <c r="C186" i="5" a="1"/>
  <c r="C186" i="5" s="1"/>
  <c r="C187" i="5" a="1"/>
  <c r="C187" i="5" s="1"/>
  <c r="C188" i="5" a="1"/>
  <c r="C188" i="5" s="1"/>
  <c r="C189" i="5" a="1"/>
  <c r="C189" i="5" s="1"/>
  <c r="C190" i="5" a="1"/>
  <c r="C190" i="5" s="1"/>
  <c r="C191" i="5" a="1"/>
  <c r="C191" i="5" s="1"/>
  <c r="C192" i="5" a="1"/>
  <c r="C192" i="5" s="1"/>
  <c r="C193" i="5" a="1"/>
  <c r="C193" i="5" s="1"/>
  <c r="C194" i="5" a="1"/>
  <c r="C194" i="5" s="1"/>
  <c r="C195" i="5" a="1"/>
  <c r="C195" i="5" s="1"/>
  <c r="C196" i="5" a="1"/>
  <c r="C196" i="5" s="1"/>
  <c r="C197" i="5" a="1"/>
  <c r="C197" i="5" s="1"/>
  <c r="C198" i="5" a="1"/>
  <c r="C198" i="5" s="1"/>
  <c r="C199" i="5" a="1"/>
  <c r="C199" i="5" s="1"/>
  <c r="C200" i="5" a="1"/>
  <c r="C200" i="5" s="1"/>
  <c r="C201" i="5" a="1"/>
  <c r="C201" i="5" s="1"/>
  <c r="C202" i="5" a="1"/>
  <c r="C202" i="5"/>
  <c r="C203" i="5" a="1"/>
  <c r="C203" i="5" s="1"/>
  <c r="C204" i="5" a="1"/>
  <c r="C204" i="5" s="1"/>
  <c r="C205" i="5" a="1"/>
  <c r="C205" i="5" s="1"/>
  <c r="C206" i="5" a="1"/>
  <c r="C206" i="5" s="1"/>
  <c r="C207" i="5" a="1"/>
  <c r="C207" i="5" s="1"/>
  <c r="C208" i="5" a="1"/>
  <c r="C208" i="5" s="1"/>
  <c r="C209" i="5" a="1"/>
  <c r="C209" i="5" s="1"/>
  <c r="C210" i="5" a="1"/>
  <c r="C210" i="5" s="1"/>
  <c r="C211" i="5" a="1"/>
  <c r="C211" i="5" s="1"/>
  <c r="C212" i="5" a="1"/>
  <c r="C212" i="5" s="1"/>
  <c r="C213" i="5" a="1"/>
  <c r="C213" i="5" s="1"/>
  <c r="C214" i="5" a="1"/>
  <c r="C214" i="5" s="1"/>
  <c r="C215" i="5" a="1"/>
  <c r="C215" i="5" s="1"/>
  <c r="C216" i="5" a="1"/>
  <c r="C216" i="5" s="1"/>
  <c r="C217" i="5" a="1"/>
  <c r="C217" i="5" s="1"/>
  <c r="C218" i="5" a="1"/>
  <c r="C218" i="5" s="1"/>
  <c r="C219" i="5" a="1"/>
  <c r="C219" i="5" s="1"/>
  <c r="C220" i="5" a="1"/>
  <c r="C220" i="5" s="1"/>
  <c r="C221" i="5" a="1"/>
  <c r="C221" i="5" s="1"/>
  <c r="C222" i="5" a="1"/>
  <c r="C222" i="5" s="1"/>
  <c r="C223" i="5" a="1"/>
  <c r="C223" i="5" s="1"/>
  <c r="C224" i="5" a="1"/>
  <c r="C224" i="5" s="1"/>
  <c r="C225" i="5" a="1"/>
  <c r="C225" i="5" s="1"/>
  <c r="C226" i="5" a="1"/>
  <c r="C226" i="5" s="1"/>
  <c r="C227" i="5" a="1"/>
  <c r="C227" i="5" s="1"/>
  <c r="C228" i="5" a="1"/>
  <c r="C228" i="5" s="1"/>
  <c r="C229" i="5" a="1"/>
  <c r="C229" i="5" s="1"/>
  <c r="C230" i="5" a="1"/>
  <c r="C230" i="5" s="1"/>
  <c r="C231" i="5" a="1"/>
  <c r="C231" i="5" s="1"/>
  <c r="C232" i="5" a="1"/>
  <c r="C232" i="5" s="1"/>
  <c r="C233" i="5" a="1"/>
  <c r="C233" i="5" s="1"/>
  <c r="C234" i="5" a="1"/>
  <c r="C234" i="5" s="1"/>
  <c r="C235" i="5" a="1"/>
  <c r="C235" i="5" s="1"/>
  <c r="C236" i="5" a="1"/>
  <c r="C236" i="5" s="1"/>
  <c r="C237" i="5" a="1"/>
  <c r="C237" i="5" s="1"/>
  <c r="C238" i="5" a="1"/>
  <c r="C238" i="5" s="1"/>
  <c r="C239" i="5" a="1"/>
  <c r="C239" i="5" s="1"/>
  <c r="C240" i="5" a="1"/>
  <c r="C240" i="5" s="1"/>
  <c r="C241" i="5" a="1"/>
  <c r="C241" i="5" s="1"/>
  <c r="C242" i="5" a="1"/>
  <c r="C242" i="5" s="1"/>
  <c r="C243" i="5" a="1"/>
  <c r="C243" i="5" s="1"/>
  <c r="C244" i="5" a="1"/>
  <c r="C244" i="5" s="1"/>
  <c r="C245" i="5" a="1"/>
  <c r="C245" i="5" s="1"/>
  <c r="C246" i="5" a="1"/>
  <c r="C246" i="5" s="1"/>
  <c r="C247" i="5" a="1"/>
  <c r="C247" i="5" s="1"/>
  <c r="C248" i="5" a="1"/>
  <c r="C248" i="5" s="1"/>
  <c r="C249" i="5" a="1"/>
  <c r="C249" i="5" s="1"/>
  <c r="C250" i="5" a="1"/>
  <c r="C250" i="5" s="1"/>
  <c r="C251" i="5" a="1"/>
  <c r="C251" i="5" s="1"/>
  <c r="C252" i="5" a="1"/>
  <c r="C252" i="5" s="1"/>
  <c r="C253" i="5" a="1"/>
  <c r="C253" i="5" s="1"/>
  <c r="C254" i="5" a="1"/>
  <c r="C254" i="5" s="1"/>
  <c r="C255" i="5" a="1"/>
  <c r="C255" i="5" s="1"/>
  <c r="C256" i="5" a="1"/>
  <c r="C256" i="5" s="1"/>
  <c r="C257" i="5" a="1"/>
  <c r="C257" i="5" s="1"/>
  <c r="C258" i="5" a="1"/>
  <c r="C258" i="5" s="1"/>
  <c r="C259" i="5" a="1"/>
  <c r="C259" i="5" s="1"/>
  <c r="C260" i="5" a="1"/>
  <c r="C260" i="5" s="1"/>
  <c r="C261" i="5" a="1"/>
  <c r="C261" i="5" s="1"/>
  <c r="C262" i="5" a="1"/>
  <c r="C262" i="5" s="1"/>
  <c r="C263" i="5" a="1"/>
  <c r="C263" i="5" s="1"/>
  <c r="C264" i="5" a="1"/>
  <c r="C264" i="5" s="1"/>
  <c r="C265" i="5" a="1"/>
  <c r="C265" i="5" s="1"/>
  <c r="C266" i="5" a="1"/>
  <c r="C266" i="5" s="1"/>
  <c r="C267" i="5" a="1"/>
  <c r="C267" i="5" s="1"/>
  <c r="C268" i="5" a="1"/>
  <c r="C268" i="5" s="1"/>
  <c r="C269" i="5" a="1"/>
  <c r="C269" i="5" s="1"/>
  <c r="C270" i="5" a="1"/>
  <c r="C270" i="5" s="1"/>
  <c r="C271" i="5" a="1"/>
  <c r="C271" i="5" s="1"/>
  <c r="C272" i="5" a="1"/>
  <c r="C272" i="5"/>
  <c r="C273" i="5" a="1"/>
  <c r="C273" i="5" s="1"/>
  <c r="C274" i="5" a="1"/>
  <c r="C274" i="5" s="1"/>
  <c r="C275" i="5" a="1"/>
  <c r="C275" i="5" s="1"/>
  <c r="C276" i="5" a="1"/>
  <c r="C276" i="5" s="1"/>
  <c r="C277" i="5" a="1"/>
  <c r="C277" i="5" s="1"/>
  <c r="C278" i="5" a="1"/>
  <c r="C278" i="5" s="1"/>
  <c r="C279" i="5" a="1"/>
  <c r="C279" i="5" s="1"/>
  <c r="C280" i="5" a="1"/>
  <c r="C280" i="5" s="1"/>
  <c r="C281" i="5" a="1"/>
  <c r="C281" i="5" s="1"/>
  <c r="C282" i="5" a="1"/>
  <c r="C282" i="5" s="1"/>
  <c r="C283" i="5" a="1"/>
  <c r="C283" i="5" s="1"/>
  <c r="C284" i="5" a="1"/>
  <c r="C284" i="5" s="1"/>
  <c r="C285" i="5" a="1"/>
  <c r="C285" i="5" s="1"/>
  <c r="C286" i="5" a="1"/>
  <c r="C286" i="5" s="1"/>
  <c r="C287" i="5" a="1"/>
  <c r="C287" i="5" s="1"/>
  <c r="C288" i="5" a="1"/>
  <c r="C288" i="5" s="1"/>
  <c r="C289" i="5" a="1"/>
  <c r="C289" i="5" s="1"/>
  <c r="C290" i="5" a="1"/>
  <c r="C290" i="5" s="1"/>
  <c r="C291" i="5" a="1"/>
  <c r="C291" i="5" s="1"/>
  <c r="C292" i="5" a="1"/>
  <c r="C292" i="5"/>
  <c r="C293" i="5" a="1"/>
  <c r="C293" i="5" s="1"/>
  <c r="C294" i="5" a="1"/>
  <c r="C294" i="5" s="1"/>
  <c r="C295" i="5" a="1"/>
  <c r="C295" i="5" s="1"/>
  <c r="C296" i="5" a="1"/>
  <c r="C296" i="5" s="1"/>
  <c r="C297" i="5" a="1"/>
  <c r="C297" i="5" s="1"/>
  <c r="C298" i="5" a="1"/>
  <c r="C298" i="5" s="1"/>
  <c r="C299" i="5" a="1"/>
  <c r="C299" i="5" s="1"/>
  <c r="C300" i="5" a="1"/>
  <c r="C300" i="5" s="1"/>
  <c r="C301" i="5" a="1"/>
  <c r="C301" i="5" s="1"/>
  <c r="C302" i="5" a="1"/>
  <c r="C302" i="5" s="1"/>
  <c r="C303" i="5" a="1"/>
  <c r="C303" i="5" s="1"/>
  <c r="C304" i="5" a="1"/>
  <c r="C304" i="5" s="1"/>
  <c r="C305" i="5" a="1"/>
  <c r="C305" i="5" s="1"/>
  <c r="C306" i="5" a="1"/>
  <c r="C306" i="5" s="1"/>
  <c r="C307" i="5" a="1"/>
  <c r="C307" i="5" s="1"/>
  <c r="C308" i="5" a="1"/>
  <c r="C308" i="5" s="1"/>
  <c r="C309" i="5" a="1"/>
  <c r="C309" i="5" s="1"/>
  <c r="C310" i="5" a="1"/>
  <c r="C310" i="5" s="1"/>
  <c r="C311" i="5" a="1"/>
  <c r="C311" i="5" s="1"/>
  <c r="C312" i="5" a="1"/>
  <c r="C312" i="5" s="1"/>
  <c r="C313" i="5" a="1"/>
  <c r="C313" i="5" s="1"/>
  <c r="C314" i="5" a="1"/>
  <c r="C314" i="5" s="1"/>
  <c r="C315" i="5" a="1"/>
  <c r="C315" i="5" s="1"/>
  <c r="C316" i="5" a="1"/>
  <c r="C316" i="5" s="1"/>
  <c r="C317" i="5" a="1"/>
  <c r="C317" i="5" s="1"/>
  <c r="C318" i="5" a="1"/>
  <c r="C318" i="5" s="1"/>
  <c r="C319" i="5" a="1"/>
  <c r="C319" i="5"/>
  <c r="C320" i="5" a="1"/>
  <c r="C320" i="5" s="1"/>
  <c r="C321" i="5" a="1"/>
  <c r="C321" i="5" s="1"/>
  <c r="C322" i="5" a="1"/>
  <c r="C322" i="5" s="1"/>
  <c r="C323" i="5" a="1"/>
  <c r="C323" i="5" s="1"/>
  <c r="C324" i="5" a="1"/>
  <c r="C324" i="5" s="1"/>
  <c r="C325" i="5" a="1"/>
  <c r="C325" i="5" s="1"/>
  <c r="C326" i="5" a="1"/>
  <c r="C326" i="5" s="1"/>
  <c r="C327" i="5" a="1"/>
  <c r="C327" i="5" s="1"/>
  <c r="C328" i="5" a="1"/>
  <c r="C328" i="5" s="1"/>
  <c r="C329" i="5" a="1"/>
  <c r="C329" i="5" s="1"/>
  <c r="C330" i="5" a="1"/>
  <c r="C330" i="5" s="1"/>
  <c r="C331" i="5" a="1"/>
  <c r="C331" i="5"/>
  <c r="C332" i="5" a="1"/>
  <c r="C332" i="5" s="1"/>
  <c r="C333" i="5" a="1"/>
  <c r="C333" i="5" s="1"/>
  <c r="C334" i="5" a="1"/>
  <c r="C334" i="5" s="1"/>
  <c r="C335" i="5" a="1"/>
  <c r="C335" i="5"/>
  <c r="C336" i="5" a="1"/>
  <c r="C336" i="5" s="1"/>
  <c r="C337" i="5" a="1"/>
  <c r="C337" i="5" s="1"/>
  <c r="C338" i="5" a="1"/>
  <c r="C338" i="5" s="1"/>
  <c r="C339" i="5" a="1"/>
  <c r="C339" i="5" s="1"/>
  <c r="C340" i="5" a="1"/>
  <c r="C340" i="5" s="1"/>
  <c r="C341" i="5" a="1"/>
  <c r="C341" i="5" s="1"/>
  <c r="C342" i="5" a="1"/>
  <c r="C342" i="5" s="1"/>
  <c r="C343" i="5" a="1"/>
  <c r="C343" i="5" s="1"/>
  <c r="C344" i="5" a="1"/>
  <c r="C344" i="5" s="1"/>
  <c r="C345" i="5" a="1"/>
  <c r="C345" i="5" s="1"/>
  <c r="C346" i="5" a="1"/>
  <c r="C346" i="5" s="1"/>
  <c r="C347" i="5" a="1"/>
  <c r="C347" i="5" s="1"/>
  <c r="C348" i="5" a="1"/>
  <c r="C348" i="5" s="1"/>
  <c r="C349" i="5" a="1"/>
  <c r="C349" i="5" s="1"/>
  <c r="C350" i="5" a="1"/>
  <c r="C350" i="5" s="1"/>
  <c r="C351" i="5" a="1"/>
  <c r="C351" i="5" s="1"/>
  <c r="C352" i="5" a="1"/>
  <c r="C352" i="5" s="1"/>
  <c r="C353" i="5" a="1"/>
  <c r="C353" i="5" s="1"/>
  <c r="C354" i="5" a="1"/>
  <c r="C354" i="5" s="1"/>
  <c r="C355" i="5" a="1"/>
  <c r="C355" i="5" s="1"/>
  <c r="C356" i="5" a="1"/>
  <c r="C356" i="5" s="1"/>
  <c r="C357" i="5" a="1"/>
  <c r="C357" i="5" s="1"/>
  <c r="C358" i="5" a="1"/>
  <c r="C358" i="5" s="1"/>
  <c r="C359" i="5" a="1"/>
  <c r="C359" i="5" s="1"/>
  <c r="C360" i="5" a="1"/>
  <c r="C360" i="5" s="1"/>
  <c r="C361" i="5" a="1"/>
  <c r="C361" i="5" s="1"/>
  <c r="C362" i="5" a="1"/>
  <c r="C362" i="5" s="1"/>
  <c r="C363" i="5" a="1"/>
  <c r="C363" i="5" s="1"/>
  <c r="C364" i="5" a="1"/>
  <c r="C364" i="5" s="1"/>
  <c r="C365" i="5" a="1"/>
  <c r="C365" i="5" s="1"/>
  <c r="C366" i="5" a="1"/>
  <c r="C366" i="5" s="1"/>
  <c r="C367" i="5" a="1"/>
  <c r="C367" i="5" s="1"/>
  <c r="C368" i="5" a="1"/>
  <c r="C368" i="5" s="1"/>
  <c r="C369" i="5" a="1"/>
  <c r="C369" i="5" s="1"/>
  <c r="C370" i="5" a="1"/>
  <c r="C370" i="5" s="1"/>
  <c r="C371" i="5" a="1"/>
  <c r="C371" i="5" s="1"/>
  <c r="C372" i="5" a="1"/>
  <c r="C372" i="5"/>
  <c r="C373" i="5" a="1"/>
  <c r="C373" i="5" s="1"/>
  <c r="C374" i="5" a="1"/>
  <c r="C374" i="5" s="1"/>
  <c r="C375" i="5" a="1"/>
  <c r="C375" i="5" s="1"/>
  <c r="C376" i="5" a="1"/>
  <c r="C376" i="5" s="1"/>
  <c r="C377" i="5" a="1"/>
  <c r="C377" i="5" s="1"/>
  <c r="C378" i="5" a="1"/>
  <c r="C378" i="5" s="1"/>
  <c r="C379" i="5" a="1"/>
  <c r="C379" i="5" s="1"/>
  <c r="C380" i="5" a="1"/>
  <c r="C380" i="5" s="1"/>
  <c r="C381" i="5" a="1"/>
  <c r="C381" i="5" s="1"/>
  <c r="C382" i="5" a="1"/>
  <c r="C382" i="5" s="1"/>
  <c r="C383" i="5" a="1"/>
  <c r="C383" i="5" s="1"/>
  <c r="C384" i="5" a="1"/>
  <c r="C384" i="5" s="1"/>
  <c r="C385" i="5" a="1"/>
  <c r="C385" i="5" s="1"/>
  <c r="C386" i="5" a="1"/>
  <c r="C386" i="5" s="1"/>
  <c r="C387" i="5" a="1"/>
  <c r="C387" i="5" s="1"/>
  <c r="C388" i="5" a="1"/>
  <c r="C388" i="5" s="1"/>
  <c r="C389" i="5" a="1"/>
  <c r="C389" i="5" s="1"/>
  <c r="C390" i="5" a="1"/>
  <c r="C390" i="5" s="1"/>
  <c r="C391" i="5" a="1"/>
  <c r="C391" i="5" s="1"/>
  <c r="C392" i="5" a="1"/>
  <c r="C392" i="5" s="1"/>
  <c r="C393" i="5" a="1"/>
  <c r="C393" i="5" s="1"/>
  <c r="C394" i="5" a="1"/>
  <c r="C394" i="5" s="1"/>
  <c r="C395" i="5" a="1"/>
  <c r="C395" i="5" s="1"/>
  <c r="C396" i="5" a="1"/>
  <c r="C396" i="5" s="1"/>
  <c r="C397" i="5" a="1"/>
  <c r="C397" i="5" s="1"/>
  <c r="C398" i="5" a="1"/>
  <c r="C398" i="5"/>
  <c r="C399" i="5" a="1"/>
  <c r="C399" i="5" s="1"/>
  <c r="C400" i="5" a="1"/>
  <c r="C400" i="5" s="1"/>
  <c r="C401" i="5" a="1"/>
  <c r="C401" i="5" s="1"/>
  <c r="C402" i="5" a="1"/>
  <c r="C402" i="5" s="1"/>
  <c r="C403" i="5" a="1"/>
  <c r="C403" i="5" s="1"/>
  <c r="C404" i="5" a="1"/>
  <c r="C404" i="5" s="1"/>
  <c r="C405" i="5" a="1"/>
  <c r="C405" i="5" s="1"/>
  <c r="C406" i="5" a="1"/>
  <c r="C406" i="5" s="1"/>
  <c r="C407" i="5" a="1"/>
  <c r="C407" i="5" s="1"/>
  <c r="C408" i="5" a="1"/>
  <c r="C408" i="5" s="1"/>
  <c r="C409" i="5" a="1"/>
  <c r="C409" i="5" s="1"/>
  <c r="C410" i="5" a="1"/>
  <c r="C410" i="5" s="1"/>
  <c r="C411" i="5" a="1"/>
  <c r="C411" i="5" s="1"/>
  <c r="C412" i="5" a="1"/>
  <c r="C412" i="5" s="1"/>
  <c r="C413" i="5" a="1"/>
  <c r="C413" i="5" s="1"/>
  <c r="C414" i="5" a="1"/>
  <c r="C414" i="5" s="1"/>
  <c r="C415" i="5" a="1"/>
  <c r="C415" i="5" s="1"/>
  <c r="C416" i="5" a="1"/>
  <c r="C416" i="5" s="1"/>
  <c r="C417" i="5" a="1"/>
  <c r="C417" i="5" s="1"/>
  <c r="C418" i="5" a="1"/>
  <c r="C418" i="5" s="1"/>
  <c r="C419" i="5" a="1"/>
  <c r="C419" i="5" s="1"/>
  <c r="C420" i="5" a="1"/>
  <c r="C420" i="5" s="1"/>
  <c r="C421" i="5" a="1"/>
  <c r="C421" i="5" s="1"/>
  <c r="C422" i="5" a="1"/>
  <c r="C422" i="5" s="1"/>
  <c r="C423" i="5" a="1"/>
  <c r="C423" i="5" s="1"/>
  <c r="C424" i="5" a="1"/>
  <c r="C424" i="5" s="1"/>
  <c r="C425" i="5" a="1"/>
  <c r="C425" i="5" s="1"/>
  <c r="C426" i="5" a="1"/>
  <c r="C426" i="5" s="1"/>
  <c r="C427" i="5" a="1"/>
  <c r="C427" i="5" s="1"/>
  <c r="C428" i="5" a="1"/>
  <c r="C428" i="5" s="1"/>
  <c r="C429" i="5" a="1"/>
  <c r="C429" i="5" s="1"/>
  <c r="C430" i="5" a="1"/>
  <c r="C430" i="5" s="1"/>
  <c r="C431" i="5" a="1"/>
  <c r="C431" i="5" s="1"/>
  <c r="C432" i="5" a="1"/>
  <c r="C432" i="5" s="1"/>
  <c r="C433" i="5" a="1"/>
  <c r="C433" i="5" s="1"/>
  <c r="C434" i="5" a="1"/>
  <c r="C434" i="5" s="1"/>
  <c r="C435" i="5" a="1"/>
  <c r="C435" i="5" s="1"/>
  <c r="C436" i="5" a="1"/>
  <c r="C436" i="5" s="1"/>
  <c r="C437" i="5" a="1"/>
  <c r="C437" i="5" s="1"/>
  <c r="C438" i="5" a="1"/>
  <c r="C438" i="5" s="1"/>
  <c r="C439" i="5" a="1"/>
  <c r="C439" i="5" s="1"/>
  <c r="C440" i="5" a="1"/>
  <c r="C440" i="5" s="1"/>
  <c r="C441" i="5" a="1"/>
  <c r="C441" i="5" s="1"/>
  <c r="C442" i="5" a="1"/>
  <c r="C442" i="5" s="1"/>
  <c r="C443" i="5" a="1"/>
  <c r="C443" i="5" s="1"/>
  <c r="C444" i="5" a="1"/>
  <c r="C444" i="5" s="1"/>
  <c r="C445" i="5" a="1"/>
  <c r="C445" i="5" s="1"/>
  <c r="C446" i="5" a="1"/>
  <c r="C446" i="5" s="1"/>
  <c r="C447" i="5" a="1"/>
  <c r="C447" i="5" s="1"/>
  <c r="C448" i="5" a="1"/>
  <c r="C448" i="5" s="1"/>
  <c r="C449" i="5" a="1"/>
  <c r="C449" i="5" s="1"/>
  <c r="C450" i="5" a="1"/>
  <c r="C450" i="5" s="1"/>
  <c r="C451" i="5" a="1"/>
  <c r="C451" i="5" s="1"/>
  <c r="C452" i="5" a="1"/>
  <c r="C452" i="5" s="1"/>
  <c r="C453" i="5" a="1"/>
  <c r="C453" i="5" s="1"/>
  <c r="C454" i="5" a="1"/>
  <c r="C454" i="5" s="1"/>
  <c r="C455" i="5" a="1"/>
  <c r="C455" i="5" s="1"/>
  <c r="C456" i="5" a="1"/>
  <c r="C456" i="5" s="1"/>
  <c r="C457" i="5" a="1"/>
  <c r="C457" i="5" s="1"/>
  <c r="C458" i="5" a="1"/>
  <c r="C458" i="5" s="1"/>
  <c r="C459" i="5" a="1"/>
  <c r="C459" i="5" s="1"/>
  <c r="C460" i="5" a="1"/>
  <c r="C460" i="5" s="1"/>
  <c r="C461" i="5" a="1"/>
  <c r="C461" i="5"/>
  <c r="C462" i="5" a="1"/>
  <c r="C462" i="5" s="1"/>
  <c r="C463" i="5" a="1"/>
  <c r="C463" i="5" s="1"/>
  <c r="C464" i="5" a="1"/>
  <c r="C464" i="5" s="1"/>
  <c r="C465" i="5" a="1"/>
  <c r="C465" i="5" s="1"/>
  <c r="C466" i="5" a="1"/>
  <c r="C466" i="5" s="1"/>
  <c r="C467" i="5" a="1"/>
  <c r="C467" i="5" s="1"/>
  <c r="C468" i="5" a="1"/>
  <c r="C468" i="5" s="1"/>
  <c r="C469" i="5" a="1"/>
  <c r="C469" i="5" s="1"/>
  <c r="C470" i="5" a="1"/>
  <c r="C470" i="5" s="1"/>
  <c r="C471" i="5" a="1"/>
  <c r="C471" i="5" s="1"/>
  <c r="C472" i="5" a="1"/>
  <c r="C472" i="5" s="1"/>
  <c r="C473" i="5" a="1"/>
  <c r="C473" i="5" s="1"/>
  <c r="C474" i="5" a="1"/>
  <c r="C474" i="5" s="1"/>
  <c r="C475" i="5" a="1"/>
  <c r="C475" i="5"/>
  <c r="C476" i="5" a="1"/>
  <c r="C476" i="5" s="1"/>
  <c r="C477" i="5" a="1"/>
  <c r="C477" i="5" s="1"/>
  <c r="C478" i="5" a="1"/>
  <c r="C478" i="5" s="1"/>
  <c r="C479" i="5" a="1"/>
  <c r="C479" i="5" s="1"/>
  <c r="C480" i="5" a="1"/>
  <c r="C480" i="5" s="1"/>
  <c r="C481" i="5" a="1"/>
  <c r="C481" i="5" s="1"/>
  <c r="C482" i="5" a="1"/>
  <c r="C482" i="5" s="1"/>
  <c r="C483" i="5" a="1"/>
  <c r="C483" i="5" s="1"/>
  <c r="C484" i="5" a="1"/>
  <c r="C484" i="5" s="1"/>
  <c r="C485" i="5" a="1"/>
  <c r="C485" i="5" s="1"/>
  <c r="C486" i="5" a="1"/>
  <c r="C486" i="5" s="1"/>
  <c r="C487" i="5" a="1"/>
  <c r="C487" i="5" s="1"/>
  <c r="C488" i="5" a="1"/>
  <c r="C488" i="5" s="1"/>
  <c r="C489" i="5" a="1"/>
  <c r="C489" i="5" s="1"/>
  <c r="C490" i="5" a="1"/>
  <c r="C490" i="5" s="1"/>
  <c r="C491" i="5" a="1"/>
  <c r="C491" i="5" s="1"/>
  <c r="C492" i="5" a="1"/>
  <c r="C492" i="5" s="1"/>
  <c r="C493" i="5" a="1"/>
  <c r="C493" i="5" s="1"/>
  <c r="C494" i="5" a="1"/>
  <c r="C494" i="5" s="1"/>
  <c r="C495" i="5" a="1"/>
  <c r="C495" i="5" s="1"/>
  <c r="C496" i="5" a="1"/>
  <c r="C496" i="5" s="1"/>
  <c r="C497" i="5" a="1"/>
  <c r="C497" i="5" s="1"/>
  <c r="C498" i="5" a="1"/>
  <c r="C498" i="5" s="1"/>
  <c r="C499" i="5" a="1"/>
  <c r="C499" i="5" s="1"/>
  <c r="C500" i="5" a="1"/>
  <c r="C500" i="5" s="1"/>
  <c r="C501" i="5" a="1"/>
  <c r="C501" i="5" s="1"/>
  <c r="I4" i="5" s="1"/>
  <c r="C502" i="5" a="1"/>
  <c r="C502" i="5" s="1"/>
  <c r="C503" i="5" a="1"/>
  <c r="C503" i="5" s="1"/>
  <c r="C504" i="5" a="1"/>
  <c r="C504" i="5" s="1"/>
  <c r="C505" i="5" a="1"/>
  <c r="C505" i="5" s="1"/>
  <c r="C506" i="5" a="1"/>
  <c r="C506" i="5" s="1"/>
  <c r="C507" i="5" a="1"/>
  <c r="C507" i="5" s="1"/>
  <c r="C508" i="5" a="1"/>
  <c r="C508" i="5" s="1"/>
  <c r="C509" i="5" a="1"/>
  <c r="C509" i="5" s="1"/>
  <c r="C510" i="5" a="1"/>
  <c r="C510" i="5" s="1"/>
  <c r="C511" i="5" a="1"/>
  <c r="C511" i="5" s="1"/>
  <c r="C512" i="5" a="1"/>
  <c r="C512" i="5" s="1"/>
  <c r="C513" i="5" a="1"/>
  <c r="C513" i="5" s="1"/>
  <c r="C514" i="5" a="1"/>
  <c r="C514" i="5" s="1"/>
  <c r="C515" i="5" a="1"/>
  <c r="C515" i="5" s="1"/>
  <c r="C516" i="5" a="1"/>
  <c r="C516" i="5" s="1"/>
  <c r="C517" i="5" a="1"/>
  <c r="C517" i="5" s="1"/>
  <c r="C518" i="5" a="1"/>
  <c r="C518" i="5" s="1"/>
  <c r="C519" i="5" a="1"/>
  <c r="C519" i="5" s="1"/>
  <c r="C520" i="5" a="1"/>
  <c r="C520" i="5"/>
  <c r="C521" i="5" a="1"/>
  <c r="C521" i="5" s="1"/>
  <c r="C522" i="5" a="1"/>
  <c r="C522" i="5" s="1"/>
  <c r="C523" i="5" a="1"/>
  <c r="C523" i="5" s="1"/>
  <c r="C524" i="5" a="1"/>
  <c r="C524" i="5" s="1"/>
  <c r="C525" i="5" a="1"/>
  <c r="C525" i="5" s="1"/>
  <c r="C526" i="5" a="1"/>
  <c r="C526" i="5" s="1"/>
  <c r="C527" i="5" a="1"/>
  <c r="C527" i="5" s="1"/>
  <c r="C528" i="5" a="1"/>
  <c r="C528" i="5" s="1"/>
  <c r="C529" i="5" a="1"/>
  <c r="C529" i="5"/>
  <c r="C530" i="5" a="1"/>
  <c r="C530" i="5" s="1"/>
  <c r="C531" i="5" a="1"/>
  <c r="C531" i="5" s="1"/>
  <c r="C532" i="5" a="1"/>
  <c r="C532" i="5" s="1"/>
  <c r="C533" i="5" a="1"/>
  <c r="C533" i="5" s="1"/>
  <c r="C534" i="5" a="1"/>
  <c r="C534" i="5" s="1"/>
  <c r="C535" i="5" a="1"/>
  <c r="C535" i="5" s="1"/>
  <c r="C536" i="5" a="1"/>
  <c r="C536" i="5" s="1"/>
  <c r="C537" i="5" a="1"/>
  <c r="C537" i="5" s="1"/>
  <c r="C538" i="5" a="1"/>
  <c r="C538" i="5" s="1"/>
  <c r="C539" i="5" a="1"/>
  <c r="C539" i="5" s="1"/>
  <c r="C540" i="5" a="1"/>
  <c r="C540" i="5" s="1"/>
  <c r="C541" i="5" a="1"/>
  <c r="C541" i="5" s="1"/>
  <c r="C542" i="5" a="1"/>
  <c r="C542" i="5" s="1"/>
  <c r="C543" i="5" a="1"/>
  <c r="C543" i="5" s="1"/>
  <c r="C544" i="5" a="1"/>
  <c r="C544" i="5" s="1"/>
  <c r="C545" i="5" a="1"/>
  <c r="C545" i="5" s="1"/>
  <c r="C546" i="5" a="1"/>
  <c r="C546" i="5" s="1"/>
  <c r="C547" i="5" a="1"/>
  <c r="C547" i="5" s="1"/>
  <c r="C548" i="5" a="1"/>
  <c r="C548" i="5" s="1"/>
  <c r="C549" i="5" a="1"/>
  <c r="C549" i="5"/>
  <c r="C550" i="5" a="1"/>
  <c r="C550" i="5" s="1"/>
  <c r="C551" i="5" a="1"/>
  <c r="C551" i="5" s="1"/>
  <c r="C552" i="5" a="1"/>
  <c r="C552" i="5" s="1"/>
  <c r="C553" i="5" a="1"/>
  <c r="C553" i="5" s="1"/>
  <c r="C554" i="5" a="1"/>
  <c r="C554" i="5" s="1"/>
  <c r="C555" i="5" a="1"/>
  <c r="C555" i="5" s="1"/>
  <c r="C556" i="5" a="1"/>
  <c r="C556" i="5" s="1"/>
  <c r="C557" i="5" a="1"/>
  <c r="C557" i="5" s="1"/>
  <c r="C558" i="5" a="1"/>
  <c r="C558" i="5" s="1"/>
  <c r="C559" i="5" a="1"/>
  <c r="C559" i="5" s="1"/>
  <c r="C560" i="5" a="1"/>
  <c r="C560" i="5" s="1"/>
  <c r="C561" i="5" a="1"/>
  <c r="C561" i="5" s="1"/>
  <c r="C562" i="5" a="1"/>
  <c r="C562" i="5" s="1"/>
  <c r="C563" i="5" a="1"/>
  <c r="C563" i="5" s="1"/>
  <c r="C564" i="5" a="1"/>
  <c r="C564" i="5" s="1"/>
  <c r="C565" i="5" a="1"/>
  <c r="C565" i="5" s="1"/>
  <c r="C566" i="5" a="1"/>
  <c r="C566" i="5" s="1"/>
  <c r="C567" i="5" a="1"/>
  <c r="C567" i="5" s="1"/>
  <c r="C568" i="5" a="1"/>
  <c r="C568" i="5" s="1"/>
  <c r="C569" i="5" a="1"/>
  <c r="C569" i="5" s="1"/>
  <c r="C570" i="5" a="1"/>
  <c r="C570" i="5" s="1"/>
  <c r="C571" i="5" a="1"/>
  <c r="C571" i="5" s="1"/>
  <c r="C572" i="5" a="1"/>
  <c r="C572" i="5" s="1"/>
  <c r="C573" i="5" a="1"/>
  <c r="C573" i="5" s="1"/>
  <c r="C574" i="5" a="1"/>
  <c r="C574" i="5" s="1"/>
  <c r="C575" i="5" a="1"/>
  <c r="C575" i="5" s="1"/>
  <c r="C576" i="5" a="1"/>
  <c r="C576" i="5" s="1"/>
  <c r="C577" i="5" a="1"/>
  <c r="C577" i="5" s="1"/>
  <c r="C578" i="5" a="1"/>
  <c r="C578" i="5" s="1"/>
  <c r="C579" i="5" a="1"/>
  <c r="C579" i="5" s="1"/>
  <c r="C580" i="5" a="1"/>
  <c r="C580" i="5" s="1"/>
  <c r="C581" i="5" a="1"/>
  <c r="C581" i="5" s="1"/>
  <c r="C582" i="5" a="1"/>
  <c r="C582" i="5" s="1"/>
  <c r="C583" i="5" a="1"/>
  <c r="C583" i="5" s="1"/>
  <c r="C584" i="5" a="1"/>
  <c r="C584" i="5" s="1"/>
  <c r="C585" i="5" a="1"/>
  <c r="C585" i="5" s="1"/>
  <c r="C586" i="5" a="1"/>
  <c r="C586" i="5" s="1"/>
  <c r="C587" i="5" a="1"/>
  <c r="C587" i="5" s="1"/>
  <c r="C588" i="5" a="1"/>
  <c r="C588" i="5" s="1"/>
  <c r="C589" i="5" a="1"/>
  <c r="C589" i="5" s="1"/>
  <c r="C590" i="5" a="1"/>
  <c r="C590" i="5" s="1"/>
  <c r="C591" i="5" a="1"/>
  <c r="C591" i="5" s="1"/>
  <c r="C592" i="5" a="1"/>
  <c r="C592" i="5" s="1"/>
  <c r="C593" i="5" a="1"/>
  <c r="C593" i="5" s="1"/>
  <c r="C594" i="5" a="1"/>
  <c r="C594" i="5" s="1"/>
  <c r="C595" i="5" a="1"/>
  <c r="C595" i="5" s="1"/>
  <c r="C596" i="5" a="1"/>
  <c r="C596" i="5" s="1"/>
  <c r="C597" i="5" a="1"/>
  <c r="C597" i="5" s="1"/>
  <c r="C598" i="5" a="1"/>
  <c r="C598" i="5" s="1"/>
  <c r="C599" i="5" a="1"/>
  <c r="C599" i="5" s="1"/>
  <c r="C600" i="5" a="1"/>
  <c r="C600" i="5" s="1"/>
  <c r="C601" i="5" a="1"/>
  <c r="C601" i="5" s="1"/>
  <c r="C602" i="5" a="1"/>
  <c r="C602" i="5" s="1"/>
  <c r="C603" i="5" a="1"/>
  <c r="C603" i="5" s="1"/>
  <c r="C604" i="5" a="1"/>
  <c r="C604" i="5" s="1"/>
  <c r="C605" i="5" a="1"/>
  <c r="C605" i="5" s="1"/>
  <c r="C606" i="5" a="1"/>
  <c r="C606" i="5" s="1"/>
  <c r="C607" i="5" a="1"/>
  <c r="C607" i="5" s="1"/>
  <c r="C608" i="5" a="1"/>
  <c r="C608" i="5" s="1"/>
  <c r="C609" i="5" a="1"/>
  <c r="C609" i="5" s="1"/>
  <c r="C610" i="5" a="1"/>
  <c r="C610" i="5" s="1"/>
  <c r="C611" i="5" a="1"/>
  <c r="C611" i="5" s="1"/>
  <c r="C612" i="5" a="1"/>
  <c r="C612" i="5" s="1"/>
  <c r="C613" i="5" a="1"/>
  <c r="C613" i="5" s="1"/>
  <c r="C614" i="5" a="1"/>
  <c r="C614" i="5" s="1"/>
  <c r="C615" i="5" a="1"/>
  <c r="C615" i="5" s="1"/>
  <c r="C616" i="5" a="1"/>
  <c r="C616" i="5" s="1"/>
  <c r="C617" i="5" a="1"/>
  <c r="C617" i="5" s="1"/>
  <c r="C618" i="5" a="1"/>
  <c r="C618" i="5" s="1"/>
  <c r="C619" i="5" a="1"/>
  <c r="C619" i="5" s="1"/>
  <c r="C620" i="5" a="1"/>
  <c r="C620" i="5" s="1"/>
  <c r="C621" i="5" a="1"/>
  <c r="C621" i="5"/>
  <c r="C622" i="5" a="1"/>
  <c r="C622" i="5" s="1"/>
  <c r="C623" i="5" a="1"/>
  <c r="C623" i="5" s="1"/>
  <c r="C624" i="5" a="1"/>
  <c r="C624" i="5" s="1"/>
  <c r="C625" i="5" a="1"/>
  <c r="C625" i="5" s="1"/>
  <c r="C626" i="5" a="1"/>
  <c r="C626" i="5" s="1"/>
  <c r="C627" i="5" a="1"/>
  <c r="C627" i="5" s="1"/>
  <c r="C628" i="5" a="1"/>
  <c r="C628" i="5" s="1"/>
  <c r="C629" i="5" a="1"/>
  <c r="C629" i="5" s="1"/>
  <c r="C630" i="5" a="1"/>
  <c r="C630" i="5" s="1"/>
  <c r="C631" i="5" a="1"/>
  <c r="C631" i="5" s="1"/>
  <c r="C632" i="5" a="1"/>
  <c r="C632" i="5" s="1"/>
  <c r="C633" i="5" a="1"/>
  <c r="C633" i="5" s="1"/>
  <c r="C634" i="5" a="1"/>
  <c r="C634" i="5" s="1"/>
  <c r="C635" i="5" a="1"/>
  <c r="C635" i="5" s="1"/>
  <c r="C636" i="5" a="1"/>
  <c r="C636" i="5" s="1"/>
  <c r="C637" i="5" a="1"/>
  <c r="C637" i="5" s="1"/>
  <c r="C638" i="5" a="1"/>
  <c r="C638" i="5" s="1"/>
  <c r="C639" i="5" a="1"/>
  <c r="C639" i="5" s="1"/>
  <c r="C640" i="5" a="1"/>
  <c r="C640" i="5" s="1"/>
  <c r="C641" i="5" a="1"/>
  <c r="C641" i="5" s="1"/>
  <c r="C642" i="5" a="1"/>
  <c r="C642" i="5" s="1"/>
  <c r="C643" i="5" a="1"/>
  <c r="C643" i="5" s="1"/>
  <c r="C644" i="5" a="1"/>
  <c r="C644" i="5" s="1"/>
  <c r="C645" i="5" a="1"/>
  <c r="C645" i="5" s="1"/>
  <c r="C646" i="5" a="1"/>
  <c r="C646" i="5" s="1"/>
  <c r="C647" i="5" a="1"/>
  <c r="C647" i="5" s="1"/>
  <c r="C648" i="5" a="1"/>
  <c r="C648" i="5" s="1"/>
  <c r="C649" i="5" a="1"/>
  <c r="C649" i="5" s="1"/>
  <c r="C650" i="5" a="1"/>
  <c r="C650" i="5" s="1"/>
  <c r="C651" i="5" a="1"/>
  <c r="C651" i="5" s="1"/>
  <c r="C652" i="5" a="1"/>
  <c r="C652" i="5" s="1"/>
  <c r="C653" i="5" a="1"/>
  <c r="C653" i="5" s="1"/>
  <c r="C654" i="5" a="1"/>
  <c r="C654" i="5" s="1"/>
  <c r="C655" i="5" a="1"/>
  <c r="C655" i="5" s="1"/>
  <c r="C656" i="5" a="1"/>
  <c r="C656" i="5" s="1"/>
  <c r="C657" i="5" a="1"/>
  <c r="C657" i="5" s="1"/>
  <c r="C658" i="5" a="1"/>
  <c r="C658" i="5" s="1"/>
  <c r="C659" i="5" a="1"/>
  <c r="C659" i="5" s="1"/>
  <c r="C660" i="5" a="1"/>
  <c r="C660" i="5" s="1"/>
  <c r="C661" i="5" a="1"/>
  <c r="C661" i="5" s="1"/>
  <c r="C662" i="5" a="1"/>
  <c r="C662" i="5" s="1"/>
  <c r="C663" i="5" a="1"/>
  <c r="C663" i="5" s="1"/>
  <c r="C664" i="5" a="1"/>
  <c r="C664" i="5" s="1"/>
  <c r="C665" i="5" a="1"/>
  <c r="C665" i="5" s="1"/>
  <c r="C666" i="5" a="1"/>
  <c r="C666" i="5" s="1"/>
  <c r="C667" i="5" a="1"/>
  <c r="C667" i="5" s="1"/>
  <c r="C668" i="5" a="1"/>
  <c r="C668" i="5" s="1"/>
  <c r="C669" i="5" a="1"/>
  <c r="C669" i="5" s="1"/>
  <c r="C670" i="5" a="1"/>
  <c r="C670" i="5" s="1"/>
  <c r="C671" i="5" a="1"/>
  <c r="C671" i="5" s="1"/>
  <c r="C672" i="5" a="1"/>
  <c r="C672" i="5" s="1"/>
  <c r="C673" i="5" a="1"/>
  <c r="C673" i="5" s="1"/>
  <c r="C674" i="5" a="1"/>
  <c r="C674" i="5" s="1"/>
  <c r="C675" i="5" a="1"/>
  <c r="C675" i="5" s="1"/>
  <c r="C676" i="5" a="1"/>
  <c r="C676" i="5" s="1"/>
  <c r="C677" i="5" a="1"/>
  <c r="C677" i="5" s="1"/>
  <c r="C678" i="5" a="1"/>
  <c r="C678" i="5" s="1"/>
  <c r="C679" i="5" a="1"/>
  <c r="C679" i="5" s="1"/>
  <c r="C680" i="5" a="1"/>
  <c r="C680" i="5" s="1"/>
  <c r="C681" i="5" a="1"/>
  <c r="C681" i="5"/>
  <c r="C682" i="5" a="1"/>
  <c r="C682" i="5" s="1"/>
  <c r="C683" i="5" a="1"/>
  <c r="C683" i="5" s="1"/>
  <c r="C684" i="5" a="1"/>
  <c r="C684" i="5" s="1"/>
  <c r="C685" i="5" a="1"/>
  <c r="C685" i="5" s="1"/>
  <c r="C686" i="5" a="1"/>
  <c r="C686" i="5" s="1"/>
  <c r="C687" i="5" a="1"/>
  <c r="C687" i="5" s="1"/>
  <c r="C688" i="5" a="1"/>
  <c r="C688" i="5" s="1"/>
  <c r="C689" i="5" a="1"/>
  <c r="C689" i="5" s="1"/>
  <c r="C690" i="5" a="1"/>
  <c r="C690" i="5" s="1"/>
  <c r="C691" i="5" a="1"/>
  <c r="C691" i="5" s="1"/>
  <c r="C692" i="5" a="1"/>
  <c r="C692" i="5" s="1"/>
  <c r="C693" i="5" a="1"/>
  <c r="C693" i="5" s="1"/>
  <c r="C694" i="5" a="1"/>
  <c r="C694" i="5" s="1"/>
  <c r="C695" i="5" a="1"/>
  <c r="C695" i="5" s="1"/>
  <c r="C696" i="5" a="1"/>
  <c r="C696" i="5" s="1"/>
  <c r="C697" i="5" a="1"/>
  <c r="C697" i="5" s="1"/>
  <c r="C698" i="5" a="1"/>
  <c r="C698" i="5" s="1"/>
  <c r="C699" i="5" a="1"/>
  <c r="C699" i="5" s="1"/>
  <c r="C700" i="5" a="1"/>
  <c r="C700" i="5" s="1"/>
  <c r="C701" i="5" a="1"/>
  <c r="C701" i="5" s="1"/>
  <c r="C702" i="5" a="1"/>
  <c r="C702" i="5" s="1"/>
  <c r="C703" i="5" a="1"/>
  <c r="C703" i="5" s="1"/>
  <c r="C704" i="5" a="1"/>
  <c r="C704" i="5" s="1"/>
  <c r="C705" i="5" a="1"/>
  <c r="C705" i="5" s="1"/>
  <c r="C706" i="5" a="1"/>
  <c r="C706" i="5" s="1"/>
  <c r="C707" i="5" a="1"/>
  <c r="C707" i="5" s="1"/>
  <c r="C708" i="5" a="1"/>
  <c r="C708" i="5" s="1"/>
  <c r="C709" i="5" a="1"/>
  <c r="C709" i="5" s="1"/>
  <c r="C710" i="5" a="1"/>
  <c r="C710" i="5" s="1"/>
  <c r="C711" i="5" a="1"/>
  <c r="C711" i="5" s="1"/>
  <c r="C712" i="5" a="1"/>
  <c r="C712" i="5" s="1"/>
  <c r="C713" i="5" a="1"/>
  <c r="C713" i="5" s="1"/>
  <c r="C714" i="5" a="1"/>
  <c r="C714" i="5" s="1"/>
  <c r="C715" i="5" a="1"/>
  <c r="C715" i="5" s="1"/>
  <c r="C716" i="5" a="1"/>
  <c r="C716" i="5" s="1"/>
  <c r="C717" i="5" a="1"/>
  <c r="C717" i="5" s="1"/>
  <c r="C718" i="5" a="1"/>
  <c r="C718" i="5" s="1"/>
  <c r="C719" i="5" a="1"/>
  <c r="C719" i="5" s="1"/>
  <c r="C720" i="5" a="1"/>
  <c r="C720" i="5" s="1"/>
  <c r="C721" i="5" a="1"/>
  <c r="C721" i="5" s="1"/>
  <c r="C722" i="5" a="1"/>
  <c r="C722" i="5" s="1"/>
  <c r="C723" i="5" a="1"/>
  <c r="C723" i="5" s="1"/>
  <c r="C724" i="5" a="1"/>
  <c r="C724" i="5" s="1"/>
  <c r="C725" i="5" a="1"/>
  <c r="C725" i="5" s="1"/>
  <c r="C726" i="5" a="1"/>
  <c r="C726" i="5" s="1"/>
  <c r="C727" i="5" a="1"/>
  <c r="C727" i="5" s="1"/>
  <c r="C728" i="5" a="1"/>
  <c r="C728" i="5" s="1"/>
  <c r="C729" i="5" a="1"/>
  <c r="C729" i="5"/>
  <c r="C730" i="5" a="1"/>
  <c r="C730" i="5" s="1"/>
  <c r="C731" i="5" a="1"/>
  <c r="C731" i="5" s="1"/>
  <c r="C732" i="5" a="1"/>
  <c r="C732" i="5" s="1"/>
  <c r="C733" i="5" a="1"/>
  <c r="C733" i="5" s="1"/>
  <c r="C734" i="5" a="1"/>
  <c r="C734" i="5" s="1"/>
  <c r="C735" i="5" a="1"/>
  <c r="C735" i="5" s="1"/>
  <c r="C736" i="5" a="1"/>
  <c r="C736" i="5" s="1"/>
  <c r="C737" i="5" a="1"/>
  <c r="C737" i="5" s="1"/>
  <c r="C738" i="5" a="1"/>
  <c r="C738" i="5" s="1"/>
  <c r="C739" i="5" a="1"/>
  <c r="C739" i="5" s="1"/>
  <c r="C740" i="5" a="1"/>
  <c r="C740" i="5" s="1"/>
  <c r="C741" i="5" a="1"/>
  <c r="C741" i="5" s="1"/>
  <c r="C742" i="5" a="1"/>
  <c r="C742" i="5" s="1"/>
  <c r="C743" i="5" a="1"/>
  <c r="C743" i="5" s="1"/>
  <c r="C744" i="5" a="1"/>
  <c r="C744" i="5" s="1"/>
  <c r="C745" i="5" a="1"/>
  <c r="C745" i="5" s="1"/>
  <c r="C746" i="5" a="1"/>
  <c r="C746" i="5" s="1"/>
  <c r="C747" i="5" a="1"/>
  <c r="C747" i="5" s="1"/>
  <c r="C748" i="5" a="1"/>
  <c r="C748" i="5" s="1"/>
  <c r="C749" i="5" a="1"/>
  <c r="C749" i="5" s="1"/>
  <c r="C750" i="5" a="1"/>
  <c r="C750" i="5" s="1"/>
  <c r="C751" i="5" a="1"/>
  <c r="C751" i="5" s="1"/>
  <c r="C752" i="5" a="1"/>
  <c r="C752" i="5" s="1"/>
  <c r="C753" i="5" a="1"/>
  <c r="C753" i="5" s="1"/>
  <c r="C754" i="5" a="1"/>
  <c r="C754" i="5" s="1"/>
  <c r="C755" i="5" a="1"/>
  <c r="C755" i="5" s="1"/>
  <c r="C756" i="5" a="1"/>
  <c r="C756" i="5" s="1"/>
  <c r="C757" i="5" a="1"/>
  <c r="C757" i="5" s="1"/>
  <c r="C758" i="5" a="1"/>
  <c r="C758" i="5" s="1"/>
  <c r="C759" i="5" a="1"/>
  <c r="C759" i="5" s="1"/>
  <c r="C760" i="5" a="1"/>
  <c r="C760" i="5" s="1"/>
  <c r="C761" i="5" a="1"/>
  <c r="C761" i="5" s="1"/>
  <c r="C762" i="5" a="1"/>
  <c r="C762" i="5" s="1"/>
  <c r="C763" i="5" a="1"/>
  <c r="C763" i="5" s="1"/>
  <c r="C764" i="5" a="1"/>
  <c r="C764" i="5" s="1"/>
  <c r="C765" i="5" a="1"/>
  <c r="C765" i="5" s="1"/>
  <c r="C766" i="5" a="1"/>
  <c r="C766" i="5" s="1"/>
  <c r="C767" i="5" a="1"/>
  <c r="C767" i="5" s="1"/>
  <c r="C768" i="5" a="1"/>
  <c r="C768" i="5" s="1"/>
  <c r="C769" i="5" a="1"/>
  <c r="C769" i="5"/>
  <c r="C770" i="5" a="1"/>
  <c r="C770" i="5" s="1"/>
  <c r="C771" i="5" a="1"/>
  <c r="C771" i="5" s="1"/>
  <c r="C772" i="5" a="1"/>
  <c r="C772" i="5" s="1"/>
  <c r="C773" i="5" a="1"/>
  <c r="C773" i="5" s="1"/>
  <c r="C774" i="5" a="1"/>
  <c r="C774" i="5" s="1"/>
  <c r="C775" i="5" a="1"/>
  <c r="C775" i="5" s="1"/>
  <c r="C776" i="5" a="1"/>
  <c r="C776" i="5" s="1"/>
  <c r="C777" i="5" a="1"/>
  <c r="C777" i="5" s="1"/>
  <c r="C778" i="5" a="1"/>
  <c r="C778" i="5" s="1"/>
  <c r="C779" i="5" a="1"/>
  <c r="C779" i="5" s="1"/>
  <c r="C780" i="5" a="1"/>
  <c r="C780" i="5" s="1"/>
  <c r="C781" i="5" a="1"/>
  <c r="C781" i="5" s="1"/>
  <c r="C782" i="5" a="1"/>
  <c r="C782" i="5" s="1"/>
  <c r="C783" i="5" a="1"/>
  <c r="C783" i="5" s="1"/>
  <c r="C784" i="5" a="1"/>
  <c r="C784" i="5" s="1"/>
  <c r="C785" i="5" a="1"/>
  <c r="C785" i="5" s="1"/>
  <c r="C786" i="5" a="1"/>
  <c r="C786" i="5" s="1"/>
  <c r="C787" i="5" a="1"/>
  <c r="C787" i="5" s="1"/>
  <c r="C788" i="5" a="1"/>
  <c r="C788" i="5" s="1"/>
  <c r="C789" i="5" a="1"/>
  <c r="C789" i="5" s="1"/>
  <c r="C790" i="5" a="1"/>
  <c r="C790" i="5" s="1"/>
  <c r="C791" i="5" a="1"/>
  <c r="C791" i="5" s="1"/>
  <c r="C792" i="5" a="1"/>
  <c r="C792" i="5" s="1"/>
  <c r="C793" i="5" a="1"/>
  <c r="C793" i="5" s="1"/>
  <c r="C794" i="5" a="1"/>
  <c r="C794" i="5" s="1"/>
  <c r="C795" i="5" a="1"/>
  <c r="C795" i="5" s="1"/>
  <c r="C796" i="5" a="1"/>
  <c r="C796" i="5" s="1"/>
  <c r="C797" i="5" a="1"/>
  <c r="C797" i="5" s="1"/>
  <c r="C798" i="5" a="1"/>
  <c r="C798" i="5" s="1"/>
  <c r="C799" i="5" a="1"/>
  <c r="C799" i="5" s="1"/>
  <c r="C800" i="5" a="1"/>
  <c r="C800" i="5" s="1"/>
  <c r="C801" i="5" a="1"/>
  <c r="C801" i="5" s="1"/>
  <c r="C802" i="5" a="1"/>
  <c r="C802" i="5" s="1"/>
  <c r="C803" i="5" a="1"/>
  <c r="C803" i="5" s="1"/>
  <c r="C804" i="5" a="1"/>
  <c r="C804" i="5" s="1"/>
  <c r="C805" i="5" a="1"/>
  <c r="C805" i="5" s="1"/>
  <c r="C806" i="5" a="1"/>
  <c r="C806" i="5" s="1"/>
  <c r="C807" i="5" a="1"/>
  <c r="C807" i="5" s="1"/>
  <c r="C808" i="5" a="1"/>
  <c r="C808" i="5" s="1"/>
  <c r="C809" i="5" a="1"/>
  <c r="C809" i="5" s="1"/>
  <c r="C810" i="5" a="1"/>
  <c r="C810" i="5" s="1"/>
  <c r="C811" i="5" a="1"/>
  <c r="C811" i="5" s="1"/>
  <c r="C812" i="5" a="1"/>
  <c r="C812" i="5" s="1"/>
  <c r="C813" i="5" a="1"/>
  <c r="C813" i="5" s="1"/>
  <c r="C814" i="5" a="1"/>
  <c r="C814" i="5"/>
  <c r="C815" i="5" a="1"/>
  <c r="C815" i="5" s="1"/>
  <c r="C816" i="5" a="1"/>
  <c r="C816" i="5" s="1"/>
  <c r="C817" i="5" a="1"/>
  <c r="C817" i="5" s="1"/>
  <c r="C818" i="5" a="1"/>
  <c r="C818" i="5" s="1"/>
  <c r="C819" i="5" a="1"/>
  <c r="C819" i="5" s="1"/>
  <c r="C820" i="5" a="1"/>
  <c r="C820" i="5" s="1"/>
  <c r="C821" i="5" a="1"/>
  <c r="C821" i="5" s="1"/>
  <c r="C822" i="5" a="1"/>
  <c r="C822" i="5" s="1"/>
  <c r="C823" i="5" a="1"/>
  <c r="C823" i="5" s="1"/>
  <c r="C824" i="5" a="1"/>
  <c r="C824" i="5" s="1"/>
  <c r="C825" i="5" a="1"/>
  <c r="C825" i="5" s="1"/>
  <c r="C826" i="5" a="1"/>
  <c r="C826" i="5" s="1"/>
  <c r="C827" i="5" a="1"/>
  <c r="C827" i="5" s="1"/>
  <c r="C828" i="5" a="1"/>
  <c r="C828" i="5" s="1"/>
  <c r="C829" i="5" a="1"/>
  <c r="C829" i="5" s="1"/>
  <c r="C830" i="5" a="1"/>
  <c r="C830" i="5"/>
  <c r="C831" i="5" a="1"/>
  <c r="C831" i="5" s="1"/>
  <c r="C832" i="5" a="1"/>
  <c r="C832" i="5" s="1"/>
  <c r="C833" i="5" a="1"/>
  <c r="C833" i="5" s="1"/>
  <c r="C834" i="5" a="1"/>
  <c r="C834" i="5" s="1"/>
  <c r="C835" i="5" a="1"/>
  <c r="C835" i="5" s="1"/>
  <c r="C836" i="5" a="1"/>
  <c r="C836" i="5" s="1"/>
  <c r="C837" i="5" a="1"/>
  <c r="C837" i="5" s="1"/>
  <c r="C838" i="5" a="1"/>
  <c r="C838" i="5" s="1"/>
  <c r="C839" i="5" a="1"/>
  <c r="C839" i="5" s="1"/>
  <c r="C840" i="5" a="1"/>
  <c r="C840" i="5"/>
  <c r="C841" i="5" a="1"/>
  <c r="C841" i="5" s="1"/>
  <c r="C842" i="5" a="1"/>
  <c r="C842" i="5" s="1"/>
  <c r="C843" i="5" a="1"/>
  <c r="C843" i="5" s="1"/>
  <c r="C844" i="5" a="1"/>
  <c r="C844" i="5" s="1"/>
  <c r="C845" i="5" a="1"/>
  <c r="C845" i="5" s="1"/>
  <c r="C846" i="5" a="1"/>
  <c r="C846" i="5" s="1"/>
  <c r="C847" i="5" a="1"/>
  <c r="C847" i="5" s="1"/>
  <c r="C848" i="5" a="1"/>
  <c r="C848" i="5" s="1"/>
  <c r="C849" i="5" a="1"/>
  <c r="C849" i="5" s="1"/>
  <c r="C850" i="5" a="1"/>
  <c r="C850" i="5"/>
  <c r="C851" i="5" a="1"/>
  <c r="C851" i="5" s="1"/>
  <c r="C852" i="5" a="1"/>
  <c r="C852" i="5" s="1"/>
  <c r="C853" i="5" a="1"/>
  <c r="C853" i="5" s="1"/>
  <c r="C854" i="5" a="1"/>
  <c r="C854" i="5" s="1"/>
  <c r="C855" i="5" a="1"/>
  <c r="C855" i="5" s="1"/>
  <c r="C856" i="5" a="1"/>
  <c r="C856" i="5"/>
  <c r="C857" i="5" a="1"/>
  <c r="C857" i="5" s="1"/>
  <c r="C858" i="5" a="1"/>
  <c r="C858" i="5" s="1"/>
  <c r="C859" i="5" a="1"/>
  <c r="C859" i="5" s="1"/>
  <c r="C860" i="5" a="1"/>
  <c r="C860" i="5" s="1"/>
  <c r="C861" i="5" a="1"/>
  <c r="C861" i="5" s="1"/>
  <c r="C862" i="5" a="1"/>
  <c r="C862" i="5" s="1"/>
  <c r="C863" i="5" a="1"/>
  <c r="C863" i="5" s="1"/>
  <c r="C864" i="5" a="1"/>
  <c r="C864" i="5" s="1"/>
  <c r="C865" i="5" a="1"/>
  <c r="C865" i="5" s="1"/>
  <c r="C866" i="5" a="1"/>
  <c r="C866" i="5" s="1"/>
  <c r="C867" i="5" a="1"/>
  <c r="C867" i="5" s="1"/>
  <c r="C868" i="5" a="1"/>
  <c r="C868" i="5" s="1"/>
  <c r="C869" i="5" a="1"/>
  <c r="C869" i="5" s="1"/>
  <c r="C870" i="5" a="1"/>
  <c r="C870" i="5" s="1"/>
  <c r="C871" i="5" a="1"/>
  <c r="C871" i="5" s="1"/>
  <c r="C872" i="5" a="1"/>
  <c r="C872" i="5" s="1"/>
  <c r="C873" i="5" a="1"/>
  <c r="C873" i="5" s="1"/>
  <c r="C874" i="5" a="1"/>
  <c r="C874" i="5" s="1"/>
  <c r="C875" i="5" a="1"/>
  <c r="C875" i="5" s="1"/>
  <c r="C876" i="5" a="1"/>
  <c r="C876" i="5" s="1"/>
  <c r="C877" i="5" a="1"/>
  <c r="C877" i="5" s="1"/>
  <c r="C878" i="5" a="1"/>
  <c r="C878" i="5" s="1"/>
  <c r="C879" i="5" a="1"/>
  <c r="C879" i="5" s="1"/>
  <c r="C880" i="5" a="1"/>
  <c r="C880" i="5" s="1"/>
  <c r="C881" i="5" a="1"/>
  <c r="C881" i="5" s="1"/>
  <c r="C882" i="5" a="1"/>
  <c r="C882" i="5"/>
  <c r="C883" i="5" a="1"/>
  <c r="C883" i="5" s="1"/>
  <c r="C884" i="5" a="1"/>
  <c r="C884" i="5" s="1"/>
  <c r="C885" i="5" a="1"/>
  <c r="C885" i="5" s="1"/>
  <c r="C886" i="5" a="1"/>
  <c r="C886" i="5" s="1"/>
  <c r="C887" i="5" a="1"/>
  <c r="C887" i="5" s="1"/>
  <c r="C888" i="5" a="1"/>
  <c r="C888" i="5" s="1"/>
  <c r="C889" i="5" a="1"/>
  <c r="C889" i="5" s="1"/>
  <c r="C890" i="5" a="1"/>
  <c r="C890" i="5" s="1"/>
  <c r="C891" i="5" a="1"/>
  <c r="C891" i="5" s="1"/>
  <c r="C892" i="5" a="1"/>
  <c r="C892" i="5" s="1"/>
  <c r="C893" i="5" a="1"/>
  <c r="C893" i="5" s="1"/>
  <c r="C894" i="5" a="1"/>
  <c r="C894" i="5" s="1"/>
  <c r="C895" i="5" a="1"/>
  <c r="C895" i="5" s="1"/>
  <c r="C896" i="5" a="1"/>
  <c r="C896" i="5" s="1"/>
  <c r="C897" i="5" a="1"/>
  <c r="C897" i="5" s="1"/>
  <c r="C898" i="5" a="1"/>
  <c r="C898" i="5" s="1"/>
  <c r="C899" i="5" a="1"/>
  <c r="C899" i="5" s="1"/>
  <c r="C900" i="5" a="1"/>
  <c r="C900" i="5" s="1"/>
  <c r="C901" i="5" a="1"/>
  <c r="C901" i="5" s="1"/>
  <c r="C902" i="5" a="1"/>
  <c r="C902" i="5" s="1"/>
  <c r="C903" i="5" a="1"/>
  <c r="C903" i="5" s="1"/>
  <c r="C904" i="5" a="1"/>
  <c r="C904" i="5" s="1"/>
  <c r="C905" i="5" a="1"/>
  <c r="C905" i="5" s="1"/>
  <c r="C906" i="5" a="1"/>
  <c r="C906" i="5" s="1"/>
  <c r="C907" i="5" a="1"/>
  <c r="C907" i="5" s="1"/>
  <c r="C908" i="5" a="1"/>
  <c r="C908" i="5" s="1"/>
  <c r="C909" i="5" a="1"/>
  <c r="C909" i="5" s="1"/>
  <c r="C910" i="5" a="1"/>
  <c r="C910" i="5" s="1"/>
  <c r="C911" i="5" a="1"/>
  <c r="C911" i="5" s="1"/>
  <c r="C912" i="5" a="1"/>
  <c r="C912" i="5" s="1"/>
  <c r="C913" i="5" a="1"/>
  <c r="C913" i="5" s="1"/>
  <c r="C914" i="5" a="1"/>
  <c r="C914" i="5" s="1"/>
  <c r="C915" i="5" a="1"/>
  <c r="C915" i="5" s="1"/>
  <c r="C916" i="5" a="1"/>
  <c r="C916" i="5" s="1"/>
  <c r="C917" i="5" a="1"/>
  <c r="C917" i="5" s="1"/>
  <c r="C918" i="5" a="1"/>
  <c r="C918" i="5" s="1"/>
  <c r="C919" i="5" a="1"/>
  <c r="C919" i="5" s="1"/>
  <c r="C920" i="5" a="1"/>
  <c r="C920" i="5" s="1"/>
  <c r="C921" i="5" a="1"/>
  <c r="C921" i="5" s="1"/>
  <c r="C922" i="5" a="1"/>
  <c r="C922" i="5" s="1"/>
  <c r="C923" i="5" a="1"/>
  <c r="C923" i="5" s="1"/>
  <c r="C924" i="5" a="1"/>
  <c r="C924" i="5" s="1"/>
  <c r="C925" i="5" a="1"/>
  <c r="C925" i="5" s="1"/>
  <c r="C926" i="5" a="1"/>
  <c r="C926" i="5" s="1"/>
  <c r="C927" i="5" a="1"/>
  <c r="C927" i="5" s="1"/>
  <c r="C928" i="5" a="1"/>
  <c r="C928" i="5" s="1"/>
  <c r="C929" i="5" a="1"/>
  <c r="C929" i="5" s="1"/>
  <c r="C930" i="5" a="1"/>
  <c r="C930" i="5" s="1"/>
  <c r="C931" i="5" a="1"/>
  <c r="C931" i="5" s="1"/>
  <c r="C932" i="5" a="1"/>
  <c r="C932" i="5" s="1"/>
  <c r="C933" i="5" a="1"/>
  <c r="C933" i="5" s="1"/>
  <c r="C934" i="5" a="1"/>
  <c r="C934" i="5" s="1"/>
  <c r="C935" i="5" a="1"/>
  <c r="C935" i="5"/>
  <c r="C936" i="5" a="1"/>
  <c r="C936" i="5" s="1"/>
  <c r="C937" i="5" a="1"/>
  <c r="C937" i="5" s="1"/>
  <c r="C938" i="5" a="1"/>
  <c r="C938" i="5" s="1"/>
  <c r="C939" i="5" a="1"/>
  <c r="C939" i="5" s="1"/>
  <c r="C940" i="5" a="1"/>
  <c r="C940" i="5" s="1"/>
  <c r="C941" i="5" a="1"/>
  <c r="C941" i="5" s="1"/>
  <c r="C942" i="5" a="1"/>
  <c r="C942" i="5" s="1"/>
  <c r="C943" i="5" a="1"/>
  <c r="C943" i="5" s="1"/>
  <c r="C944" i="5" a="1"/>
  <c r="C944" i="5" s="1"/>
  <c r="C945" i="5" a="1"/>
  <c r="C945" i="5" s="1"/>
  <c r="C946" i="5" a="1"/>
  <c r="C946" i="5" s="1"/>
  <c r="C947" i="5" a="1"/>
  <c r="C947" i="5"/>
  <c r="C948" i="5" a="1"/>
  <c r="C948" i="5" s="1"/>
  <c r="C949" i="5" a="1"/>
  <c r="C949" i="5" s="1"/>
  <c r="C950" i="5" a="1"/>
  <c r="C950" i="5" s="1"/>
  <c r="C951" i="5" a="1"/>
  <c r="C951" i="5" s="1"/>
  <c r="C952" i="5" a="1"/>
  <c r="C952" i="5" s="1"/>
  <c r="C953" i="5" a="1"/>
  <c r="C953" i="5" s="1"/>
  <c r="C954" i="5" a="1"/>
  <c r="C954" i="5" s="1"/>
  <c r="C955" i="5" a="1"/>
  <c r="C955" i="5" s="1"/>
  <c r="C956" i="5" a="1"/>
  <c r="C956" i="5" s="1"/>
  <c r="C957" i="5" a="1"/>
  <c r="C957" i="5" s="1"/>
  <c r="C958" i="5" a="1"/>
  <c r="C958" i="5"/>
  <c r="C959" i="5" a="1"/>
  <c r="C959" i="5" s="1"/>
  <c r="C960" i="5" a="1"/>
  <c r="C960" i="5" s="1"/>
  <c r="C961" i="5" a="1"/>
  <c r="C961" i="5" s="1"/>
  <c r="C962" i="5" a="1"/>
  <c r="C962" i="5" s="1"/>
  <c r="C963" i="5" a="1"/>
  <c r="C963" i="5" s="1"/>
  <c r="C964" i="5" a="1"/>
  <c r="C964" i="5" s="1"/>
  <c r="C965" i="5" a="1"/>
  <c r="C965" i="5" s="1"/>
  <c r="C966" i="5" a="1"/>
  <c r="C966" i="5" s="1"/>
  <c r="C967" i="5" a="1"/>
  <c r="C967" i="5"/>
  <c r="C968" i="5" a="1"/>
  <c r="C968" i="5" s="1"/>
  <c r="C969" i="5" a="1"/>
  <c r="C969" i="5" s="1"/>
  <c r="C970" i="5" a="1"/>
  <c r="C970" i="5" s="1"/>
  <c r="C971" i="5" a="1"/>
  <c r="C971" i="5" s="1"/>
  <c r="C972" i="5" a="1"/>
  <c r="C972" i="5" s="1"/>
  <c r="C973" i="5" a="1"/>
  <c r="C973" i="5" s="1"/>
  <c r="C974" i="5" a="1"/>
  <c r="C974" i="5" s="1"/>
  <c r="C975" i="5" a="1"/>
  <c r="C975" i="5" s="1"/>
  <c r="C976" i="5" a="1"/>
  <c r="C976" i="5" s="1"/>
  <c r="C977" i="5" a="1"/>
  <c r="C977" i="5" s="1"/>
  <c r="C978" i="5" a="1"/>
  <c r="C978" i="5" s="1"/>
  <c r="C979" i="5" a="1"/>
  <c r="C979" i="5" s="1"/>
  <c r="C980" i="5" a="1"/>
  <c r="C980" i="5" s="1"/>
  <c r="C981" i="5" a="1"/>
  <c r="C981" i="5" s="1"/>
  <c r="C982" i="5" a="1"/>
  <c r="C982" i="5" s="1"/>
  <c r="C983" i="5" a="1"/>
  <c r="C983" i="5" s="1"/>
  <c r="C984" i="5" a="1"/>
  <c r="C984" i="5" s="1"/>
  <c r="C985" i="5" a="1"/>
  <c r="C985" i="5" s="1"/>
  <c r="C986" i="5" a="1"/>
  <c r="C986" i="5" s="1"/>
  <c r="C987" i="5" a="1"/>
  <c r="C987" i="5" s="1"/>
  <c r="C988" i="5" a="1"/>
  <c r="C988" i="5" s="1"/>
  <c r="C989" i="5" a="1"/>
  <c r="C989" i="5" s="1"/>
  <c r="C990" i="5" a="1"/>
  <c r="C990" i="5" s="1"/>
  <c r="C991" i="5" a="1"/>
  <c r="C991" i="5" s="1"/>
  <c r="C992" i="5" a="1"/>
  <c r="C992" i="5" s="1"/>
  <c r="C993" i="5" a="1"/>
  <c r="C993" i="5" s="1"/>
  <c r="C994" i="5" a="1"/>
  <c r="C994" i="5" s="1"/>
  <c r="C995" i="5" a="1"/>
  <c r="C995" i="5" s="1"/>
  <c r="C996" i="5" a="1"/>
  <c r="C996" i="5" s="1"/>
  <c r="C997" i="5" a="1"/>
  <c r="C997" i="5" s="1"/>
  <c r="C998" i="5" a="1"/>
  <c r="C998" i="5" s="1"/>
  <c r="C999" i="5" a="1"/>
  <c r="C999" i="5" s="1"/>
  <c r="C1000" i="5" a="1"/>
  <c r="C1000" i="5" s="1"/>
  <c r="C1001" i="5" a="1"/>
  <c r="C1001" i="5" s="1"/>
  <c r="C2" i="5" a="1"/>
  <c r="C2" i="5" s="1"/>
  <c r="B11" i="3"/>
  <c r="B10" i="3"/>
  <c r="B9" i="3"/>
  <c r="B8" i="3"/>
  <c r="B7" i="3"/>
  <c r="B6" i="3"/>
  <c r="B5" i="3"/>
  <c r="B4" i="3"/>
  <c r="B3" i="3"/>
  <c r="B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36F399-E9D8-427D-BDE7-CF9E9DEAAD43}" keepAlive="1" name="Query - REMARKS" description="Connection to the 'REMARKS' query in the workbook." type="5" refreshedVersion="8" background="1" saveData="1">
    <dbPr connection="Provider=Microsoft.Mashup.OleDb.1;Data Source=$Workbook$;Location=REMARKS;Extended Properties=&quot;&quot;" command="SELECT * FROM [REMARK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<sst xmlns="http://schemas.openxmlformats.org/spreadsheetml/2006/main" count="8086" uniqueCount="1022">
  <si>
    <t>StudentID</t>
  </si>
  <si>
    <t>Name</t>
  </si>
  <si>
    <t>Gender</t>
  </si>
  <si>
    <t>AttendanceRate</t>
  </si>
  <si>
    <t>StudyHoursPerWeek</t>
  </si>
  <si>
    <t>PreviousGrade</t>
  </si>
  <si>
    <t>ExtracurricularActivities</t>
  </si>
  <si>
    <t>ParentalSupport</t>
  </si>
  <si>
    <t>FinalGrade</t>
  </si>
  <si>
    <t>Online Classes Taken</t>
  </si>
  <si>
    <t>John</t>
  </si>
  <si>
    <t>Male</t>
  </si>
  <si>
    <t>High</t>
  </si>
  <si>
    <t>Sarah</t>
  </si>
  <si>
    <t>Female</t>
  </si>
  <si>
    <t>Medium</t>
  </si>
  <si>
    <t>Alex</t>
  </si>
  <si>
    <t>Low</t>
  </si>
  <si>
    <t>Michael</t>
  </si>
  <si>
    <t>Emma</t>
  </si>
  <si>
    <t>Olivia</t>
  </si>
  <si>
    <t>Daniel</t>
  </si>
  <si>
    <t>Sophia</t>
  </si>
  <si>
    <t>James</t>
  </si>
  <si>
    <t>Isabella</t>
  </si>
  <si>
    <t>Shannon Harrison</t>
  </si>
  <si>
    <t>Peter Davila</t>
  </si>
  <si>
    <t>Katherine Gray</t>
  </si>
  <si>
    <t>Megan Miller</t>
  </si>
  <si>
    <t>James Williams</t>
  </si>
  <si>
    <t>Derrick Alexander</t>
  </si>
  <si>
    <t>Courtney Clark</t>
  </si>
  <si>
    <t>James Smith</t>
  </si>
  <si>
    <t>James Reynolds</t>
  </si>
  <si>
    <t>Brittany Sutton</t>
  </si>
  <si>
    <t>Annette Medina</t>
  </si>
  <si>
    <t>James Duncan</t>
  </si>
  <si>
    <t>Donna Taylor</t>
  </si>
  <si>
    <t>David Robertson</t>
  </si>
  <si>
    <t>Susan Brown</t>
  </si>
  <si>
    <t>Jessica Ortega</t>
  </si>
  <si>
    <t>Jeremy Hall</t>
  </si>
  <si>
    <t>Peter Jones</t>
  </si>
  <si>
    <t>Michael Sampson</t>
  </si>
  <si>
    <t>Daniel Erickson</t>
  </si>
  <si>
    <t>David Aguilar</t>
  </si>
  <si>
    <t>Benjamin Vance</t>
  </si>
  <si>
    <t>Yolanda Chen</t>
  </si>
  <si>
    <t>Kristina Douglas</t>
  </si>
  <si>
    <t>Scott Davidson</t>
  </si>
  <si>
    <t>Alexandra Harrington</t>
  </si>
  <si>
    <t>Richard Johnson</t>
  </si>
  <si>
    <t>Christopher Chapman</t>
  </si>
  <si>
    <t>Jerry Browning</t>
  </si>
  <si>
    <t>Carrie Page</t>
  </si>
  <si>
    <t>Michelle Benjamin</t>
  </si>
  <si>
    <t>James Woods</t>
  </si>
  <si>
    <t>Angela Dunn</t>
  </si>
  <si>
    <t>Nathan Riley</t>
  </si>
  <si>
    <t>Shelby Mahoney</t>
  </si>
  <si>
    <t>Andrea Frey</t>
  </si>
  <si>
    <t>Justin Martin</t>
  </si>
  <si>
    <t>Mark Hartman</t>
  </si>
  <si>
    <t>Antonio Hansen</t>
  </si>
  <si>
    <t>Lynn Anderson</t>
  </si>
  <si>
    <t>Michael Cooley</t>
  </si>
  <si>
    <t>Mitchell Sanders</t>
  </si>
  <si>
    <t>Maria Cross</t>
  </si>
  <si>
    <t>Lisa Castillo</t>
  </si>
  <si>
    <t>Theresa Rodriguez</t>
  </si>
  <si>
    <t>Kimberly Wood</t>
  </si>
  <si>
    <t>Patricia Cox</t>
  </si>
  <si>
    <t>Kimberly Blair</t>
  </si>
  <si>
    <t>Jason Ramirez</t>
  </si>
  <si>
    <t>Gail Dudley</t>
  </si>
  <si>
    <t>John West</t>
  </si>
  <si>
    <t>Patricia Carr</t>
  </si>
  <si>
    <t>David Nunez</t>
  </si>
  <si>
    <t>Collin Peterson</t>
  </si>
  <si>
    <t>Rebecca Smith</t>
  </si>
  <si>
    <t>Lisa Benjamin</t>
  </si>
  <si>
    <t>Desiree Reyes</t>
  </si>
  <si>
    <t>Megan Diaz</t>
  </si>
  <si>
    <t>Joseph Adams</t>
  </si>
  <si>
    <t>Sharon Watson</t>
  </si>
  <si>
    <t>Tiffany Smith</t>
  </si>
  <si>
    <t>Alexander Preston</t>
  </si>
  <si>
    <t>Randall Hickman</t>
  </si>
  <si>
    <t>David Hernandez</t>
  </si>
  <si>
    <t>Michelle Jones</t>
  </si>
  <si>
    <t>Tonya Gonzalez</t>
  </si>
  <si>
    <t>Sarah Johnson</t>
  </si>
  <si>
    <t>Grace Valencia</t>
  </si>
  <si>
    <t>Sarah Young</t>
  </si>
  <si>
    <t>Gerald Weber</t>
  </si>
  <si>
    <t>Gregory Turner</t>
  </si>
  <si>
    <t>Laura Cortez</t>
  </si>
  <si>
    <t>Lori Miller</t>
  </si>
  <si>
    <t>Lori Gomez PhD</t>
  </si>
  <si>
    <t>Dawn Foster</t>
  </si>
  <si>
    <t>Peter Welch</t>
  </si>
  <si>
    <t>Maria Carter</t>
  </si>
  <si>
    <t>Daniel Hood</t>
  </si>
  <si>
    <t>Amanda Hernandez</t>
  </si>
  <si>
    <t>Alyssa Schmidt</t>
  </si>
  <si>
    <t>Taylor Merritt DVM</t>
  </si>
  <si>
    <t>Alyssa Smith</t>
  </si>
  <si>
    <t>Nathan Navarro</t>
  </si>
  <si>
    <t>Lisa Zimmerman</t>
  </si>
  <si>
    <t>Jeffrey Howard</t>
  </si>
  <si>
    <t>Morgan Bell</t>
  </si>
  <si>
    <t>Angelica Steele</t>
  </si>
  <si>
    <t>Gregory Daniels</t>
  </si>
  <si>
    <t>Eric Davis</t>
  </si>
  <si>
    <t>Natalie Kelley</t>
  </si>
  <si>
    <t>Ruth Davis</t>
  </si>
  <si>
    <t>Emily Torres</t>
  </si>
  <si>
    <t>Nancy Davis</t>
  </si>
  <si>
    <t>Amanda Bowers</t>
  </si>
  <si>
    <t>Alison Lang</t>
  </si>
  <si>
    <t>Matthew Massey</t>
  </si>
  <si>
    <t>James Anderson</t>
  </si>
  <si>
    <t>Robert Howard</t>
  </si>
  <si>
    <t>Rebecca Brown</t>
  </si>
  <si>
    <t>Kimberly Harrison</t>
  </si>
  <si>
    <t>Derek Parks</t>
  </si>
  <si>
    <t>Jennifer Baker</t>
  </si>
  <si>
    <t>Diana Schultz</t>
  </si>
  <si>
    <t>Mrs. Jill Long</t>
  </si>
  <si>
    <t>Heather Johnson</t>
  </si>
  <si>
    <t>Robert Lowery</t>
  </si>
  <si>
    <t>Angela Williams</t>
  </si>
  <si>
    <t>Brent Burns</t>
  </si>
  <si>
    <t>Melissa Barber</t>
  </si>
  <si>
    <t>John Warner</t>
  </si>
  <si>
    <t>Christopher Baxter</t>
  </si>
  <si>
    <t>Courtney Haas</t>
  </si>
  <si>
    <t>Sarah Ross</t>
  </si>
  <si>
    <t>Manuel Baker</t>
  </si>
  <si>
    <t>Jessica Lamb</t>
  </si>
  <si>
    <t>Jaime Nguyen</t>
  </si>
  <si>
    <t>Tina Chavez</t>
  </si>
  <si>
    <t>Christina Thompson</t>
  </si>
  <si>
    <t>Shari Harrell</t>
  </si>
  <si>
    <t>Tracy Gibbs</t>
  </si>
  <si>
    <t>David Hoffman</t>
  </si>
  <si>
    <t>Robert Davis</t>
  </si>
  <si>
    <t>Patricia Greer</t>
  </si>
  <si>
    <t>James Stewart</t>
  </si>
  <si>
    <t>Brent Mendoza</t>
  </si>
  <si>
    <t>Dawn Taylor</t>
  </si>
  <si>
    <t>Larry Brown</t>
  </si>
  <si>
    <t>Miss Teresa Hernandez MD</t>
  </si>
  <si>
    <t>Edward Baker</t>
  </si>
  <si>
    <t>Diana Gould</t>
  </si>
  <si>
    <t>Amy Rodriguez</t>
  </si>
  <si>
    <t>Paul Hull</t>
  </si>
  <si>
    <t>Allison Hamilton</t>
  </si>
  <si>
    <t>John King</t>
  </si>
  <si>
    <t>Tristan Avila</t>
  </si>
  <si>
    <t>Connie Cooper</t>
  </si>
  <si>
    <t>Judith Santos</t>
  </si>
  <si>
    <t>Michaela Powell</t>
  </si>
  <si>
    <t>Lawrence Roberts</t>
  </si>
  <si>
    <t>Nicholas Robinson DDS</t>
  </si>
  <si>
    <t>Jill Smith</t>
  </si>
  <si>
    <t>Michael Burns</t>
  </si>
  <si>
    <t>Adam Weaver</t>
  </si>
  <si>
    <t>Melvin Mcgee</t>
  </si>
  <si>
    <t>William Banks</t>
  </si>
  <si>
    <t>Dawn Morton</t>
  </si>
  <si>
    <t>Frank Dawson</t>
  </si>
  <si>
    <t>Gregory Davila</t>
  </si>
  <si>
    <t>Rebekah Finley</t>
  </si>
  <si>
    <t>Robert Martinez</t>
  </si>
  <si>
    <t>Steven Crawford</t>
  </si>
  <si>
    <t>Leslie King</t>
  </si>
  <si>
    <t>George Cannon</t>
  </si>
  <si>
    <t>Adam Carlson</t>
  </si>
  <si>
    <t>Stephanie Lawrence</t>
  </si>
  <si>
    <t>Adam Blackwell</t>
  </si>
  <si>
    <t>Andrew Owens</t>
  </si>
  <si>
    <t>John Sexton</t>
  </si>
  <si>
    <t>Jasmine Williams</t>
  </si>
  <si>
    <t>Leon Nguyen</t>
  </si>
  <si>
    <t>John White</t>
  </si>
  <si>
    <t>Justin Martinez</t>
  </si>
  <si>
    <t>Nathaniel Kemp</t>
  </si>
  <si>
    <t>Jacob Murray</t>
  </si>
  <si>
    <t>Anthony Green</t>
  </si>
  <si>
    <t>Trevor Freeman</t>
  </si>
  <si>
    <t>Michael Smith</t>
  </si>
  <si>
    <t>William Hogan</t>
  </si>
  <si>
    <t>Joshua Juarez</t>
  </si>
  <si>
    <t>Keith Wu</t>
  </si>
  <si>
    <t>Ryan Williams</t>
  </si>
  <si>
    <t>Ronald Stewart</t>
  </si>
  <si>
    <t>Ronald Schmidt</t>
  </si>
  <si>
    <t>Courtney Bradley</t>
  </si>
  <si>
    <t>Deanna Gonzalez</t>
  </si>
  <si>
    <t>Darrell Adams</t>
  </si>
  <si>
    <t>Michael Mata</t>
  </si>
  <si>
    <t>Anthony Dunn</t>
  </si>
  <si>
    <t>Jonathan Hodges</t>
  </si>
  <si>
    <t>Jill Williams</t>
  </si>
  <si>
    <t>Julia Russell</t>
  </si>
  <si>
    <t>Shirley Jackson</t>
  </si>
  <si>
    <t>Tonya Thompson</t>
  </si>
  <si>
    <t>Brandon Williamson</t>
  </si>
  <si>
    <t>Joseph Davis</t>
  </si>
  <si>
    <t>Elizabeth Andersen</t>
  </si>
  <si>
    <t>Jeffrey Meyers</t>
  </si>
  <si>
    <t>Christopher Jones</t>
  </si>
  <si>
    <t>Aimee Rogers</t>
  </si>
  <si>
    <t>Alexis Bates</t>
  </si>
  <si>
    <t>Michael Evans</t>
  </si>
  <si>
    <t>Omar Gonzalez</t>
  </si>
  <si>
    <t>Melissa Perry</t>
  </si>
  <si>
    <t>Dawn Torres</t>
  </si>
  <si>
    <t>Timothy Dean</t>
  </si>
  <si>
    <t>Anna Rollins MD</t>
  </si>
  <si>
    <t>Timothy Barrera</t>
  </si>
  <si>
    <t>Susan Morris</t>
  </si>
  <si>
    <t>Gordon Merritt</t>
  </si>
  <si>
    <t>Kristy Rhodes</t>
  </si>
  <si>
    <t>Kristi Cross</t>
  </si>
  <si>
    <t>Ms. Marissa Ramirez</t>
  </si>
  <si>
    <t>Paul Hickman</t>
  </si>
  <si>
    <t>Mrs. Kathy Woodward</t>
  </si>
  <si>
    <t>Alexis Horn</t>
  </si>
  <si>
    <t>Shannon Harris DDS</t>
  </si>
  <si>
    <t>Alicia Ortiz</t>
  </si>
  <si>
    <t>Steven Wood</t>
  </si>
  <si>
    <t>Alexis Walton</t>
  </si>
  <si>
    <t>Martin Mcknight</t>
  </si>
  <si>
    <t>Gina Palmer</t>
  </si>
  <si>
    <t>Jean Moreno</t>
  </si>
  <si>
    <t>David Anderson</t>
  </si>
  <si>
    <t>Brian Huffman</t>
  </si>
  <si>
    <t>Jose Liu</t>
  </si>
  <si>
    <t>Cathy Pratt</t>
  </si>
  <si>
    <t>Kathy Sandoval</t>
  </si>
  <si>
    <t>Michael Webb</t>
  </si>
  <si>
    <t>Ronnie Taylor</t>
  </si>
  <si>
    <t>Matthew Miller</t>
  </si>
  <si>
    <t>Shelly Hurley</t>
  </si>
  <si>
    <t>Mr. Martin Dominguez MD</t>
  </si>
  <si>
    <t>Jennifer Wiggins</t>
  </si>
  <si>
    <t>Anthony Smith</t>
  </si>
  <si>
    <t>John Lopez</t>
  </si>
  <si>
    <t>Nathan Rodgers</t>
  </si>
  <si>
    <t>Martin Walker</t>
  </si>
  <si>
    <t>Jesus Wood</t>
  </si>
  <si>
    <t>Kelly Bell</t>
  </si>
  <si>
    <t>Kathryn Randall</t>
  </si>
  <si>
    <t>Sarah Norris</t>
  </si>
  <si>
    <t>Matthew Adams</t>
  </si>
  <si>
    <t>William Wade</t>
  </si>
  <si>
    <t>Brian Castro</t>
  </si>
  <si>
    <t>Teresa Sanders</t>
  </si>
  <si>
    <t>Richard Oneal</t>
  </si>
  <si>
    <t>Christine Cooper</t>
  </si>
  <si>
    <t>Michael Foster</t>
  </si>
  <si>
    <t>Loretta Gonzalez</t>
  </si>
  <si>
    <t>Douglas Ingram</t>
  </si>
  <si>
    <t>Randy Anderson</t>
  </si>
  <si>
    <t>Donna Shaw</t>
  </si>
  <si>
    <t>Joseph Holt</t>
  </si>
  <si>
    <t>Taylor Acosta</t>
  </si>
  <si>
    <t>Danielle Scott</t>
  </si>
  <si>
    <t>Melissa Aguirre</t>
  </si>
  <si>
    <t>Cassandra Snyder</t>
  </si>
  <si>
    <t>Kimberly Lambert</t>
  </si>
  <si>
    <t>Rebecca Mendoza DDS</t>
  </si>
  <si>
    <t>Michael Anderson</t>
  </si>
  <si>
    <t>Hannah Gentry</t>
  </si>
  <si>
    <t>Patrick Reed</t>
  </si>
  <si>
    <t>Tiffany Huff</t>
  </si>
  <si>
    <t>Thomas Lee</t>
  </si>
  <si>
    <t>Justin Clark</t>
  </si>
  <si>
    <t>Michael Martinez</t>
  </si>
  <si>
    <t>Vincent Smith</t>
  </si>
  <si>
    <t>Sean Hull</t>
  </si>
  <si>
    <t>Sarah Welch</t>
  </si>
  <si>
    <t>Mr. Stephen Gilmore</t>
  </si>
  <si>
    <t>Barry Parker</t>
  </si>
  <si>
    <t>Joshua Kane</t>
  </si>
  <si>
    <t>Anthony Wright</t>
  </si>
  <si>
    <t>Nathaniel Lopez</t>
  </si>
  <si>
    <t>Darlene Fletcher</t>
  </si>
  <si>
    <t>Christopher Moore</t>
  </si>
  <si>
    <t>Benjamin White</t>
  </si>
  <si>
    <t>Jenny Coleman</t>
  </si>
  <si>
    <t>Michael Gomez</t>
  </si>
  <si>
    <t>Caleb Serrano</t>
  </si>
  <si>
    <t>William Carlson</t>
  </si>
  <si>
    <t>Timothy Pruitt</t>
  </si>
  <si>
    <t>Mario Johnston</t>
  </si>
  <si>
    <t>Rebecca Kim</t>
  </si>
  <si>
    <t>Joyce Williams</t>
  </si>
  <si>
    <t>Cynthia Sloan</t>
  </si>
  <si>
    <t>Patricia Williams</t>
  </si>
  <si>
    <t>Michael Payne</t>
  </si>
  <si>
    <t>Brooke Friedman</t>
  </si>
  <si>
    <t>Daniel Mathis</t>
  </si>
  <si>
    <t>Lynn Jennings</t>
  </si>
  <si>
    <t>Kimberly Randolph</t>
  </si>
  <si>
    <t>Jack Simmons</t>
  </si>
  <si>
    <t>Daniel Mendez</t>
  </si>
  <si>
    <t>Travis Lawson</t>
  </si>
  <si>
    <t>Jason Horne DDS</t>
  </si>
  <si>
    <t>Shawn Galloway</t>
  </si>
  <si>
    <t>Thomas Barnes</t>
  </si>
  <si>
    <t>Elizabeth Curry</t>
  </si>
  <si>
    <t>Nicole Cunningham</t>
  </si>
  <si>
    <t>Patrick Thompson</t>
  </si>
  <si>
    <t>Marissa Stewart</t>
  </si>
  <si>
    <t>Melissa Wilson</t>
  </si>
  <si>
    <t>Jaime Glenn</t>
  </si>
  <si>
    <t>Mark Castillo</t>
  </si>
  <si>
    <t>Mr. Kent Stanton</t>
  </si>
  <si>
    <t>Tyrone Phillips</t>
  </si>
  <si>
    <t>Christopher Collins</t>
  </si>
  <si>
    <t>David Rowe</t>
  </si>
  <si>
    <t>Christopher Mccullough</t>
  </si>
  <si>
    <t>Carla Rodriguez</t>
  </si>
  <si>
    <t>Makayla Howard</t>
  </si>
  <si>
    <t>Barbara White</t>
  </si>
  <si>
    <t>Sarah Davis</t>
  </si>
  <si>
    <t>Cody Donovan</t>
  </si>
  <si>
    <t>Jessica Jenkins</t>
  </si>
  <si>
    <t>Benjamin Alexander</t>
  </si>
  <si>
    <t>Isaac Lopez</t>
  </si>
  <si>
    <t>Ariana Morse</t>
  </si>
  <si>
    <t>Brian Avery</t>
  </si>
  <si>
    <t>Amy Lawson</t>
  </si>
  <si>
    <t>Derek Choi</t>
  </si>
  <si>
    <t>Paul Reese</t>
  </si>
  <si>
    <t>Francisco Chang</t>
  </si>
  <si>
    <t>Christian Knight</t>
  </si>
  <si>
    <t>Andrew Wilkerson</t>
  </si>
  <si>
    <t>Brandon Alvarez</t>
  </si>
  <si>
    <t>Gary Young</t>
  </si>
  <si>
    <t>Jessica Wright</t>
  </si>
  <si>
    <t>Timothy Clements</t>
  </si>
  <si>
    <t>Alexander Gordon DDS</t>
  </si>
  <si>
    <t>James Martinez</t>
  </si>
  <si>
    <t>Francisco Williams</t>
  </si>
  <si>
    <t>Jordan Brooks</t>
  </si>
  <si>
    <t>Kurt Boyd</t>
  </si>
  <si>
    <t>Bryan Salazar</t>
  </si>
  <si>
    <t>Mrs. Heather Roy</t>
  </si>
  <si>
    <t>Kathleen Newton</t>
  </si>
  <si>
    <t>Julian Fox</t>
  </si>
  <si>
    <t>Kylie Hancock</t>
  </si>
  <si>
    <t>Matthew Werner</t>
  </si>
  <si>
    <t>Kelsey Bush</t>
  </si>
  <si>
    <t>Brandon Dickerson</t>
  </si>
  <si>
    <t>Jamie Allen</t>
  </si>
  <si>
    <t>Taylor Smith</t>
  </si>
  <si>
    <t>Elizabeth Chavez</t>
  </si>
  <si>
    <t>Melissa Morris</t>
  </si>
  <si>
    <t>Donna Hardin</t>
  </si>
  <si>
    <t>Andrew Cook</t>
  </si>
  <si>
    <t>Dr. Richard Wallace</t>
  </si>
  <si>
    <t>Samuel Shaw</t>
  </si>
  <si>
    <t>Mike Waters</t>
  </si>
  <si>
    <t>Andrea Newman</t>
  </si>
  <si>
    <t>Barry Jenkins</t>
  </si>
  <si>
    <t>Laurie Johnson</t>
  </si>
  <si>
    <t>John Coleman</t>
  </si>
  <si>
    <t>John Carter</t>
  </si>
  <si>
    <t>Mr. Devon Garrett</t>
  </si>
  <si>
    <t>Jill Kelly</t>
  </si>
  <si>
    <t>Richard Gonzalez</t>
  </si>
  <si>
    <t>Alex White</t>
  </si>
  <si>
    <t>Michael Gonzales</t>
  </si>
  <si>
    <t>John Williams</t>
  </si>
  <si>
    <t>Daniel Herrera</t>
  </si>
  <si>
    <t>Jessica Richardson</t>
  </si>
  <si>
    <t>Ian Glass</t>
  </si>
  <si>
    <t>Heidi Simmons</t>
  </si>
  <si>
    <t>Andrea Fuller</t>
  </si>
  <si>
    <t>David Dunlap</t>
  </si>
  <si>
    <t>Antonio Mitchell</t>
  </si>
  <si>
    <t>Mariah Cole</t>
  </si>
  <si>
    <t>Rhonda Ramos</t>
  </si>
  <si>
    <t>Raymond Murillo</t>
  </si>
  <si>
    <t>Andrea Bradley</t>
  </si>
  <si>
    <t>Tina Velazquez</t>
  </si>
  <si>
    <t>Bonnie Callahan</t>
  </si>
  <si>
    <t>Eric Scott</t>
  </si>
  <si>
    <t>Maria Leblanc</t>
  </si>
  <si>
    <t>Michael Valenzuela</t>
  </si>
  <si>
    <t>Robin Spears</t>
  </si>
  <si>
    <t>David Owens</t>
  </si>
  <si>
    <t>Elizabeth Clark</t>
  </si>
  <si>
    <t>Beverly Fisher</t>
  </si>
  <si>
    <t>Sarah Bailey</t>
  </si>
  <si>
    <t>Kendra Ramirez</t>
  </si>
  <si>
    <t>Diane Ross</t>
  </si>
  <si>
    <t>Stephanie Mcfarland</t>
  </si>
  <si>
    <t>Michelle Woods</t>
  </si>
  <si>
    <t>David Ruiz</t>
  </si>
  <si>
    <t>Jason Castro</t>
  </si>
  <si>
    <t>Kathleen Montgomery</t>
  </si>
  <si>
    <t>James Bennett</t>
  </si>
  <si>
    <t>Kelsey Watkins</t>
  </si>
  <si>
    <t>David Park</t>
  </si>
  <si>
    <t>Christopher Poole</t>
  </si>
  <si>
    <t>Rebecca Baxter</t>
  </si>
  <si>
    <t>Virginia Daniel</t>
  </si>
  <si>
    <t>Melissa Gordon</t>
  </si>
  <si>
    <t>Brett Barrett</t>
  </si>
  <si>
    <t>Brandon Townsend</t>
  </si>
  <si>
    <t>Haley Robertson</t>
  </si>
  <si>
    <t>Michelle Gonzalez</t>
  </si>
  <si>
    <t>Gary Holland</t>
  </si>
  <si>
    <t>Felicia Howard</t>
  </si>
  <si>
    <t>Sean Walker</t>
  </si>
  <si>
    <t>Brianna Mills</t>
  </si>
  <si>
    <t>Michael Case</t>
  </si>
  <si>
    <t>Felicia Houston</t>
  </si>
  <si>
    <t>Kevin Wilson</t>
  </si>
  <si>
    <t>Mary Vaughn</t>
  </si>
  <si>
    <t>Maurice Martinez</t>
  </si>
  <si>
    <t>Jonathon Perry</t>
  </si>
  <si>
    <t>Rebecca Evans</t>
  </si>
  <si>
    <t>Paul Williams</t>
  </si>
  <si>
    <t>Tyler Boyer</t>
  </si>
  <si>
    <t>Kristy Nichols</t>
  </si>
  <si>
    <t>Darren Martin</t>
  </si>
  <si>
    <t>Katelyn Morgan</t>
  </si>
  <si>
    <t>Dennis Elliott</t>
  </si>
  <si>
    <t>Jesus Henson</t>
  </si>
  <si>
    <t>Robin Stewart</t>
  </si>
  <si>
    <t>Lawrence Miller</t>
  </si>
  <si>
    <t>Ronnie White</t>
  </si>
  <si>
    <t>John Fox</t>
  </si>
  <si>
    <t>Daniel Scott</t>
  </si>
  <si>
    <t>Jonathan Mann</t>
  </si>
  <si>
    <t>Bethany Andersen</t>
  </si>
  <si>
    <t>Tiffany Moore</t>
  </si>
  <si>
    <t>Sylvia Chavez</t>
  </si>
  <si>
    <t>Gerald Reilly</t>
  </si>
  <si>
    <t>Ashlee Wilcox</t>
  </si>
  <si>
    <t>Lance Johnson</t>
  </si>
  <si>
    <t>Patrick Gonzalez MD</t>
  </si>
  <si>
    <t>Cole Gomez</t>
  </si>
  <si>
    <t>Alejandro Gutierrez</t>
  </si>
  <si>
    <t>Natalie Long</t>
  </si>
  <si>
    <t>Abigail Ingram</t>
  </si>
  <si>
    <t>Eileen Lee</t>
  </si>
  <si>
    <t>Nancy Moore</t>
  </si>
  <si>
    <t>Melanie Wilson</t>
  </si>
  <si>
    <t>Gloria Henderson</t>
  </si>
  <si>
    <t>Christopher Payne</t>
  </si>
  <si>
    <t>John Franklin</t>
  </si>
  <si>
    <t>Angel Stout</t>
  </si>
  <si>
    <t>James Watkins</t>
  </si>
  <si>
    <t>Candace Kelly</t>
  </si>
  <si>
    <t>Zachary Daniel</t>
  </si>
  <si>
    <t>Angel Howard</t>
  </si>
  <si>
    <t>Heather Hill</t>
  </si>
  <si>
    <t>Heather Gamble</t>
  </si>
  <si>
    <t>Sean Levine</t>
  </si>
  <si>
    <t>Brian Diaz</t>
  </si>
  <si>
    <t>Catherine Koch</t>
  </si>
  <si>
    <t>Anne Martin</t>
  </si>
  <si>
    <t>Mary Warren</t>
  </si>
  <si>
    <t>Amanda Bryant</t>
  </si>
  <si>
    <t>Joel Ford</t>
  </si>
  <si>
    <t>Mark Miller</t>
  </si>
  <si>
    <t>Sarah Russell</t>
  </si>
  <si>
    <t>Lisa Mitchell</t>
  </si>
  <si>
    <t>William White</t>
  </si>
  <si>
    <t>Jacqueline Garcia</t>
  </si>
  <si>
    <t>Elizabeth Wright</t>
  </si>
  <si>
    <t>Pamela Woods</t>
  </si>
  <si>
    <t>Sydney Patterson</t>
  </si>
  <si>
    <t>Lisa Johnson</t>
  </si>
  <si>
    <t>Todd Jackson</t>
  </si>
  <si>
    <t>Shelby Richards</t>
  </si>
  <si>
    <t>Joseph Roberts</t>
  </si>
  <si>
    <t>Samantha Burton</t>
  </si>
  <si>
    <t>Cynthia Mcdonald</t>
  </si>
  <si>
    <t>Kimberly Petty</t>
  </si>
  <si>
    <t>Joshua Carpenter</t>
  </si>
  <si>
    <t>Jessica Fuller</t>
  </si>
  <si>
    <t>Andrea Barber</t>
  </si>
  <si>
    <t>Brian Lyons</t>
  </si>
  <si>
    <t>Tammy Fuentes</t>
  </si>
  <si>
    <t>Robert Taylor</t>
  </si>
  <si>
    <t>David Gonzalez</t>
  </si>
  <si>
    <t>Steven Myers</t>
  </si>
  <si>
    <t>Cassandra Perez</t>
  </si>
  <si>
    <t>Jacqueline Eaton</t>
  </si>
  <si>
    <t>Carrie Mccoy</t>
  </si>
  <si>
    <t>Amy Fisher</t>
  </si>
  <si>
    <t>Stephanie Reid</t>
  </si>
  <si>
    <t>Reginald Hoover</t>
  </si>
  <si>
    <t>Christina Russo</t>
  </si>
  <si>
    <t>Raymond Howell</t>
  </si>
  <si>
    <t>Angela Perez</t>
  </si>
  <si>
    <t>Charles Aguilar</t>
  </si>
  <si>
    <t>Caitlyn Green</t>
  </si>
  <si>
    <t>Ronald Davis</t>
  </si>
  <si>
    <t>Melissa Lucas</t>
  </si>
  <si>
    <t>Heidi Leonard</t>
  </si>
  <si>
    <t>Samantha Patton</t>
  </si>
  <si>
    <t>Richard Swanson</t>
  </si>
  <si>
    <t>Lauren Simpson</t>
  </si>
  <si>
    <t>Kimberly Raymond</t>
  </si>
  <si>
    <t>Marissa Raymond</t>
  </si>
  <si>
    <t>Joyce Bishop</t>
  </si>
  <si>
    <t>Michael Kelly</t>
  </si>
  <si>
    <t>Peggy Hill</t>
  </si>
  <si>
    <t>Derrick Love</t>
  </si>
  <si>
    <t>Laura Stevens</t>
  </si>
  <si>
    <t>Terri Potter</t>
  </si>
  <si>
    <t>Veronica Saunders</t>
  </si>
  <si>
    <t>Emily Townsend</t>
  </si>
  <si>
    <t>James Long</t>
  </si>
  <si>
    <t>Jennifer Dickson</t>
  </si>
  <si>
    <t>Alexa West</t>
  </si>
  <si>
    <t>Phillip Donovan</t>
  </si>
  <si>
    <t>Monique King</t>
  </si>
  <si>
    <t>Karl Murray</t>
  </si>
  <si>
    <t>Julia Brooks</t>
  </si>
  <si>
    <t>Lauren Montgomery</t>
  </si>
  <si>
    <t>Nathan Wall</t>
  </si>
  <si>
    <t>Kristin Macias</t>
  </si>
  <si>
    <t>Samuel Smith</t>
  </si>
  <si>
    <t>Bradley Stevens</t>
  </si>
  <si>
    <t>Morgan Hampton</t>
  </si>
  <si>
    <t>Lori Carrillo</t>
  </si>
  <si>
    <t>Samantha Novak</t>
  </si>
  <si>
    <t>Audrey Robinson</t>
  </si>
  <si>
    <t>Lindsey Kerr</t>
  </si>
  <si>
    <t>Cynthia Nguyen</t>
  </si>
  <si>
    <t>Ryan Hood</t>
  </si>
  <si>
    <t>Matthew Stevenson</t>
  </si>
  <si>
    <t>Rhonda White</t>
  </si>
  <si>
    <t>Larry Ramsey</t>
  </si>
  <si>
    <t>Kimberly Anderson</t>
  </si>
  <si>
    <t>Brian Miles</t>
  </si>
  <si>
    <t>Kelly Baker</t>
  </si>
  <si>
    <t>Wendy Miller</t>
  </si>
  <si>
    <t>Michael Webster</t>
  </si>
  <si>
    <t>Michelle Ryan</t>
  </si>
  <si>
    <t>Justin Jennings</t>
  </si>
  <si>
    <t>Norma Ward</t>
  </si>
  <si>
    <t>Vincent Johnson</t>
  </si>
  <si>
    <t>David Stone</t>
  </si>
  <si>
    <t>Amy Evans</t>
  </si>
  <si>
    <t>Caleb Walker</t>
  </si>
  <si>
    <t>Stephen Ramirez</t>
  </si>
  <si>
    <t>Nicholas Baxter</t>
  </si>
  <si>
    <t>Raymond Smith</t>
  </si>
  <si>
    <t>Roy Johnson</t>
  </si>
  <si>
    <t>Ryan Vasquez</t>
  </si>
  <si>
    <t>Justin Johnson</t>
  </si>
  <si>
    <t>Kaylee Benjamin</t>
  </si>
  <si>
    <t>Charles Murphy</t>
  </si>
  <si>
    <t>Grant Henderson</t>
  </si>
  <si>
    <t>Michael Woods</t>
  </si>
  <si>
    <t>Michael Kane</t>
  </si>
  <si>
    <t>Susan Benson</t>
  </si>
  <si>
    <t>Timothy Armstrong</t>
  </si>
  <si>
    <t>Cindy Harvey</t>
  </si>
  <si>
    <t>Caitlin Carter</t>
  </si>
  <si>
    <t>Ricky Johnson</t>
  </si>
  <si>
    <t>Bryan Hoover</t>
  </si>
  <si>
    <t>Elijah Wagner</t>
  </si>
  <si>
    <t>Felicia Davis</t>
  </si>
  <si>
    <t>Jonathan Hess</t>
  </si>
  <si>
    <t>Michael Yoder</t>
  </si>
  <si>
    <t>Samantha York</t>
  </si>
  <si>
    <t>Joanna Martinez</t>
  </si>
  <si>
    <t>Penny Hopkins</t>
  </si>
  <si>
    <t>Justin Foster</t>
  </si>
  <si>
    <t>Jennifer Morgan</t>
  </si>
  <si>
    <t>Dalton Chen</t>
  </si>
  <si>
    <t>Mrs. Amy Carney MD</t>
  </si>
  <si>
    <t>Melissa Wang</t>
  </si>
  <si>
    <t>Chelsea Porter</t>
  </si>
  <si>
    <t>Cameron Bender</t>
  </si>
  <si>
    <t>Vanessa Hall</t>
  </si>
  <si>
    <t>Daniel Solomon</t>
  </si>
  <si>
    <t>Deanna Jones</t>
  </si>
  <si>
    <t>Alicia Young</t>
  </si>
  <si>
    <t>Peter Figueroa</t>
  </si>
  <si>
    <t>Jacob Thompson</t>
  </si>
  <si>
    <t>Jonathon Woodward</t>
  </si>
  <si>
    <t>Brian Hayes</t>
  </si>
  <si>
    <t>Lisa Carroll</t>
  </si>
  <si>
    <t>Cassandra Ryan</t>
  </si>
  <si>
    <t>Terri Hayden</t>
  </si>
  <si>
    <t>Taylor Burns</t>
  </si>
  <si>
    <t>Andrew Jimenez</t>
  </si>
  <si>
    <t>Wendy King</t>
  </si>
  <si>
    <t>Luis Carter</t>
  </si>
  <si>
    <t>Nicholas Jones</t>
  </si>
  <si>
    <t>Tiffany Sanders</t>
  </si>
  <si>
    <t>Tina Knight</t>
  </si>
  <si>
    <t>Brittany Andrews</t>
  </si>
  <si>
    <t>William Weber</t>
  </si>
  <si>
    <t>Angela Ortiz</t>
  </si>
  <si>
    <t>David Meyer</t>
  </si>
  <si>
    <t>Michelle Aguilar</t>
  </si>
  <si>
    <t>Travis Harrell</t>
  </si>
  <si>
    <t>Craig Mccann</t>
  </si>
  <si>
    <t>Scott Edwards</t>
  </si>
  <si>
    <t>Kelly Cohen</t>
  </si>
  <si>
    <t>David Diaz</t>
  </si>
  <si>
    <t>Joseph Green</t>
  </si>
  <si>
    <t>Henry Johnson</t>
  </si>
  <si>
    <t>Keith Wilson</t>
  </si>
  <si>
    <t>Jordan Chase</t>
  </si>
  <si>
    <t>Kayla Solomon</t>
  </si>
  <si>
    <t>Hayley Johnson</t>
  </si>
  <si>
    <t>John Bender</t>
  </si>
  <si>
    <t>William Christian</t>
  </si>
  <si>
    <t>Michael Willis</t>
  </si>
  <si>
    <t>James Simmons</t>
  </si>
  <si>
    <t>Christopher Sullivan</t>
  </si>
  <si>
    <t>Michelle Santos</t>
  </si>
  <si>
    <t>Michael Walters</t>
  </si>
  <si>
    <t>Jason Anderson</t>
  </si>
  <si>
    <t>James Hoover</t>
  </si>
  <si>
    <t>Julie Garza</t>
  </si>
  <si>
    <t>Lisa Williams</t>
  </si>
  <si>
    <t>Erica Thomas</t>
  </si>
  <si>
    <t>Calvin Vargas</t>
  </si>
  <si>
    <t>Molly Jones</t>
  </si>
  <si>
    <t>Shannon Hogan</t>
  </si>
  <si>
    <t>James Fields</t>
  </si>
  <si>
    <t>Arthur Johnson</t>
  </si>
  <si>
    <t>Collin Edwards</t>
  </si>
  <si>
    <t>Kimberly Smith</t>
  </si>
  <si>
    <t>Mr. Clinton Camacho</t>
  </si>
  <si>
    <t>Taylor Moyer</t>
  </si>
  <si>
    <t>David Jimenez</t>
  </si>
  <si>
    <t>Kyle Coleman</t>
  </si>
  <si>
    <t>Marvin Cardenas</t>
  </si>
  <si>
    <t>Eddie Robertson</t>
  </si>
  <si>
    <t>Christopher Diaz</t>
  </si>
  <si>
    <t>Christopher Taylor</t>
  </si>
  <si>
    <t>Brenda Bell</t>
  </si>
  <si>
    <t>Ashley Nguyen</t>
  </si>
  <si>
    <t>Michael Bailey</t>
  </si>
  <si>
    <t>Maria Scott</t>
  </si>
  <si>
    <t>Katherine Mclaughlin</t>
  </si>
  <si>
    <t>Karen Cruz</t>
  </si>
  <si>
    <t>Jodi Taylor</t>
  </si>
  <si>
    <t>Thomas Mcgrath</t>
  </si>
  <si>
    <t>Alec Peterson</t>
  </si>
  <si>
    <t>Kathy Bailey</t>
  </si>
  <si>
    <t>Karen Wolf</t>
  </si>
  <si>
    <t>Mary Jones</t>
  </si>
  <si>
    <t>Lisa Houston</t>
  </si>
  <si>
    <t>Ashley Jordan</t>
  </si>
  <si>
    <t>Lonnie Williams</t>
  </si>
  <si>
    <t>Michael Poole</t>
  </si>
  <si>
    <t>David Martinez</t>
  </si>
  <si>
    <t>Eduardo Miller</t>
  </si>
  <si>
    <t>Kristine Williams</t>
  </si>
  <si>
    <t>Audrey Woods</t>
  </si>
  <si>
    <t>Lauren Brown</t>
  </si>
  <si>
    <t>Stephanie Merritt</t>
  </si>
  <si>
    <t>Rebecca Jones</t>
  </si>
  <si>
    <t>Isaiah Arnold</t>
  </si>
  <si>
    <t>Andrew Dudley</t>
  </si>
  <si>
    <t>Kenneth Jones</t>
  </si>
  <si>
    <t>Jane Griffith</t>
  </si>
  <si>
    <t>Jeff Phillips</t>
  </si>
  <si>
    <t>Dawn Edwards</t>
  </si>
  <si>
    <t>Paige Campbell</t>
  </si>
  <si>
    <t>Belinda Kim</t>
  </si>
  <si>
    <t>Christopher Cruz</t>
  </si>
  <si>
    <t>Ruben Steele</t>
  </si>
  <si>
    <t>Bradley Martinez</t>
  </si>
  <si>
    <t>Alison Williams</t>
  </si>
  <si>
    <t>Scott Ferguson</t>
  </si>
  <si>
    <t>David Brown</t>
  </si>
  <si>
    <t>Joseph Smith</t>
  </si>
  <si>
    <t>Renee Scott</t>
  </si>
  <si>
    <t>Aimee Green</t>
  </si>
  <si>
    <t>Ricky Jenkins</t>
  </si>
  <si>
    <t>Kelly Allen MD</t>
  </si>
  <si>
    <t>Sean Smith</t>
  </si>
  <si>
    <t>Robert Johnson</t>
  </si>
  <si>
    <t>Susan Russell</t>
  </si>
  <si>
    <t>Ryan West</t>
  </si>
  <si>
    <t>Christina Fitzgerald</t>
  </si>
  <si>
    <t>Susan Roberson</t>
  </si>
  <si>
    <t>Jessica Banks</t>
  </si>
  <si>
    <t>Jodi Rogers</t>
  </si>
  <si>
    <t>Michelle Clay</t>
  </si>
  <si>
    <t>Jacob Bean</t>
  </si>
  <si>
    <t>Robert Harper</t>
  </si>
  <si>
    <t>Valerie Gibson</t>
  </si>
  <si>
    <t>Michelle Graham</t>
  </si>
  <si>
    <t>Seth Johnson</t>
  </si>
  <si>
    <t>John Jones</t>
  </si>
  <si>
    <t>Julia Sanchez</t>
  </si>
  <si>
    <t>Justin Sharp</t>
  </si>
  <si>
    <t>Thomas Yoder</t>
  </si>
  <si>
    <t>Christine Mullins</t>
  </si>
  <si>
    <t>Timothy Mcbride</t>
  </si>
  <si>
    <t>Deborah Reyes</t>
  </si>
  <si>
    <t>Chad Downs</t>
  </si>
  <si>
    <t>William Hill</t>
  </si>
  <si>
    <t>Makayla Rhodes</t>
  </si>
  <si>
    <t>Clayton Jones</t>
  </si>
  <si>
    <t>Sean Hernandez</t>
  </si>
  <si>
    <t>Christine Young</t>
  </si>
  <si>
    <t>Brian Hale</t>
  </si>
  <si>
    <t>Sandra Hart</t>
  </si>
  <si>
    <t>Christine Curtis</t>
  </si>
  <si>
    <t>Tara Johnson</t>
  </si>
  <si>
    <t>Stephanie Snyder</t>
  </si>
  <si>
    <t>Miguel Leblanc</t>
  </si>
  <si>
    <t>Christina Mcintyre</t>
  </si>
  <si>
    <t>John Weber</t>
  </si>
  <si>
    <t>Timothy Austin</t>
  </si>
  <si>
    <t>Jeffrey Sullivan</t>
  </si>
  <si>
    <t>Michael Noble</t>
  </si>
  <si>
    <t>Christine Shah</t>
  </si>
  <si>
    <t>Lisa Maynard</t>
  </si>
  <si>
    <t>Lisa Lynch</t>
  </si>
  <si>
    <t>Angela Warren</t>
  </si>
  <si>
    <t>Mary Benson</t>
  </si>
  <si>
    <t>Yvonne Krueger</t>
  </si>
  <si>
    <t>Keith Bailey</t>
  </si>
  <si>
    <t>Barbara Case</t>
  </si>
  <si>
    <t>Jamie Torres</t>
  </si>
  <si>
    <t>Justin Jacobs</t>
  </si>
  <si>
    <t>Kevin Reynolds</t>
  </si>
  <si>
    <t>Michelle Kelly</t>
  </si>
  <si>
    <t>Terry Hernandez</t>
  </si>
  <si>
    <t>Aaron Duarte</t>
  </si>
  <si>
    <t>Micheal Perez</t>
  </si>
  <si>
    <t>Troy Bradford</t>
  </si>
  <si>
    <t>Bobby Wilkinson</t>
  </si>
  <si>
    <t>Juan Lopez</t>
  </si>
  <si>
    <t>Virginia Medina</t>
  </si>
  <si>
    <t>Leah Holmes</t>
  </si>
  <si>
    <t>Todd Brooks</t>
  </si>
  <si>
    <t>Madeline Rush</t>
  </si>
  <si>
    <t>Ronnie Lee</t>
  </si>
  <si>
    <t>Nicole Frederick</t>
  </si>
  <si>
    <t>Jason Adams</t>
  </si>
  <si>
    <t>Mallory Fletcher</t>
  </si>
  <si>
    <t>David Cummings</t>
  </si>
  <si>
    <t>Kelly Suarez</t>
  </si>
  <si>
    <t>Drew Morse</t>
  </si>
  <si>
    <t>Lauren Stephens</t>
  </si>
  <si>
    <t>Penny Miller</t>
  </si>
  <si>
    <t>Paula Stewart</t>
  </si>
  <si>
    <t>Jonathan Johnson</t>
  </si>
  <si>
    <t>Laura Ross</t>
  </si>
  <si>
    <t>Brandy Wilson</t>
  </si>
  <si>
    <t>Brittany Briggs</t>
  </si>
  <si>
    <t>Carl Coleman</t>
  </si>
  <si>
    <t>Crystal Chandler</t>
  </si>
  <si>
    <t>Elizabeth Nichols</t>
  </si>
  <si>
    <t>Jesse Barber</t>
  </si>
  <si>
    <t>Julie Jackson</t>
  </si>
  <si>
    <t>Cindy Morales</t>
  </si>
  <si>
    <t>Ashley Franco</t>
  </si>
  <si>
    <t>Kimberly Calderon</t>
  </si>
  <si>
    <t>Lisa Brooks</t>
  </si>
  <si>
    <t>Destiny Todd</t>
  </si>
  <si>
    <t>Dawn Luna</t>
  </si>
  <si>
    <t>Jacob Yoder</t>
  </si>
  <si>
    <t>Martha Moody</t>
  </si>
  <si>
    <t>James Torres</t>
  </si>
  <si>
    <t>Joshua Robertson</t>
  </si>
  <si>
    <t>Shelly Stuart</t>
  </si>
  <si>
    <t>Julie Williams</t>
  </si>
  <si>
    <t>Tamara Jones</t>
  </si>
  <si>
    <t>Todd Orozco</t>
  </si>
  <si>
    <t>Jeffrey Torres</t>
  </si>
  <si>
    <t>Chad Colon</t>
  </si>
  <si>
    <t>Alan Williams</t>
  </si>
  <si>
    <t>Cameron Austin</t>
  </si>
  <si>
    <t>Dawn Nguyen</t>
  </si>
  <si>
    <t>Andrea Phillips</t>
  </si>
  <si>
    <t>Robert Bishop</t>
  </si>
  <si>
    <t>Melanie Mckinney</t>
  </si>
  <si>
    <t>Joseph Ellis</t>
  </si>
  <si>
    <t>Jennifer Smith</t>
  </si>
  <si>
    <t>Vickie Holloway</t>
  </si>
  <si>
    <t>Nancy Munoz</t>
  </si>
  <si>
    <t>David Taylor</t>
  </si>
  <si>
    <t>Amber Gray</t>
  </si>
  <si>
    <t>Christian Barr</t>
  </si>
  <si>
    <t>Mark Fleming</t>
  </si>
  <si>
    <t>Felicia Carpenter</t>
  </si>
  <si>
    <t>Rebecca Kelly</t>
  </si>
  <si>
    <t>Aaron Walls</t>
  </si>
  <si>
    <t>Mark King</t>
  </si>
  <si>
    <t>James Macdonald</t>
  </si>
  <si>
    <t>Alexander Thompson</t>
  </si>
  <si>
    <t>Kaitlin Walton</t>
  </si>
  <si>
    <t>Ashley Kaufman</t>
  </si>
  <si>
    <t>Megan Bernard</t>
  </si>
  <si>
    <t>Kelly Harper</t>
  </si>
  <si>
    <t>Daniel White</t>
  </si>
  <si>
    <t>Justin Castro</t>
  </si>
  <si>
    <t>John Odonnell</t>
  </si>
  <si>
    <t>Whitney Tapia</t>
  </si>
  <si>
    <t>Jeff Lawrence</t>
  </si>
  <si>
    <t>Jeremy Shields</t>
  </si>
  <si>
    <t>Matthew Davies</t>
  </si>
  <si>
    <t>Christine Hamilton</t>
  </si>
  <si>
    <t>Crystal Proctor</t>
  </si>
  <si>
    <t>Tracy Kelley</t>
  </si>
  <si>
    <t>Victoria Mcbride</t>
  </si>
  <si>
    <t>Ellen Cross MD</t>
  </si>
  <si>
    <t>David Stevens</t>
  </si>
  <si>
    <t>Frank Brown DDS</t>
  </si>
  <si>
    <t>Jenna Price</t>
  </si>
  <si>
    <t>Deborah Barajas</t>
  </si>
  <si>
    <t>Richard Howard Jr.</t>
  </si>
  <si>
    <t>Anita Dougherty</t>
  </si>
  <si>
    <t>Alicia Watson</t>
  </si>
  <si>
    <t>Deborah Hunter</t>
  </si>
  <si>
    <t>Morgan Gilbert</t>
  </si>
  <si>
    <t>Taylor Crawford</t>
  </si>
  <si>
    <t>Danny Sanchez</t>
  </si>
  <si>
    <t>Cory Rosario DDS</t>
  </si>
  <si>
    <t>Kyle Perez</t>
  </si>
  <si>
    <t>Kelly Gibson MD</t>
  </si>
  <si>
    <t>Angela Garcia</t>
  </si>
  <si>
    <t>Dylan Vaughan</t>
  </si>
  <si>
    <t>Kevin Santiago</t>
  </si>
  <si>
    <t>Terry Rodriguez</t>
  </si>
  <si>
    <t>Chad Mason</t>
  </si>
  <si>
    <t>Jessica Ferguson</t>
  </si>
  <si>
    <t>Andrew Schroeder</t>
  </si>
  <si>
    <t>Jeffrey Garcia</t>
  </si>
  <si>
    <t>Jason Hood</t>
  </si>
  <si>
    <t>Sandra Leon</t>
  </si>
  <si>
    <t>Tyler Mccormick</t>
  </si>
  <si>
    <t>Megan Murphy</t>
  </si>
  <si>
    <t>Charles Vincent</t>
  </si>
  <si>
    <t>Mrs. Cindy Sharp DVM</t>
  </si>
  <si>
    <t>Sarah Dixon</t>
  </si>
  <si>
    <t>Teresa Rodriguez</t>
  </si>
  <si>
    <t>Shannon Spencer</t>
  </si>
  <si>
    <t>Darlene Tapia</t>
  </si>
  <si>
    <t>Ryan Ball</t>
  </si>
  <si>
    <t>Anita Berger</t>
  </si>
  <si>
    <t>Tom Bradley</t>
  </si>
  <si>
    <t>Melinda Cummings</t>
  </si>
  <si>
    <t>Melissa Donaldson</t>
  </si>
  <si>
    <t>Charles Pearson</t>
  </si>
  <si>
    <t>Isaiah Moore</t>
  </si>
  <si>
    <t>Jonathan Ramirez</t>
  </si>
  <si>
    <t>Mrs. Melanie Mueller</t>
  </si>
  <si>
    <t>Ms. Heather Dean</t>
  </si>
  <si>
    <t>David Malone</t>
  </si>
  <si>
    <t>Melissa Brown</t>
  </si>
  <si>
    <t>Jason Woods</t>
  </si>
  <si>
    <t>Rachel Diaz</t>
  </si>
  <si>
    <t>Michael Jones</t>
  </si>
  <si>
    <t>Taylor Mcgee</t>
  </si>
  <si>
    <t>Christopher Ray</t>
  </si>
  <si>
    <t>Alyssa Berg MD</t>
  </si>
  <si>
    <t>Jordan Thornton</t>
  </si>
  <si>
    <t>Dr. James Henry DDS</t>
  </si>
  <si>
    <t>James Stevens</t>
  </si>
  <si>
    <t>Kevin Marquez</t>
  </si>
  <si>
    <t>Colleen Porter</t>
  </si>
  <si>
    <t>Christian Odom</t>
  </si>
  <si>
    <t>Calvin Macias</t>
  </si>
  <si>
    <t>Kim Fischer</t>
  </si>
  <si>
    <t>Travis Schultz</t>
  </si>
  <si>
    <t>Bonnie Morris</t>
  </si>
  <si>
    <t>Tiffany Morris</t>
  </si>
  <si>
    <t>Paul Poole</t>
  </si>
  <si>
    <t>Richard Perez</t>
  </si>
  <si>
    <t>Bernard Whitaker</t>
  </si>
  <si>
    <t>Melinda Miller</t>
  </si>
  <si>
    <t>Christina Gonzales</t>
  </si>
  <si>
    <t>Maria Gray</t>
  </si>
  <si>
    <t>Mary Bennett</t>
  </si>
  <si>
    <t>Dr. Erik Pineda</t>
  </si>
  <si>
    <t>Sandra Burns</t>
  </si>
  <si>
    <t>Patricia Hunt</t>
  </si>
  <si>
    <t>Erika Kennedy</t>
  </si>
  <si>
    <t>Timothy Newman</t>
  </si>
  <si>
    <t>Tanya Bowen</t>
  </si>
  <si>
    <t>Rhonda Davenport</t>
  </si>
  <si>
    <t>Cheryl Brown</t>
  </si>
  <si>
    <t>Angela Bridges</t>
  </si>
  <si>
    <t>Brandon Rasmussen</t>
  </si>
  <si>
    <t>Ryan Beltran</t>
  </si>
  <si>
    <t>Allison Novak</t>
  </si>
  <si>
    <t>Matthew Winters</t>
  </si>
  <si>
    <t>Kirsten Davis</t>
  </si>
  <si>
    <t>Paige Turner</t>
  </si>
  <si>
    <t>Aimee Christensen</t>
  </si>
  <si>
    <t>Jessica Howard</t>
  </si>
  <si>
    <t>Lisa Zhang</t>
  </si>
  <si>
    <t>Jonathan Daniel</t>
  </si>
  <si>
    <t>Cheyenne Oliver</t>
  </si>
  <si>
    <t>Brianna Henderson</t>
  </si>
  <si>
    <t>Mark Sanchez</t>
  </si>
  <si>
    <t>Melissa Nguyen</t>
  </si>
  <si>
    <t>Jeff Carney</t>
  </si>
  <si>
    <t>Tammy Tanner</t>
  </si>
  <si>
    <t>Donna Robinson</t>
  </si>
  <si>
    <t>Eric Wilson</t>
  </si>
  <si>
    <t>Linda Armstrong</t>
  </si>
  <si>
    <t>Russell Jones</t>
  </si>
  <si>
    <t>Darlene Burton</t>
  </si>
  <si>
    <t>Faith Johnson</t>
  </si>
  <si>
    <t>Nathan Miller</t>
  </si>
  <si>
    <t>Donna Fowler</t>
  </si>
  <si>
    <t>Whitney Jefferson</t>
  </si>
  <si>
    <t>Shane Sanders</t>
  </si>
  <si>
    <t>Felicia Cline</t>
  </si>
  <si>
    <t>Jennifer Clark</t>
  </si>
  <si>
    <t>Miss Carla Coleman MD</t>
  </si>
  <si>
    <t>William Nelson</t>
  </si>
  <si>
    <t>Crystal Brown</t>
  </si>
  <si>
    <t>Erica Miller</t>
  </si>
  <si>
    <t>Emily Martin</t>
  </si>
  <si>
    <t>Wesley May</t>
  </si>
  <si>
    <t>Christopher Atkinson</t>
  </si>
  <si>
    <t>Blake Martinez</t>
  </si>
  <si>
    <t>Joy Henderson</t>
  </si>
  <si>
    <t>Mary Ramos</t>
  </si>
  <si>
    <t>Colleen Sanchez</t>
  </si>
  <si>
    <t>David Cruz</t>
  </si>
  <si>
    <t>Ralph Becker</t>
  </si>
  <si>
    <t>Denise Coleman</t>
  </si>
  <si>
    <t>Samantha Mendoza</t>
  </si>
  <si>
    <t>Sean Lyons</t>
  </si>
  <si>
    <t>Deborah Hernandez</t>
  </si>
  <si>
    <t>Kristi Price</t>
  </si>
  <si>
    <t>Alex Douglas</t>
  </si>
  <si>
    <t>Ian Mcdonald</t>
  </si>
  <si>
    <t>David Bauer</t>
  </si>
  <si>
    <t>Steven Hill</t>
  </si>
  <si>
    <t>Linda Beasley</t>
  </si>
  <si>
    <t>Maria Edwards</t>
  </si>
  <si>
    <t>Megan Hutchinson</t>
  </si>
  <si>
    <t>Jaime Simon</t>
  </si>
  <si>
    <t>Thomas Freeman</t>
  </si>
  <si>
    <t>Nancy Gibson</t>
  </si>
  <si>
    <t>Holly Leon</t>
  </si>
  <si>
    <t>Travis Pierce</t>
  </si>
  <si>
    <t>Nina Fowler</t>
  </si>
  <si>
    <t>Kristen Galloway</t>
  </si>
  <si>
    <t>Raven Taylor</t>
  </si>
  <si>
    <t>Samuel Robinson</t>
  </si>
  <si>
    <t>Christina Johnson</t>
  </si>
  <si>
    <t>Holly Spencer</t>
  </si>
  <si>
    <t>Jessica Davies</t>
  </si>
  <si>
    <t>Daniel Sullivan</t>
  </si>
  <si>
    <t>Richard Franklin</t>
  </si>
  <si>
    <t>Samantha Klein</t>
  </si>
  <si>
    <t>Becky Perkins</t>
  </si>
  <si>
    <t>Kimberly Pena</t>
  </si>
  <si>
    <t>Rebecca Burnett</t>
  </si>
  <si>
    <t>Anna Martinez</t>
  </si>
  <si>
    <t>James Garcia</t>
  </si>
  <si>
    <t>Monica Johnson</t>
  </si>
  <si>
    <t>Shannon Porter</t>
  </si>
  <si>
    <t>Kenneth Murray</t>
  </si>
  <si>
    <t>Amy Stout</t>
  </si>
  <si>
    <t>Joseph Sherman</t>
  </si>
  <si>
    <t>Maria Walls</t>
  </si>
  <si>
    <t>Unknown</t>
  </si>
  <si>
    <t>Grand Total</t>
  </si>
  <si>
    <t>Count of ParentalSupport</t>
  </si>
  <si>
    <t>Metric</t>
  </si>
  <si>
    <t>Values</t>
  </si>
  <si>
    <t>Average Final Grade</t>
  </si>
  <si>
    <t>Maximum Final Grade</t>
  </si>
  <si>
    <t>Minimum Final Grade</t>
  </si>
  <si>
    <t>Average Previous Grade</t>
  </si>
  <si>
    <t>Maximum Previous Grade</t>
  </si>
  <si>
    <t>Minimum Previous Grade</t>
  </si>
  <si>
    <t>Average Attendance Rate</t>
  </si>
  <si>
    <t>Maximum Attendance Rate</t>
  </si>
  <si>
    <t>Minimum Attendance Rate</t>
  </si>
  <si>
    <t>Average Study Hours Per week</t>
  </si>
  <si>
    <t>Average of FinalGrade</t>
  </si>
  <si>
    <t>FALSE</t>
  </si>
  <si>
    <t>TRUE</t>
  </si>
  <si>
    <t>Grade</t>
  </si>
  <si>
    <t xml:space="preserve">Grade </t>
  </si>
  <si>
    <t>Final Marks</t>
  </si>
  <si>
    <t>Previous Marks</t>
  </si>
  <si>
    <t>Final Score</t>
  </si>
  <si>
    <t>Previous  Score</t>
  </si>
  <si>
    <t>Attendance Rate</t>
  </si>
  <si>
    <t>Parental Support</t>
  </si>
  <si>
    <t>Online Class Taken</t>
  </si>
  <si>
    <t>Remark</t>
  </si>
  <si>
    <t>B1</t>
  </si>
  <si>
    <t xml:space="preserve"> Good</t>
  </si>
  <si>
    <t>A2</t>
  </si>
  <si>
    <t>B2</t>
  </si>
  <si>
    <t>Try Better</t>
  </si>
  <si>
    <t>A1</t>
  </si>
  <si>
    <t>Excellent</t>
  </si>
  <si>
    <t>C1</t>
  </si>
  <si>
    <t>Count of Remark</t>
  </si>
  <si>
    <t>Previous Remark</t>
  </si>
  <si>
    <t>Good</t>
  </si>
  <si>
    <t>Poor Performance</t>
  </si>
  <si>
    <t>Total Count of Remark</t>
  </si>
  <si>
    <t>Total Count of Previous Remark</t>
  </si>
  <si>
    <t>Count of Previous Remark</t>
  </si>
  <si>
    <t>Count of Attendance Rate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</si>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</sst>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5"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0" fillId="34" borderId="10" xfId="0" applyFill="1" applyBorder="1" applyAlignment="1">
      <alignment horizontal="center"/>
    </xf>
    <xf numFmtId="0" fontId="0" fillId="33" borderId="10" xfId="0" applyFill="1" applyBorder="1" applyAlignment="1">
      <alignment horizontal="center"/>
    </xf>
    <xf numFmtId="0" fontId="0" fillId="35" borderId="10" xfId="0" applyFill="1" applyBorder="1"/>
    <xf numFmtId="0" fontId="0" fillId="36" borderId="10" xfId="0" applyFill="1" applyBorder="1"/>
    <xf numFmtId="0" fontId="0" fillId="0" borderId="0" xfId="0" applyAlignment="1">
      <alignment horizontal="center"/>
    </xf>
    <xf numFmtId="0" fontId="0" fillId="37" borderId="0" xfId="0" applyFill="1"/>
    <xf numFmtId="0" fontId="0" fillId="38" borderId="0" xfId="0" applyFill="1"/>
    <xf numFmtId="0" fontId="0" fillId="0" borderId="0" xfId="0" pivotButton="1" applyAlignment="1">
      <alignment horizontal="center"/>
    </xf>
    <xf numFmtId="0" fontId="18" fillId="33" borderId="10" xfId="0" applyFont="1" applyFill="1" applyBorder="1" applyAlignment="1">
      <alignment horizontal="center"/>
    </xf>
    <xf numFmtId="0" fontId="0" fillId="39" borderId="1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color rgb="FF9C0006"/>
      </font>
      <fill>
        <patternFill>
          <bgColor rgb="FFFFC7CE"/>
        </patternFill>
      </fill>
    </dxf>
    <dxf>
      <numFmt numFmtId="0" formatCode="General"/>
    </dxf>
    <dxf>
      <numFmt numFmtId="0" formatCode="General"/>
    </dxf>
    <dxf>
      <numFmt numFmtId="0" formatCode="General"/>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[student_performance_updated_1000.xlsx]Attendance v Final Grade!PivotTable1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'Attendance v Final Grade'!$B$2</c:f>
              <c:strCache>
                <c:ptCount val="1"/>
                <c:pt idx="0">
                  <c:v>Total</c:v>
                </c:pt>
              </c:strCache>
            </c:strRef>
          </c:tx>
          <c:spPr>
            <a:ln w="28575" cap="rnd">
              <a:solidFill>
                <a:schemeClr val="accent1"/>
              </a:solidFill>
              <a:round/>
            </a:ln>
            <a:effectLst/>
          </c:spPr>
          <c:marker>
            <c:symbol val="none"/>
          </c:marker>
          <c:cat>
            <c:strRef>
              <c:f>'Attendance v Final Grade'!$A$3:$A$13</c:f>
              <c:strCache>
                <c:ptCount val="10"/>
                <c:pt idx="0">
                  <c:v>95</c:v>
                </c:pt>
                <c:pt idx="1">
                  <c:v>92</c:v>
                </c:pt>
                <c:pt idx="2">
                  <c:v>91</c:v>
                </c:pt>
                <c:pt idx="3">
                  <c:v>90</c:v>
                </c:pt>
                <c:pt idx="4">
                  <c:v>88</c:v>
                </c:pt>
                <c:pt idx="5">
                  <c:v>85.5104166666667</c:v>
                </c:pt>
                <c:pt idx="6">
                  <c:v>85</c:v>
                </c:pt>
                <c:pt idx="7">
                  <c:v>82</c:v>
                </c:pt>
                <c:pt idx="8">
                  <c:v>78</c:v>
                </c:pt>
                <c:pt idx="9">
                  <c:v>70</c:v>
                </c:pt>
              </c:strCache>
            </c:strRef>
          </c:cat>
          <c:val>
            <c:numRef>
              <c:f>'Attendance v Final Grade'!$B$3:$B$13</c:f>
              <c:numCache>
                <c:formatCode>General</c:formatCode>
                <c:ptCount val="10"/>
                <c:pt idx="0">
                  <c:v>78.578375400641022</c:v>
                </c:pt>
                <c:pt idx="1">
                  <c:v>80.002843137254899</c:v>
                </c:pt>
                <c:pt idx="2">
                  <c:v>80.148987268518525</c:v>
                </c:pt>
                <c:pt idx="3">
                  <c:v>81.25519812091504</c:v>
                </c:pt>
                <c:pt idx="4">
                  <c:v>78.034626831501825</c:v>
                </c:pt>
                <c:pt idx="5">
                  <c:v>82.027265624999998</c:v>
                </c:pt>
                <c:pt idx="6">
                  <c:v>80.500331959706969</c:v>
                </c:pt>
                <c:pt idx="7">
                  <c:v>80.866089527027029</c:v>
                </c:pt>
                <c:pt idx="8">
                  <c:v>80.169635903426808</c:v>
                </c:pt>
                <c:pt idx="9">
                  <c:v>79.608888239875384</c:v>
                </c:pt>
              </c:numCache>
            </c:numRef>
          </c:val>
          <c:smooth val="0"/>
          <c:extLst>
            <c:ext xmlns:c16="http://schemas.microsoft.com/office/drawing/2014/chart" uri="{C3380CC4-5D6E-409C-BE32-E72D297353CC}">
              <c16:uniqueId val="{00000000-706E-4E9D-B626-DB18E99EB2DE}"/>
            </c:ext>
          </c:extLst>
        </c:ser>
        <c:dLbls>
          <c:showLegendKey val="0"/>
          <c:showVal val="0"/>
          <c:showCatName val="0"/>
          <c:showSerName val="0"/>
          <c:showPercent val="0"/>
          <c:showBubbleSize val="0"/>
        </c:dLbls>
        <c:smooth val="0"/>
        <c:axId val="1208038448"/>
        <c:axId val="1208035088"/>
      </c:lineChart>
      <c:catAx>
        <c:axId val="120803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35088"/>
        <c:crosses val="autoZero"/>
        <c:auto val="1"/>
        <c:lblAlgn val="ctr"/>
        <c:lblOffset val="100"/>
        <c:noMultiLvlLbl val="0"/>
      </c:catAx>
      <c:valAx>
        <c:axId val="120803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3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[student_performance_updated_1000.xlsx]Parent Support v Final Grade!PivotTable6</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'Parent Support v Final Grade'!$B$1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'Parent Support v Final Grade'!$A$2:$A$5</c:f>
              <c:strCache>
                <c:ptCount val="3"/>
                <c:pt idx="0">
                  <c:v>High</c:v>
                </c:pt>
                <c:pt idx="1">
                  <c:v>Low</c:v>
                </c:pt>
                <c:pt idx="2">
                  <c:v>Medium</c:v>
                </c:pt>
              </c:strCache>
            </c:strRef>
          </c:cat>
          <c:val>
            <c:numRef>
              <c:f>'Parent Support v Final Grade'!$B$2:$B$5</c:f>
              <c:numCache>
                <c:formatCode>General</c:formatCode>
                <c:ptCount val="3"/>
                <c:pt idx="0">
                  <c:v>79.439926771117172</c:v>
                </c:pt>
                <c:pt idx="1">
                  <c:v>80.312564890710391</c:v>
                </c:pt>
                <c:pt idx="2">
                  <c:v>80.428118648373996</c:v>
                </c:pt>
              </c:numCache>
            </c:numRef>
          </c:val>
          <c:extLst>
            <c:ext xmlns:c16="http://schemas.microsoft.com/office/drawing/2014/chart" uri="{C3380CC4-5D6E-409C-BE32-E72D297353CC}">
              <c16:uniqueId val="{00000000-1355-4B6D-B4DB-6142B7124EC9}"/>
            </c:ext>
          </c:extLst>
        </c:ser>
        <c:dLbls>
          <c:dLblPos val="outEnd"/>
          <c:showLegendKey val="0"/>
          <c:showVal val="1"/>
          <c:showCatName val="0"/>
          <c:showSerName val="0"/>
          <c:showPercent val="0"/>
          <c:showBubbleSize val="0"/>
        </c:dLbls>
        <c:gapWidth val="219"/>
        <c:overlap val="-27"/>
        <c:axId val="433711103"/>
        <c:axId val="433711583"/>
      </c:barChart>
      <c:catAx>
        <c:axId val="43371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711583"/>
        <c:crosses val="autoZero"/>
        <c:auto val="1"/>
        <c:lblAlgn val="ctr"/>
        <c:lblOffset val="100"/>
        <c:noMultiLvlLbl val="0"/>
      </c:catAx>
      <c:valAx>
        <c:axId val="433711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71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[student_performance_updated_1000.xlsx]Parent Support v Final Grade!PivotTable7</c:name>
    <c:fmtId val="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'Parent Support v Final Grade'!$K$1</c:f>
              <c:strCache>
                <c:ptCount val="1"/>
                <c:pt idx="0">
                  <c:v>Total</c:v>
                </c:pt>
              </c:strCache>
            </c:strRef>
          </c:tx>
          <c:spPr>
            <a:solidFill>
              <a:schemeClr val="accent5"/>
            </a:solidFill>
            <a:ln>
              <a:noFill/>
            </a:ln>
            <a:effectLst/>
          </c:spPr>
          <c:invertIfNegative val="0"/>
          <c:cat>
            <c:strRef>
              <c:f>'Parent Support v Final Grade'!$J$2:$J$4</c:f>
              <c:strCache>
                <c:ptCount val="2"/>
                <c:pt idx="0">
                  <c:v>FALSE</c:v>
                </c:pt>
                <c:pt idx="1">
                  <c:v>TRUE</c:v>
                </c:pt>
              </c:strCache>
            </c:strRef>
          </c:cat>
          <c:val>
            <c:numRef>
              <c:f>'Parent Support v Final Grade'!$K$2:$K$4</c:f>
              <c:numCache>
                <c:formatCode>General</c:formatCode>
                <c:ptCount val="2"/>
                <c:pt idx="0">
                  <c:v>80.017673611111107</c:v>
                </c:pt>
                <c:pt idx="1">
                  <c:v>80.041778846153832</c:v>
                </c:pt>
              </c:numCache>
            </c:numRef>
          </c:val>
          <c:extLst>
            <c:ext xmlns:c16="http://schemas.microsoft.com/office/drawing/2014/chart" uri="{C3380CC4-5D6E-409C-BE32-E72D297353CC}">
              <c16:uniqueId val="{00000000-224D-4776-9211-BA6F91CFC83D}"/>
            </c:ext>
          </c:extLst>
        </c:ser>
        <c:dLbls>
          <c:showLegendKey val="0"/>
          <c:showVal val="0"/>
          <c:showCatName val="0"/>
          <c:showSerName val="0"/>
          <c:showPercent val="0"/>
          <c:showBubbleSize val="0"/>
        </c:dLbls>
        <c:gapWidth val="182"/>
        <c:axId val="1272168527"/>
        <c:axId val="1272171887"/>
      </c:barChart>
      <c:catAx>
        <c:axId val="1272168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171887"/>
        <c:crosses val="autoZero"/>
        <c:auto val="1"/>
        <c:lblAlgn val="ctr"/>
        <c:lblOffset val="100"/>
        <c:noMultiLvlLbl val="0"/>
      </c:catAx>
      <c:valAx>
        <c:axId val="1272171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16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[student_performance_updated_1000.xlsx]Parent Support PV table!PivotTable1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4830357103864517"/>
              <c:y val="0.162579755982385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'Parent Support PV table'!$B$1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97A-472A-91D6-B4FD998DF65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97A-472A-91D6-B4FD998DF65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97A-472A-91D6-B4FD998DF65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EA3-4EFB-9046-D8D926C43245}"/>
              </c:ext>
            </c:extLst>
          </c:dPt>
          <c:dLbls>
            <c:dLbl>
              <c:idx val="0"/>
              <c:layout>
                <c:manualLayout>
                  <c:x val="-0.14830357103864517"/>
                  <c:y val="0.16257975598238505"/>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97A-472A-91D6-B4FD998DF65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'Parent Support PV table'!$A$2:$A$6</c:f>
              <c:strCache>
                <c:ptCount val="4"/>
                <c:pt idx="0">
                  <c:v>High</c:v>
                </c:pt>
                <c:pt idx="1">
                  <c:v>Low</c:v>
                </c:pt>
                <c:pt idx="2">
                  <c:v>Medium</c:v>
                </c:pt>
                <c:pt idx="3">
                  <c:v>(blank)</c:v>
                </c:pt>
              </c:strCache>
            </c:strRef>
          </c:cat>
          <c:val>
            <c:numRef>
              <c:f>'Parent Support PV table'!$B$2:$B$6</c:f>
              <c:numCache>
                <c:formatCode>General</c:formatCode>
                <c:ptCount val="4"/>
                <c:pt idx="0">
                  <c:v>345</c:v>
                </c:pt>
                <c:pt idx="1">
                  <c:v>305</c:v>
                </c:pt>
                <c:pt idx="2">
                  <c:v>328</c:v>
                </c:pt>
              </c:numCache>
            </c:numRef>
          </c:val>
          <c:extLst>
            <c:ext xmlns:c16="http://schemas.microsoft.com/office/drawing/2014/chart" uri="{C3380CC4-5D6E-409C-BE32-E72D297353CC}">
              <c16:uniqueId val="{00000006-F97A-472A-91D6-B4FD998DF65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[student_performance_updated_1000.xlsx]Parent Support v Final Grade!PivotTable7</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'Parent Support v Final Grade'!$K$1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'Parent Support v Final Grade'!$J$2:$J$4</c:f>
              <c:strCache>
                <c:ptCount val="2"/>
                <c:pt idx="0">
                  <c:v>FALSE</c:v>
                </c:pt>
                <c:pt idx="1">
                  <c:v>TRUE</c:v>
                </c:pt>
              </c:strCache>
            </c:strRef>
          </c:cat>
          <c:val>
            <c:numRef>
              <c:f>'Parent Support v Final Grade'!$K$2:$K$4</c:f>
              <c:numCache>
                <c:formatCode>General</c:formatCode>
                <c:ptCount val="2"/>
                <c:pt idx="0">
                  <c:v>80.017673611111107</c:v>
                </c:pt>
                <c:pt idx="1">
                  <c:v>80.041778846153832</c:v>
                </c:pt>
              </c:numCache>
            </c:numRef>
          </c:val>
          <c:smooth val="0"/>
          <c:extLst>
            <c:ext xmlns:c16="http://schemas.microsoft.com/office/drawing/2014/chart" uri="{C3380CC4-5D6E-409C-BE32-E72D297353CC}">
              <c16:uniqueId val="{00000000-5C8F-465D-82C4-47E760B50F38}"/>
            </c:ext>
          </c:extLst>
        </c:ser>
        <c:dLbls>
          <c:showLegendKey val="0"/>
          <c:showVal val="0"/>
          <c:showCatName val="0"/>
          <c:showSerName val="0"/>
          <c:showPercent val="0"/>
          <c:showBubbleSize val="0"/>
        </c:dLbls>
        <c:marker val="1"/>
        <c:smooth val="0"/>
        <c:axId val="195467904"/>
        <c:axId val="195451584"/>
      </c:lineChart>
      <c:catAx>
        <c:axId val="1954679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451584"/>
        <c:crosses val="autoZero"/>
        <c:auto val="1"/>
        <c:lblAlgn val="ctr"/>
        <c:lblOffset val="100"/>
        <c:noMultiLvlLbl val="0"/>
      </c:catAx>
      <c:valAx>
        <c:axId val="1954515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46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[student_performance_updated_1000.xlsx]Parent Support v Final Grade!PivotTable6</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66666666666664E-2"/>
          <c:y val="0.21372328458942633"/>
          <c:w val="0.93888888888888888"/>
          <c:h val="0.65603490740128068"/>
        </c:manualLayout>
      </c:layout>
      <c:barChart>
        <c:barDir val="col"/>
        <c:grouping val="clustered"/>
        <c:varyColors val="0"/>
        <c:ser>
          <c:idx val="0"/>
          <c:order val="0"/>
          <c:tx>
            <c:strRef>
              <c:f>'Parent Support v Final Grade'!$B$1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'Parent Support v Final Grade'!$A$2:$A$5</c:f>
              <c:strCache>
                <c:ptCount val="3"/>
                <c:pt idx="0">
                  <c:v>High</c:v>
                </c:pt>
                <c:pt idx="1">
                  <c:v>Low</c:v>
                </c:pt>
                <c:pt idx="2">
                  <c:v>Medium</c:v>
                </c:pt>
              </c:strCache>
            </c:strRef>
          </c:cat>
          <c:val>
            <c:numRef>
              <c:f>'Parent Support v Final Grade'!$B$2:$B$5</c:f>
              <c:numCache>
                <c:formatCode>General</c:formatCode>
                <c:ptCount val="3"/>
                <c:pt idx="0">
                  <c:v>79.439926771117172</c:v>
                </c:pt>
                <c:pt idx="1">
                  <c:v>80.312564890710391</c:v>
                </c:pt>
                <c:pt idx="2">
                  <c:v>80.428118648373996</c:v>
                </c:pt>
              </c:numCache>
            </c:numRef>
          </c:val>
          <c:extLst>
            <c:ext xmlns:c16="http://schemas.microsoft.com/office/drawing/2014/chart" uri="{C3380CC4-5D6E-409C-BE32-E72D297353CC}">
              <c16:uniqueId val="{00000000-87A0-47D7-BC69-FE5112B95584}"/>
            </c:ext>
          </c:extLst>
        </c:ser>
        <c:dLbls>
          <c:dLblPos val="inEnd"/>
          <c:showLegendKey val="0"/>
          <c:showVal val="1"/>
          <c:showCatName val="0"/>
          <c:showSerName val="0"/>
          <c:showPercent val="0"/>
          <c:showBubbleSize val="0"/>
        </c:dLbls>
        <c:gapWidth val="41"/>
        <c:axId val="1208075408"/>
        <c:axId val="1208076848"/>
      </c:barChart>
      <c:catAx>
        <c:axId val="1208075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08076848"/>
        <c:crosses val="autoZero"/>
        <c:auto val="1"/>
        <c:lblAlgn val="ctr"/>
        <c:lblOffset val="100"/>
        <c:noMultiLvlLbl val="0"/>
      </c:catAx>
      <c:valAx>
        <c:axId val="1208076848"/>
        <c:scaling>
          <c:orientation val="minMax"/>
        </c:scaling>
        <c:delete val="1"/>
        <c:axPos val="l"/>
        <c:numFmt formatCode="General" sourceLinked="1"/>
        <c:majorTickMark val="none"/>
        <c:minorTickMark val="none"/>
        <c:tickLblPos val="nextTo"/>
        <c:crossAx val="120807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[student_performance_updated_1000.xlsx]Attendance v Final Grade!PivotTable1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814002979357309E-2"/>
          <c:y val="0.17170647786673723"/>
          <c:w val="0.90166347449812012"/>
          <c:h val="0.43753244079784143"/>
        </c:manualLayout>
      </c:layout>
      <c:lineChart>
        <c:grouping val="standard"/>
        <c:varyColors val="0"/>
        <c:ser>
          <c:idx val="0"/>
          <c:order val="0"/>
          <c:tx>
            <c:strRef>
              <c:f>'Attendance v Final Grade'!$B$2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Ref>
              <c:f>'Attendance v Final Grade'!$A$3:$A$13</c:f>
              <c:strCache>
                <c:ptCount val="10"/>
                <c:pt idx="0">
                  <c:v>95</c:v>
                </c:pt>
                <c:pt idx="1">
                  <c:v>92</c:v>
                </c:pt>
                <c:pt idx="2">
                  <c:v>91</c:v>
                </c:pt>
                <c:pt idx="3">
                  <c:v>90</c:v>
                </c:pt>
                <c:pt idx="4">
                  <c:v>88</c:v>
                </c:pt>
                <c:pt idx="5">
                  <c:v>85.5104166666667</c:v>
                </c:pt>
                <c:pt idx="6">
                  <c:v>85</c:v>
                </c:pt>
                <c:pt idx="7">
                  <c:v>82</c:v>
                </c:pt>
                <c:pt idx="8">
                  <c:v>78</c:v>
                </c:pt>
                <c:pt idx="9">
                  <c:v>70</c:v>
                </c:pt>
              </c:strCache>
            </c:strRef>
          </c:cat>
          <c:val>
            <c:numRef>
              <c:f>'Attendance v Final Grade'!$B$3:$B$13</c:f>
              <c:numCache>
                <c:formatCode>General</c:formatCode>
                <c:ptCount val="10"/>
                <c:pt idx="0">
                  <c:v>78.578375400641022</c:v>
                </c:pt>
                <c:pt idx="1">
                  <c:v>80.002843137254899</c:v>
                </c:pt>
                <c:pt idx="2">
                  <c:v>80.148987268518525</c:v>
                </c:pt>
                <c:pt idx="3">
                  <c:v>81.25519812091504</c:v>
                </c:pt>
                <c:pt idx="4">
                  <c:v>78.034626831501825</c:v>
                </c:pt>
                <c:pt idx="5">
                  <c:v>82.027265624999998</c:v>
                </c:pt>
                <c:pt idx="6">
                  <c:v>80.500331959706969</c:v>
                </c:pt>
                <c:pt idx="7">
                  <c:v>80.866089527027029</c:v>
                </c:pt>
                <c:pt idx="8">
                  <c:v>80.169635903426808</c:v>
                </c:pt>
                <c:pt idx="9">
                  <c:v>79.608888239875384</c:v>
                </c:pt>
              </c:numCache>
            </c:numRef>
          </c:val>
          <c:smooth val="0"/>
          <c:extLst>
            <c:ext xmlns:c16="http://schemas.microsoft.com/office/drawing/2014/chart" uri="{C3380CC4-5D6E-409C-BE32-E72D297353CC}">
              <c16:uniqueId val="{00000000-6C5F-436C-997C-4D2D753DF9CB}"/>
            </c:ext>
          </c:extLst>
        </c:ser>
        <c:dLbls>
          <c:showLegendKey val="0"/>
          <c:showVal val="0"/>
          <c:showCatName val="0"/>
          <c:showSerName val="0"/>
          <c:showPercent val="0"/>
          <c:showBubbleSize val="0"/>
        </c:dLbls>
        <c:marker val="1"/>
        <c:smooth val="0"/>
        <c:axId val="1208064368"/>
        <c:axId val="1208069648"/>
      </c:lineChart>
      <c:catAx>
        <c:axId val="1208064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8069648"/>
        <c:crosses val="autoZero"/>
        <c:auto val="1"/>
        <c:lblAlgn val="ctr"/>
        <c:lblOffset val="100"/>
        <c:noMultiLvlLbl val="0"/>
      </c:catAx>
      <c:valAx>
        <c:axId val="12080696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806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2.jpeg"/><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11</xdr:col>
      <xdr:colOff>182880</xdr:colOff>
      <xdr:row>2</xdr:row>
      <xdr:rowOff>68580</xdr:rowOff>
    </xdr:from>
    <xdr:to>
      <xdr:col>17</xdr:col>
      <xdr:colOff>304800</xdr:colOff>
      <xdr:row>12</xdr:row>
      <xdr:rowOff>91440</xdr:rowOff>
    </xdr:to>
    <xdr:sp macro="" textlink="">
      <xdr:nvSpPr>
        <xdr:cNvPr id="4" name="TextBox 3">
          <a:extLst>
            <a:ext uri="{FF2B5EF4-FFF2-40B4-BE49-F238E27FC236}">
              <a16:creationId xmlns:a16="http://schemas.microsoft.com/office/drawing/2014/main" id="{A10ECB80-CE8B-A7B7-D7E9-98DC26701891}"/>
            </a:ext>
          </a:extLst>
        </xdr:cNvPr>
        <xdr:cNvSpPr txBox="1"/>
      </xdr:nvSpPr>
      <xdr:spPr>
        <a:xfrm>
          <a:off x="12237720" y="434340"/>
          <a:ext cx="3779520" cy="1851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i="0">
              <a:solidFill>
                <a:schemeClr val="dk1"/>
              </a:solidFill>
              <a:effectLst/>
              <a:latin typeface="+mn-lt"/>
              <a:ea typeface="+mn-ea"/>
              <a:cs typeface="+mn-cs"/>
            </a:rPr>
            <a:t>KPI</a:t>
          </a:r>
          <a:r>
            <a:rPr lang="en-IN" sz="1100" b="1" i="0" baseline="0">
              <a:solidFill>
                <a:schemeClr val="dk1"/>
              </a:solidFill>
              <a:effectLst/>
              <a:latin typeface="+mn-lt"/>
              <a:ea typeface="+mn-ea"/>
              <a:cs typeface="+mn-cs"/>
            </a:rPr>
            <a:t>                                                                                           </a:t>
          </a:r>
          <a:r>
            <a:rPr lang="en-IN" sz="1100" b="1" i="0">
              <a:solidFill>
                <a:schemeClr val="dk1"/>
              </a:solidFill>
              <a:effectLst/>
              <a:latin typeface="+mn-lt"/>
              <a:ea typeface="+mn-ea"/>
              <a:cs typeface="+mn-cs"/>
            </a:rPr>
            <a:t>Value </a:t>
          </a:r>
        </a:p>
        <a:p>
          <a:pPr marL="0" marR="0" lvl="0" indent="0" defTabSz="914400" eaLnBrk="1" fontAlgn="auto" latinLnBrk="0" hangingPunct="1">
            <a:lnSpc>
              <a:spcPct val="100000"/>
            </a:lnSpc>
            <a:spcBef>
              <a:spcPts val="0"/>
            </a:spcBef>
            <a:spcAft>
              <a:spcPts val="0"/>
            </a:spcAft>
            <a:buClrTx/>
            <a:buSzTx/>
            <a:buFontTx/>
            <a:buNone/>
            <a:tabLst/>
            <a:defRPr/>
          </a:pPr>
          <a:endParaRPr lang="en-IN"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1100" b="0" i="0">
              <a:solidFill>
                <a:schemeClr val="dk1"/>
              </a:solidFill>
              <a:effectLst/>
              <a:latin typeface="+mn-lt"/>
              <a:ea typeface="+mn-ea"/>
              <a:cs typeface="+mn-cs"/>
            </a:rPr>
            <a:t>Total number of students in the data.Card        1000</a:t>
          </a:r>
        </a:p>
        <a:p>
          <a:r>
            <a:rPr lang="en-IN" sz="1100" b="0" i="0">
              <a:solidFill>
                <a:schemeClr val="dk1"/>
              </a:solidFill>
              <a:effectLst/>
              <a:latin typeface="+mn-lt"/>
              <a:ea typeface="+mn-ea"/>
              <a:cs typeface="+mn-cs"/>
            </a:rPr>
            <a:t>Average Final Grade                                                      80.03</a:t>
          </a:r>
        </a:p>
        <a:p>
          <a:r>
            <a:rPr lang="en-IN" sz="1100" b="0" i="0">
              <a:solidFill>
                <a:schemeClr val="dk1"/>
              </a:solidFill>
              <a:effectLst/>
              <a:latin typeface="+mn-lt"/>
              <a:ea typeface="+mn-ea"/>
              <a:cs typeface="+mn-cs"/>
            </a:rPr>
            <a:t>Pass Rate (%)                                                                    100%</a:t>
          </a:r>
        </a:p>
        <a:p>
          <a:r>
            <a:rPr lang="en-IN" sz="1100" b="0" i="0">
              <a:solidFill>
                <a:schemeClr val="dk1"/>
              </a:solidFill>
              <a:effectLst/>
              <a:latin typeface="+mn-lt"/>
              <a:ea typeface="+mn-ea"/>
              <a:cs typeface="+mn-cs"/>
            </a:rPr>
            <a:t>Average Attendance Rate                                            85.51%</a:t>
          </a:r>
        </a:p>
        <a:p>
          <a:r>
            <a:rPr lang="en-IN" sz="1100" b="0" i="0">
              <a:solidFill>
                <a:schemeClr val="dk1"/>
              </a:solidFill>
              <a:effectLst/>
              <a:latin typeface="+mn-lt"/>
              <a:ea typeface="+mn-ea"/>
              <a:cs typeface="+mn-cs"/>
            </a:rPr>
            <a:t>Top Final Score                                                                 92</a:t>
          </a:r>
        </a:p>
        <a:p>
          <a:r>
            <a:rPr lang="en-IN" sz="1100" b="0" i="0">
              <a:solidFill>
                <a:schemeClr val="dk1"/>
              </a:solidFill>
              <a:effectLst/>
              <a:latin typeface="+mn-lt"/>
              <a:ea typeface="+mn-ea"/>
              <a:cs typeface="+mn-cs"/>
            </a:rPr>
            <a:t>Lowest Final Score                                                          62</a:t>
          </a:r>
        </a:p>
        <a:p>
          <a:r>
            <a:rPr lang="en-IN" sz="1100" b="0" i="0">
              <a:solidFill>
                <a:schemeClr val="dk1"/>
              </a:solidFill>
              <a:effectLst/>
              <a:latin typeface="+mn-lt"/>
              <a:ea typeface="+mn-ea"/>
              <a:cs typeface="+mn-cs"/>
            </a:rPr>
            <a:t>Online Classes (%)                                                         52%</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563880</xdr:colOff>
      <xdr:row>12</xdr:row>
      <xdr:rowOff>68580</xdr:rowOff>
    </xdr:from>
    <xdr:to>
      <xdr:col>6</xdr:col>
      <xdr:colOff>434340</xdr:colOff>
      <xdr:row>19</xdr:row>
      <xdr:rowOff>30480</xdr:rowOff>
    </xdr:to>
    <xdr:sp macro="" textlink="">
      <xdr:nvSpPr>
        <xdr:cNvPr id="3" name="TextBox 2">
          <a:extLst>
            <a:ext uri="{FF2B5EF4-FFF2-40B4-BE49-F238E27FC236}">
              <a16:creationId xmlns:a16="http://schemas.microsoft.com/office/drawing/2014/main" id="{7334769F-9C38-1B46-0FFA-48BAA63338E5}"/>
            </a:ext>
          </a:extLst>
        </xdr:cNvPr>
        <xdr:cNvSpPr txBox="1"/>
      </xdr:nvSpPr>
      <xdr:spPr>
        <a:xfrm>
          <a:off x="1417320" y="2263140"/>
          <a:ext cx="6012180" cy="1242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i="0">
              <a:solidFill>
                <a:schemeClr val="dk1"/>
              </a:solidFill>
              <a:effectLst/>
              <a:latin typeface="+mn-lt"/>
              <a:ea typeface="+mn-ea"/>
              <a:cs typeface="+mn-cs"/>
            </a:rPr>
            <a:t>KPI</a:t>
          </a:r>
          <a:r>
            <a:rPr lang="en-IN" sz="1100" b="1" i="0" baseline="0">
              <a:solidFill>
                <a:schemeClr val="dk1"/>
              </a:solidFill>
              <a:effectLst/>
              <a:latin typeface="+mn-lt"/>
              <a:ea typeface="+mn-ea"/>
              <a:cs typeface="+mn-cs"/>
            </a:rPr>
            <a:t>                                                                        </a:t>
          </a:r>
          <a:r>
            <a:rPr lang="en-IN" sz="1100" b="1" i="0">
              <a:solidFill>
                <a:schemeClr val="dk1"/>
              </a:solidFill>
              <a:effectLst/>
              <a:latin typeface="+mn-lt"/>
              <a:ea typeface="+mn-ea"/>
              <a:cs typeface="+mn-cs"/>
            </a:rPr>
            <a:t>Value                         Insight</a:t>
          </a:r>
          <a:endParaRPr lang="en-IN" sz="1100" b="0" i="0">
            <a:solidFill>
              <a:schemeClr val="dk1"/>
            </a:solidFill>
            <a:effectLst/>
            <a:latin typeface="+mn-lt"/>
            <a:ea typeface="+mn-ea"/>
            <a:cs typeface="+mn-cs"/>
          </a:endParaRP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 Good Students                                         61.0%                       61.0% of students have a “Good” remark .</a:t>
          </a:r>
        </a:p>
        <a:p>
          <a:r>
            <a:rPr lang="en-IN" sz="1100" b="0" i="0">
              <a:solidFill>
                <a:schemeClr val="dk1"/>
              </a:solidFill>
              <a:effectLst/>
              <a:latin typeface="+mn-lt"/>
              <a:ea typeface="+mn-ea"/>
              <a:cs typeface="+mn-cs"/>
            </a:rPr>
            <a:t>% Try Better (Poor) Students                  29.3%                       29.3% of students are in “Try Better”.</a:t>
          </a:r>
        </a:p>
        <a:p>
          <a:r>
            <a:rPr lang="en-IN" sz="1100" b="0" i="0">
              <a:solidFill>
                <a:schemeClr val="dk1"/>
              </a:solidFill>
              <a:effectLst/>
              <a:latin typeface="+mn-lt"/>
              <a:ea typeface="+mn-ea"/>
              <a:cs typeface="+mn-cs"/>
            </a:rPr>
            <a:t>% Excellent Students                               </a:t>
          </a:r>
          <a:r>
            <a:rPr lang="en-IN" sz="1100" b="0" i="0" baseline="0">
              <a:solidFill>
                <a:schemeClr val="dk1"/>
              </a:solidFill>
              <a:effectLst/>
              <a:latin typeface="+mn-lt"/>
              <a:ea typeface="+mn-ea"/>
              <a:cs typeface="+mn-cs"/>
            </a:rPr>
            <a:t>  </a:t>
          </a:r>
          <a:r>
            <a:rPr lang="en-IN" sz="1100" b="0" i="0">
              <a:solidFill>
                <a:schemeClr val="dk1"/>
              </a:solidFill>
              <a:effectLst/>
              <a:latin typeface="+mn-lt"/>
              <a:ea typeface="+mn-ea"/>
              <a:cs typeface="+mn-cs"/>
            </a:rPr>
            <a:t>9.7%                          9.7% of students earned “Excellent” remarks.</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106680</xdr:colOff>
      <xdr:row>3</xdr:row>
      <xdr:rowOff>152400</xdr:rowOff>
    </xdr:from>
    <xdr:to>
      <xdr:col>19</xdr:col>
      <xdr:colOff>213360</xdr:colOff>
      <xdr:row>10</xdr:row>
      <xdr:rowOff>167640</xdr:rowOff>
    </xdr:to>
    <xdr:sp macro="" textlink="">
      <xdr:nvSpPr>
        <xdr:cNvPr id="2" name="TextBox 1">
          <a:extLst>
            <a:ext uri="{FF2B5EF4-FFF2-40B4-BE49-F238E27FC236}">
              <a16:creationId xmlns:a16="http://schemas.microsoft.com/office/drawing/2014/main" id="{D465AAD5-2AEB-5E99-6542-23B8BD19128B}"/>
            </a:ext>
          </a:extLst>
        </xdr:cNvPr>
        <xdr:cNvSpPr txBox="1"/>
      </xdr:nvSpPr>
      <xdr:spPr>
        <a:xfrm>
          <a:off x="8092440" y="701040"/>
          <a:ext cx="6195060" cy="129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i="0">
              <a:solidFill>
                <a:schemeClr val="dk1"/>
              </a:solidFill>
              <a:effectLst/>
              <a:latin typeface="+mn-lt"/>
              <a:ea typeface="+mn-ea"/>
              <a:cs typeface="+mn-cs"/>
            </a:rPr>
            <a:t>KPI</a:t>
          </a:r>
          <a:r>
            <a:rPr lang="en-IN" sz="1100" b="1" i="0" baseline="0">
              <a:solidFill>
                <a:schemeClr val="dk1"/>
              </a:solidFill>
              <a:effectLst/>
              <a:latin typeface="+mn-lt"/>
              <a:ea typeface="+mn-ea"/>
              <a:cs typeface="+mn-cs"/>
            </a:rPr>
            <a:t>                                                     </a:t>
          </a:r>
          <a:r>
            <a:rPr lang="en-IN" sz="1100" b="1" i="0">
              <a:solidFill>
                <a:schemeClr val="dk1"/>
              </a:solidFill>
              <a:effectLst/>
              <a:latin typeface="+mn-lt"/>
              <a:ea typeface="+mn-ea"/>
              <a:cs typeface="+mn-cs"/>
            </a:rPr>
            <a:t>Value                          Insight</a:t>
          </a:r>
          <a:endParaRPr lang="en-IN" sz="1100" b="0" i="0">
            <a:solidFill>
              <a:schemeClr val="dk1"/>
            </a:solidFill>
            <a:effectLst/>
            <a:latin typeface="+mn-lt"/>
            <a:ea typeface="+mn-ea"/>
            <a:cs typeface="+mn-cs"/>
          </a:endParaRPr>
        </a:p>
        <a:p>
          <a:endParaRPr lang="en-IN" sz="1100"/>
        </a:p>
        <a:p>
          <a:r>
            <a:rPr lang="en-IN" sz="1100" b="0" i="0">
              <a:solidFill>
                <a:schemeClr val="dk1"/>
              </a:solidFill>
              <a:effectLst/>
              <a:latin typeface="+mn-lt"/>
              <a:ea typeface="+mn-ea"/>
              <a:cs typeface="+mn-cs"/>
            </a:rPr>
            <a:t>Avg Grade – Excellent </a:t>
          </a:r>
          <a:r>
            <a:rPr lang="en-IN" sz="1100" b="0" i="0" baseline="0">
              <a:solidFill>
                <a:schemeClr val="dk1"/>
              </a:solidFill>
              <a:effectLst/>
              <a:latin typeface="+mn-lt"/>
              <a:ea typeface="+mn-ea"/>
              <a:cs typeface="+mn-cs"/>
            </a:rPr>
            <a:t>             </a:t>
          </a:r>
          <a:r>
            <a:rPr lang="en-IN" sz="1100" b="0" i="0">
              <a:solidFill>
                <a:schemeClr val="dk1"/>
              </a:solidFill>
              <a:effectLst/>
              <a:latin typeface="+mn-lt"/>
              <a:ea typeface="+mn-ea"/>
              <a:cs typeface="+mn-cs"/>
            </a:rPr>
            <a:t>92.00                         Students with “Excellent” remarks scored highest (avg 92.0).</a:t>
          </a:r>
        </a:p>
        <a:p>
          <a:r>
            <a:rPr lang="en-IN" sz="1100" b="0" i="0">
              <a:solidFill>
                <a:schemeClr val="dk1"/>
              </a:solidFill>
              <a:effectLst/>
              <a:latin typeface="+mn-lt"/>
              <a:ea typeface="+mn-ea"/>
              <a:cs typeface="+mn-cs"/>
            </a:rPr>
            <a:t>Avg Grade – Good                      84.12                         “Good” students have a strong average (84.1).</a:t>
          </a:r>
        </a:p>
        <a:p>
          <a:r>
            <a:rPr lang="en-IN" sz="1100" b="0" i="0">
              <a:solidFill>
                <a:schemeClr val="dk1"/>
              </a:solidFill>
              <a:effectLst/>
              <a:latin typeface="+mn-lt"/>
              <a:ea typeface="+mn-ea"/>
              <a:cs typeface="+mn-cs"/>
            </a:rPr>
            <a:t>Avg Grade – Try Better             67.56                         “Try Better” group scored lowest on avg (~67.6).</a:t>
          </a: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426720</xdr:colOff>
      <xdr:row>0</xdr:row>
      <xdr:rowOff>106680</xdr:rowOff>
    </xdr:from>
    <xdr:to>
      <xdr:col>10</xdr:col>
      <xdr:colOff>723900</xdr:colOff>
      <xdr:row>12</xdr:row>
      <xdr:rowOff>137160</xdr:rowOff>
    </xdr:to>
    <xdr:graphicFrame macro="">
      <xdr:nvGraphicFramePr>
        <xdr:cNvPr id="4" name="Chart 3">
          <a:extLst>
            <a:ext uri="{FF2B5EF4-FFF2-40B4-BE49-F238E27FC236}">
              <a16:creationId xmlns:a16="http://schemas.microsoft.com/office/drawing/2014/main" id="{A703D505-9D76-61E1-A9D7-AC473C462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297180</xdr:colOff>
      <xdr:row>15</xdr:row>
      <xdr:rowOff>0</xdr:rowOff>
    </xdr:from>
    <xdr:to>
      <xdr:col>11</xdr:col>
      <xdr:colOff>182880</xdr:colOff>
      <xdr:row>21</xdr:row>
      <xdr:rowOff>38100</xdr:rowOff>
    </xdr:to>
    <xdr:sp macro="" textlink="">
      <xdr:nvSpPr>
        <xdr:cNvPr id="2" name="TextBox 1">
          <a:extLst>
            <a:ext uri="{FF2B5EF4-FFF2-40B4-BE49-F238E27FC236}">
              <a16:creationId xmlns:a16="http://schemas.microsoft.com/office/drawing/2014/main" id="{12EC5D54-A79A-4FE0-A472-02EA77466D94}"/>
            </a:ext>
          </a:extLst>
        </xdr:cNvPr>
        <xdr:cNvSpPr txBox="1"/>
      </xdr:nvSpPr>
      <xdr:spPr>
        <a:xfrm>
          <a:off x="3474720" y="2743200"/>
          <a:ext cx="6400800" cy="1135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i="0">
              <a:solidFill>
                <a:schemeClr val="dk1"/>
              </a:solidFill>
              <a:effectLst/>
              <a:latin typeface="+mn-lt"/>
              <a:ea typeface="+mn-ea"/>
              <a:cs typeface="+mn-cs"/>
            </a:rPr>
            <a:t>KPI</a:t>
          </a:r>
          <a:r>
            <a:rPr lang="en-IN" sz="1100" b="1" i="0" baseline="0">
              <a:solidFill>
                <a:schemeClr val="dk1"/>
              </a:solidFill>
              <a:effectLst/>
              <a:latin typeface="+mn-lt"/>
              <a:ea typeface="+mn-ea"/>
              <a:cs typeface="+mn-cs"/>
            </a:rPr>
            <a:t>                                                                     </a:t>
          </a:r>
          <a:r>
            <a:rPr lang="en-IN" sz="1100" b="1" i="0">
              <a:solidFill>
                <a:schemeClr val="dk1"/>
              </a:solidFill>
              <a:effectLst/>
              <a:latin typeface="+mn-lt"/>
              <a:ea typeface="+mn-ea"/>
              <a:cs typeface="+mn-cs"/>
            </a:rPr>
            <a:t>Value                              Insight</a:t>
          </a:r>
          <a:endParaRPr lang="en-IN" sz="1100" b="0" i="0">
            <a:solidFill>
              <a:schemeClr val="dk1"/>
            </a:solidFill>
            <a:effectLst/>
            <a:latin typeface="+mn-lt"/>
            <a:ea typeface="+mn-ea"/>
            <a:cs typeface="+mn-cs"/>
          </a:endParaRPr>
        </a:p>
        <a:p>
          <a:endParaRPr lang="en-IN" sz="1100"/>
        </a:p>
        <a:p>
          <a:r>
            <a:rPr lang="en-IN" sz="1100" b="0" i="0">
              <a:solidFill>
                <a:schemeClr val="dk1"/>
              </a:solidFill>
              <a:effectLst/>
              <a:latin typeface="+mn-lt"/>
              <a:ea typeface="+mn-ea"/>
              <a:cs typeface="+mn-cs"/>
            </a:rPr>
            <a:t>Avg Grade (Attendance ≥ 80%)          80.07                             Students with high attendance (≥80%) scored ~80.07 avg.</a:t>
          </a:r>
        </a:p>
        <a:p>
          <a:r>
            <a:rPr lang="en-IN" sz="1100" b="0" i="0">
              <a:solidFill>
                <a:schemeClr val="dk1"/>
              </a:solidFill>
              <a:effectLst/>
              <a:latin typeface="+mn-lt"/>
              <a:ea typeface="+mn-ea"/>
              <a:cs typeface="+mn-cs"/>
            </a:rPr>
            <a:t>Avg Grade (Attendance &lt; 80%)        </a:t>
          </a:r>
          <a:r>
            <a:rPr lang="en-IN" sz="1100" b="0" i="0" baseline="0">
              <a:solidFill>
                <a:schemeClr val="dk1"/>
              </a:solidFill>
              <a:effectLst/>
              <a:latin typeface="+mn-lt"/>
              <a:ea typeface="+mn-ea"/>
              <a:cs typeface="+mn-cs"/>
            </a:rPr>
            <a:t> </a:t>
          </a:r>
          <a:r>
            <a:rPr lang="en-IN" sz="1100" b="0" i="0">
              <a:solidFill>
                <a:schemeClr val="dk1"/>
              </a:solidFill>
              <a:effectLst/>
              <a:latin typeface="+mn-lt"/>
              <a:ea typeface="+mn-ea"/>
              <a:cs typeface="+mn-cs"/>
            </a:rPr>
            <a:t> 79.89                             Students with lower attendance (&lt;80%) scored ~79.89 avg.</a:t>
          </a:r>
        </a:p>
        <a:p>
          <a:r>
            <a:rPr lang="en-IN" sz="1100" b="0" i="0">
              <a:solidFill>
                <a:schemeClr val="dk1"/>
              </a:solidFill>
              <a:effectLst/>
              <a:latin typeface="+mn-lt"/>
              <a:ea typeface="+mn-ea"/>
              <a:cs typeface="+mn-cs"/>
            </a:rPr>
            <a:t>Attendance Impact (%)                          Null</a:t>
          </a:r>
          <a:r>
            <a:rPr lang="en-IN" sz="1100" b="0" i="0" baseline="0">
              <a:solidFill>
                <a:schemeClr val="dk1"/>
              </a:solidFill>
              <a:effectLst/>
              <a:latin typeface="+mn-lt"/>
              <a:ea typeface="+mn-ea"/>
              <a:cs typeface="+mn-cs"/>
            </a:rPr>
            <a:t>                                </a:t>
          </a:r>
          <a:r>
            <a:rPr lang="en-IN" sz="1100" b="0" i="0">
              <a:solidFill>
                <a:schemeClr val="dk1"/>
              </a:solidFill>
              <a:effectLst/>
              <a:latin typeface="+mn-lt"/>
              <a:ea typeface="+mn-ea"/>
              <a:cs typeface="+mn-cs"/>
            </a:rPr>
            <a:t>Virtually no grade difference .</a:t>
          </a:r>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6</xdr:row>
      <xdr:rowOff>30480</xdr:rowOff>
    </xdr:from>
    <xdr:to>
      <xdr:col>3</xdr:col>
      <xdr:colOff>487680</xdr:colOff>
      <xdr:row>18</xdr:row>
      <xdr:rowOff>22860</xdr:rowOff>
    </xdr:to>
    <xdr:graphicFrame macro="">
      <xdr:nvGraphicFramePr>
        <xdr:cNvPr id="2" name="Chart 1">
          <a:extLst>
            <a:ext uri="{FF2B5EF4-FFF2-40B4-BE49-F238E27FC236}">
              <a16:creationId xmlns:a16="http://schemas.microsoft.com/office/drawing/2014/main" id="{A461EA5D-D2DE-88C9-87B0-E9DFDD423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6</xdr:row>
      <xdr:rowOff>15240</xdr:rowOff>
    </xdr:from>
    <xdr:to>
      <xdr:col>12</xdr:col>
      <xdr:colOff>373380</xdr:colOff>
      <xdr:row>17</xdr:row>
      <xdr:rowOff>76200</xdr:rowOff>
    </xdr:to>
    <xdr:graphicFrame macro="">
      <xdr:nvGraphicFramePr>
        <xdr:cNvPr id="3" name="Chart 2">
          <a:extLst>
            <a:ext uri="{FF2B5EF4-FFF2-40B4-BE49-F238E27FC236}">
              <a16:creationId xmlns:a16="http://schemas.microsoft.com/office/drawing/2014/main" id="{3C11EFD4-ED86-1438-3E1C-4C592512E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18</xdr:row>
      <xdr:rowOff>121920</xdr:rowOff>
    </xdr:from>
    <xdr:to>
      <xdr:col>12</xdr:col>
      <xdr:colOff>190500</xdr:colOff>
      <xdr:row>25</xdr:row>
      <xdr:rowOff>160020</xdr:rowOff>
    </xdr:to>
    <xdr:sp macro="" textlink="">
      <xdr:nvSpPr>
        <xdr:cNvPr id="4" name="TextBox 3">
          <a:extLst>
            <a:ext uri="{FF2B5EF4-FFF2-40B4-BE49-F238E27FC236}">
              <a16:creationId xmlns:a16="http://schemas.microsoft.com/office/drawing/2014/main" id="{E25F8F8D-B9B9-C122-E7CC-6C7E99724320}"/>
            </a:ext>
          </a:extLst>
        </xdr:cNvPr>
        <xdr:cNvSpPr txBox="1"/>
      </xdr:nvSpPr>
      <xdr:spPr>
        <a:xfrm flipH="1">
          <a:off x="3649980" y="3413760"/>
          <a:ext cx="6461760" cy="1318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dk1"/>
              </a:solidFill>
              <a:effectLst/>
              <a:latin typeface="+mn-lt"/>
              <a:ea typeface="+mn-ea"/>
              <a:cs typeface="+mn-cs"/>
            </a:rPr>
            <a:t>KPI</a:t>
          </a:r>
          <a:r>
            <a:rPr lang="en-IN" sz="1100" b="1" i="0" baseline="0">
              <a:solidFill>
                <a:schemeClr val="dk1"/>
              </a:solidFill>
              <a:effectLst/>
              <a:latin typeface="+mn-lt"/>
              <a:ea typeface="+mn-ea"/>
              <a:cs typeface="+mn-cs"/>
            </a:rPr>
            <a:t>                                                             </a:t>
          </a:r>
          <a:r>
            <a:rPr lang="en-IN" sz="1100" b="1" i="0">
              <a:solidFill>
                <a:schemeClr val="dk1"/>
              </a:solidFill>
              <a:effectLst/>
              <a:latin typeface="+mn-lt"/>
              <a:ea typeface="+mn-ea"/>
              <a:cs typeface="+mn-cs"/>
            </a:rPr>
            <a:t>Value                </a:t>
          </a:r>
          <a:r>
            <a:rPr lang="en-IN" sz="1100" b="1" i="0" baseline="0">
              <a:solidFill>
                <a:schemeClr val="dk1"/>
              </a:solidFill>
              <a:effectLst/>
              <a:latin typeface="+mn-lt"/>
              <a:ea typeface="+mn-ea"/>
              <a:cs typeface="+mn-cs"/>
            </a:rPr>
            <a:t> </a:t>
          </a:r>
          <a:r>
            <a:rPr lang="en-IN" sz="1100" b="1" i="0">
              <a:solidFill>
                <a:schemeClr val="dk1"/>
              </a:solidFill>
              <a:effectLst/>
              <a:latin typeface="+mn-lt"/>
              <a:ea typeface="+mn-ea"/>
              <a:cs typeface="+mn-cs"/>
            </a:rPr>
            <a:t>   Insight</a:t>
          </a:r>
          <a:endParaRPr lang="en-IN" sz="1100" b="0" i="0">
            <a:solidFill>
              <a:schemeClr val="dk1"/>
            </a:solidFill>
            <a:effectLst/>
            <a:latin typeface="+mn-lt"/>
            <a:ea typeface="+mn-ea"/>
            <a:cs typeface="+mn-cs"/>
          </a:endParaRPr>
        </a:p>
        <a:p>
          <a:br>
            <a:rPr lang="en-IN"/>
          </a:br>
          <a:r>
            <a:rPr lang="en-IN" sz="1100" b="0" i="0">
              <a:solidFill>
                <a:schemeClr val="dk1"/>
              </a:solidFill>
              <a:effectLst/>
              <a:latin typeface="+mn-lt"/>
              <a:ea typeface="+mn-ea"/>
              <a:cs typeface="+mn-cs"/>
            </a:rPr>
            <a:t>Avg Grade – High Support              79.44                   High-support students avg ~79.44, slightly below others.</a:t>
          </a:r>
        </a:p>
        <a:p>
          <a:r>
            <a:rPr lang="en-IN" sz="1100" b="0" i="0">
              <a:solidFill>
                <a:schemeClr val="dk1"/>
              </a:solidFill>
              <a:effectLst/>
              <a:latin typeface="+mn-lt"/>
              <a:ea typeface="+mn-ea"/>
              <a:cs typeface="+mn-cs"/>
            </a:rPr>
            <a:t>Avg Grade – Medium Support       80.43                  Medium-support students avg highest (~80.43).</a:t>
          </a:r>
        </a:p>
        <a:p>
          <a:r>
            <a:rPr lang="en-IN" sz="1100" b="0" i="0">
              <a:solidFill>
                <a:schemeClr val="dk1"/>
              </a:solidFill>
              <a:effectLst/>
              <a:latin typeface="+mn-lt"/>
              <a:ea typeface="+mn-ea"/>
              <a:cs typeface="+mn-cs"/>
            </a:rPr>
            <a:t>Avg Grade – Low Support         </a:t>
          </a:r>
          <a:r>
            <a:rPr lang="en-IN" sz="1100" b="0" i="0" baseline="0">
              <a:solidFill>
                <a:schemeClr val="dk1"/>
              </a:solidFill>
              <a:effectLst/>
              <a:latin typeface="+mn-lt"/>
              <a:ea typeface="+mn-ea"/>
              <a:cs typeface="+mn-cs"/>
            </a:rPr>
            <a:t>  </a:t>
          </a:r>
          <a:r>
            <a:rPr lang="en-IN" sz="1100" b="0" i="0">
              <a:solidFill>
                <a:schemeClr val="dk1"/>
              </a:solidFill>
              <a:effectLst/>
              <a:latin typeface="+mn-lt"/>
              <a:ea typeface="+mn-ea"/>
              <a:cs typeface="+mn-cs"/>
            </a:rPr>
            <a:t>     80.31                  Low-support students avg ~80.31.</a:t>
          </a:r>
        </a:p>
        <a:p>
          <a:r>
            <a:rPr lang="en-IN" sz="1100" b="0" i="0">
              <a:solidFill>
                <a:schemeClr val="dk1"/>
              </a:solidFill>
              <a:effectLst/>
              <a:latin typeface="+mn-lt"/>
              <a:ea typeface="+mn-ea"/>
              <a:cs typeface="+mn-cs"/>
            </a:rPr>
            <a:t>Support Impact (%)                         +1.24%               Medium-support students score ~1.24% higher than high-support.</a:t>
          </a:r>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289560</xdr:colOff>
      <xdr:row>8</xdr:row>
      <xdr:rowOff>160020</xdr:rowOff>
    </xdr:from>
    <xdr:to>
      <xdr:col>5</xdr:col>
      <xdr:colOff>30480</xdr:colOff>
      <xdr:row>18</xdr:row>
      <xdr:rowOff>144780</xdr:rowOff>
    </xdr:to>
    <xdr:sp macro="" textlink="">
      <xdr:nvSpPr>
        <xdr:cNvPr id="2" name="TextBox 1">
          <a:extLst>
            <a:ext uri="{FF2B5EF4-FFF2-40B4-BE49-F238E27FC236}">
              <a16:creationId xmlns:a16="http://schemas.microsoft.com/office/drawing/2014/main" id="{B117F5A5-DC5E-86B1-1594-613E6A7A4A00}"/>
            </a:ext>
          </a:extLst>
        </xdr:cNvPr>
        <xdr:cNvSpPr txBox="1"/>
      </xdr:nvSpPr>
      <xdr:spPr>
        <a:xfrm>
          <a:off x="289560" y="1623060"/>
          <a:ext cx="4274820" cy="1813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dk1"/>
              </a:solidFill>
              <a:effectLst/>
              <a:latin typeface="+mn-lt"/>
              <a:ea typeface="+mn-ea"/>
              <a:cs typeface="+mn-cs"/>
            </a:rPr>
            <a:t>Insight</a:t>
          </a:r>
        </a:p>
        <a:p>
          <a:endParaRPr lang="en-IN" sz="1100" b="1" i="0">
            <a:solidFill>
              <a:schemeClr val="dk1"/>
            </a:solidFill>
            <a:effectLst/>
            <a:latin typeface="+mn-lt"/>
            <a:ea typeface="+mn-ea"/>
            <a:cs typeface="+mn-cs"/>
          </a:endParaRPr>
        </a:p>
        <a:p>
          <a:r>
            <a:rPr lang="en-IN" sz="1100" b="0" i="0">
              <a:solidFill>
                <a:schemeClr val="dk1"/>
              </a:solidFill>
              <a:effectLst/>
              <a:latin typeface="+mn-lt"/>
              <a:ea typeface="+mn-ea"/>
              <a:cs typeface="+mn-cs"/>
            </a:rPr>
            <a:t>1. 345 students (≈35.3%) have high parental support.</a:t>
          </a:r>
        </a:p>
        <a:p>
          <a:r>
            <a:rPr lang="en-IN" sz="1100" b="0" i="0">
              <a:solidFill>
                <a:schemeClr val="dk1"/>
              </a:solidFill>
              <a:effectLst/>
              <a:latin typeface="+mn-lt"/>
              <a:ea typeface="+mn-ea"/>
              <a:cs typeface="+mn-cs"/>
            </a:rPr>
            <a:t>2. 328 students (≈33.5%) have medium support.</a:t>
          </a:r>
        </a:p>
        <a:p>
          <a:r>
            <a:rPr lang="en-IN" sz="1100" b="0" i="0">
              <a:solidFill>
                <a:schemeClr val="dk1"/>
              </a:solidFill>
              <a:effectLst/>
              <a:latin typeface="+mn-lt"/>
              <a:ea typeface="+mn-ea"/>
              <a:cs typeface="+mn-cs"/>
            </a:rPr>
            <a:t>3.</a:t>
          </a:r>
          <a:r>
            <a:rPr lang="en-IN" sz="1100" b="0" i="0" baseline="0">
              <a:solidFill>
                <a:schemeClr val="dk1"/>
              </a:solidFill>
              <a:effectLst/>
              <a:latin typeface="+mn-lt"/>
              <a:ea typeface="+mn-ea"/>
              <a:cs typeface="+mn-cs"/>
            </a:rPr>
            <a:t> </a:t>
          </a:r>
          <a:r>
            <a:rPr lang="en-IN" sz="1100" b="0" i="0">
              <a:solidFill>
                <a:schemeClr val="dk1"/>
              </a:solidFill>
              <a:effectLst/>
              <a:latin typeface="+mn-lt"/>
              <a:ea typeface="+mn-ea"/>
              <a:cs typeface="+mn-cs"/>
            </a:rPr>
            <a:t>305 students (≈31.1%) have low support.</a:t>
          </a:r>
        </a:p>
        <a:p>
          <a:endParaRPr lang="en-IN" sz="1100" b="0" i="0">
            <a:solidFill>
              <a:schemeClr val="dk1"/>
            </a:solidFill>
            <a:effectLst/>
            <a:latin typeface="+mn-lt"/>
            <a:ea typeface="+mn-ea"/>
            <a:cs typeface="+mn-cs"/>
          </a:endParaRPr>
        </a:p>
        <a:p>
          <a:r>
            <a:rPr lang="en-IN" sz="1100" b="1" i="0">
              <a:solidFill>
                <a:schemeClr val="dk1"/>
              </a:solidFill>
              <a:effectLst/>
              <a:latin typeface="+mn-lt"/>
              <a:ea typeface="+mn-ea"/>
              <a:cs typeface="+mn-cs"/>
            </a:rPr>
            <a:t>High Support</a:t>
          </a:r>
          <a:r>
            <a:rPr lang="en-IN" sz="1100" b="0" i="0">
              <a:solidFill>
                <a:schemeClr val="dk1"/>
              </a:solidFill>
              <a:effectLst/>
              <a:latin typeface="+mn-lt"/>
              <a:ea typeface="+mn-ea"/>
              <a:cs typeface="+mn-cs"/>
            </a:rPr>
            <a:t> is the largest group (345 students, ~35.3%). (Grand total 978 students recorded.</a:t>
          </a:r>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15240</xdr:colOff>
      <xdr:row>0</xdr:row>
      <xdr:rowOff>0</xdr:rowOff>
    </xdr:from>
    <xdr:to>
      <xdr:col>17</xdr:col>
      <xdr:colOff>518160</xdr:colOff>
      <xdr:row>4</xdr:row>
      <xdr:rowOff>0</xdr:rowOff>
    </xdr:to>
    <xdr:sp macro="" textlink="">
      <xdr:nvSpPr>
        <xdr:cNvPr id="2" name="Rectangle 1">
          <a:extLst>
            <a:ext uri="{FF2B5EF4-FFF2-40B4-BE49-F238E27FC236}">
              <a16:creationId xmlns:a16="http://schemas.microsoft.com/office/drawing/2014/main" id="{492BF3A0-B458-1A2D-A255-269C683F26D5}"/>
            </a:ext>
          </a:extLst>
        </xdr:cNvPr>
        <xdr:cNvSpPr/>
      </xdr:nvSpPr>
      <xdr:spPr>
        <a:xfrm>
          <a:off x="1234440" y="0"/>
          <a:ext cx="9646920" cy="731520"/>
        </a:xfrm>
        <a:prstGeom prst="rect">
          <a:avLst/>
        </a:prstGeom>
        <a:ln/>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r>
            <a:rPr lang="en-IN" sz="2400">
              <a:solidFill>
                <a:schemeClr val="tx1"/>
              </a:solidFill>
              <a:latin typeface="Arial" panose="020B0604020202020204" pitchFamily="34" charset="0"/>
              <a:cs typeface="Arial" panose="020B0604020202020204" pitchFamily="34" charset="0"/>
            </a:rPr>
            <a:t>Student</a:t>
          </a:r>
          <a:r>
            <a:rPr lang="en-IN" sz="2400" baseline="0">
              <a:solidFill>
                <a:schemeClr val="tx1"/>
              </a:solidFill>
              <a:latin typeface="Arial" panose="020B0604020202020204" pitchFamily="34" charset="0"/>
              <a:cs typeface="Arial" panose="020B0604020202020204" pitchFamily="34" charset="0"/>
            </a:rPr>
            <a:t> Performance Dashboard</a:t>
          </a:r>
          <a:endParaRPr lang="en-IN" sz="2400">
            <a:solidFill>
              <a:schemeClr val="tx1"/>
            </a:solidFill>
            <a:latin typeface="Arial" panose="020B0604020202020204" pitchFamily="34" charset="0"/>
            <a:cs typeface="Arial" panose="020B0604020202020204" pitchFamily="34" charset="0"/>
          </a:endParaRPr>
        </a:p>
      </xdr:txBody>
    </xdr:sp>
    <xdr:clientData/>
  </xdr:twoCellAnchor>
  <xdr:twoCellAnchor>
    <xdr:from>
      <xdr:col>2</xdr:col>
      <xdr:colOff>7620</xdr:colOff>
      <xdr:row>7</xdr:row>
      <xdr:rowOff>106680</xdr:rowOff>
    </xdr:from>
    <xdr:to>
      <xdr:col>9</xdr:col>
      <xdr:colOff>327660</xdr:colOff>
      <xdr:row>17</xdr:row>
      <xdr:rowOff>144780</xdr:rowOff>
    </xdr:to>
    <xdr:graphicFrame macro="">
      <xdr:nvGraphicFramePr>
        <xdr:cNvPr id="3" name="Chart 1">
          <a:extLst>
            <a:ext uri="{FF2B5EF4-FFF2-40B4-BE49-F238E27FC236}">
              <a16:creationId xmlns:a16="http://schemas.microsoft.com/office/drawing/2014/main" id="{D430A8C2-8C5B-1F6E-3429-2644B46A4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312420</xdr:colOff>
      <xdr:row>7</xdr:row>
      <xdr:rowOff>99060</xdr:rowOff>
    </xdr:from>
    <xdr:to>
      <xdr:col>17</xdr:col>
      <xdr:colOff>556260</xdr:colOff>
      <xdr:row>17</xdr:row>
      <xdr:rowOff>106680</xdr:rowOff>
    </xdr:to>
    <xdr:graphicFrame macro="">
      <xdr:nvGraphicFramePr>
        <xdr:cNvPr id="5" name="Chart 5">
          <a:extLst>
            <a:ext uri="{FF2B5EF4-FFF2-40B4-BE49-F238E27FC236}">
              <a16:creationId xmlns:a16="http://schemas.microsoft.com/office/drawing/2014/main" id="{01202A96-EBD9-7871-083C-C8D8667E0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4</xdr:row>
      <xdr:rowOff>7620</xdr:rowOff>
    </xdr:from>
    <xdr:to>
      <xdr:col>9</xdr:col>
      <xdr:colOff>320040</xdr:colOff>
      <xdr:row>7</xdr:row>
      <xdr:rowOff>91440</xdr:rowOff>
    </xdr:to>
    <xdr:sp macro="" textlink="">
      <xdr:nvSpPr>
        <xdr:cNvPr id="7" name="Rectangle 6">
          <a:extLst>
            <a:ext uri="{FF2B5EF4-FFF2-40B4-BE49-F238E27FC236}">
              <a16:creationId xmlns:a16="http://schemas.microsoft.com/office/drawing/2014/main" id="{F37CC19E-D882-1CFC-BA9D-8FC274C09B63}"/>
            </a:ext>
          </a:extLst>
        </xdr:cNvPr>
        <xdr:cNvSpPr/>
      </xdr:nvSpPr>
      <xdr:spPr>
        <a:xfrm>
          <a:off x="1226820" y="739140"/>
          <a:ext cx="4579620" cy="63246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lvl="0" algn="ctr"/>
          <a:r>
            <a:rPr lang="en-IN" sz="1800">
              <a:solidFill>
                <a:schemeClr val="tx1"/>
              </a:solidFill>
              <a:latin typeface="Arial" panose="020B0604020202020204" pitchFamily="34" charset="0"/>
              <a:ea typeface="+mn-ea"/>
              <a:cs typeface="Arial" panose="020B0604020202020204" pitchFamily="34" charset="0"/>
            </a:rPr>
            <a:t>Count</a:t>
          </a:r>
          <a:r>
            <a:rPr lang="en-IN" sz="1800"/>
            <a:t> </a:t>
          </a:r>
          <a:r>
            <a:rPr lang="en-IN" sz="1800">
              <a:solidFill>
                <a:schemeClr val="tx1"/>
              </a:solidFill>
              <a:latin typeface="Arial" panose="020B0604020202020204" pitchFamily="34" charset="0"/>
              <a:ea typeface="+mn-ea"/>
              <a:cs typeface="Arial" panose="020B0604020202020204" pitchFamily="34" charset="0"/>
            </a:rPr>
            <a:t>of</a:t>
          </a:r>
          <a:r>
            <a:rPr lang="en-IN" sz="1800" baseline="0"/>
            <a:t> </a:t>
          </a:r>
          <a:r>
            <a:rPr lang="en-IN" sz="1800">
              <a:solidFill>
                <a:schemeClr val="tx1"/>
              </a:solidFill>
              <a:latin typeface="Arial" panose="020B0604020202020204" pitchFamily="34" charset="0"/>
              <a:ea typeface="+mn-ea"/>
              <a:cs typeface="Arial" panose="020B0604020202020204" pitchFamily="34" charset="0"/>
            </a:rPr>
            <a:t>Parental</a:t>
          </a:r>
          <a:r>
            <a:rPr lang="en-IN" sz="1800" baseline="0"/>
            <a:t> </a:t>
          </a:r>
          <a:r>
            <a:rPr lang="en-IN" sz="1800">
              <a:solidFill>
                <a:schemeClr val="tx1"/>
              </a:solidFill>
              <a:latin typeface="Arial" panose="020B0604020202020204" pitchFamily="34" charset="0"/>
              <a:ea typeface="+mn-ea"/>
              <a:cs typeface="Arial" panose="020B0604020202020204" pitchFamily="34" charset="0"/>
            </a:rPr>
            <a:t>Support</a:t>
          </a:r>
        </a:p>
      </xdr:txBody>
    </xdr:sp>
    <xdr:clientData/>
  </xdr:twoCellAnchor>
  <xdr:twoCellAnchor>
    <xdr:from>
      <xdr:col>10</xdr:col>
      <xdr:colOff>289560</xdr:colOff>
      <xdr:row>4</xdr:row>
      <xdr:rowOff>7620</xdr:rowOff>
    </xdr:from>
    <xdr:to>
      <xdr:col>17</xdr:col>
      <xdr:colOff>518160</xdr:colOff>
      <xdr:row>7</xdr:row>
      <xdr:rowOff>91440</xdr:rowOff>
    </xdr:to>
    <xdr:sp macro="" textlink="">
      <xdr:nvSpPr>
        <xdr:cNvPr id="8" name="Rectangle 7">
          <a:extLst>
            <a:ext uri="{FF2B5EF4-FFF2-40B4-BE49-F238E27FC236}">
              <a16:creationId xmlns:a16="http://schemas.microsoft.com/office/drawing/2014/main" id="{492C930F-EFC0-05C4-2BCA-D40CD72FC45E}"/>
            </a:ext>
          </a:extLst>
        </xdr:cNvPr>
        <xdr:cNvSpPr/>
      </xdr:nvSpPr>
      <xdr:spPr>
        <a:xfrm>
          <a:off x="6385560" y="739140"/>
          <a:ext cx="4495800" cy="63246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800">
              <a:solidFill>
                <a:schemeClr val="tx1"/>
              </a:solidFill>
              <a:latin typeface="Arial" panose="020B0604020202020204" pitchFamily="34" charset="0"/>
              <a:ea typeface="+mn-ea"/>
              <a:cs typeface="Arial" panose="020B0604020202020204" pitchFamily="34" charset="0"/>
            </a:rPr>
            <a:t>Online</a:t>
          </a:r>
          <a:r>
            <a:rPr lang="en-IN"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r>
            <a:rPr lang="en-IN" sz="1800">
              <a:solidFill>
                <a:schemeClr val="tx1"/>
              </a:solidFill>
              <a:latin typeface="Arial" panose="020B0604020202020204" pitchFamily="34" charset="0"/>
              <a:ea typeface="+mn-ea"/>
              <a:cs typeface="Arial" panose="020B0604020202020204" pitchFamily="34" charset="0"/>
            </a:rPr>
            <a:t>Class</a:t>
          </a:r>
          <a:r>
            <a:rPr lang="en-IN"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r>
            <a:rPr lang="en-IN" sz="1800">
              <a:solidFill>
                <a:schemeClr val="tx1"/>
              </a:solidFill>
              <a:latin typeface="Arial" panose="020B0604020202020204" pitchFamily="34" charset="0"/>
              <a:ea typeface="+mn-ea"/>
              <a:cs typeface="Arial" panose="020B0604020202020204" pitchFamily="34" charset="0"/>
            </a:rPr>
            <a:t>Taken</a:t>
          </a:r>
          <a:r>
            <a:rPr lang="en-IN" sz="1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r>
            <a:rPr lang="en-IN" sz="18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r>
            <a:rPr lang="en-IN" sz="1800">
              <a:solidFill>
                <a:schemeClr val="tx1"/>
              </a:solidFill>
              <a:latin typeface="Arial" panose="020B0604020202020204" pitchFamily="34" charset="0"/>
              <a:ea typeface="+mn-ea"/>
              <a:cs typeface="Arial" panose="020B0604020202020204" pitchFamily="34" charset="0"/>
            </a:rPr>
            <a:t>v</a:t>
          </a:r>
          <a:r>
            <a:rPr lang="en-IN" sz="18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r>
            <a:rPr lang="en-IN" sz="1800">
              <a:solidFill>
                <a:schemeClr val="tx1"/>
              </a:solidFill>
              <a:latin typeface="Arial" panose="020B0604020202020204" pitchFamily="34" charset="0"/>
              <a:ea typeface="+mn-ea"/>
              <a:cs typeface="Arial" panose="020B0604020202020204" pitchFamily="34" charset="0"/>
            </a:rPr>
            <a:t>Final</a:t>
          </a:r>
          <a:r>
            <a:rPr lang="en-IN" sz="18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r>
            <a:rPr lang="en-IN" sz="1800">
              <a:solidFill>
                <a:schemeClr val="tx1"/>
              </a:solidFill>
              <a:latin typeface="Arial" panose="020B0604020202020204" pitchFamily="34" charset="0"/>
              <a:ea typeface="+mn-ea"/>
              <a:cs typeface="Arial" panose="020B0604020202020204" pitchFamily="34" charset="0"/>
            </a:rPr>
            <a:t>Grade</a:t>
          </a:r>
        </a:p>
      </xdr:txBody>
    </xdr:sp>
    <xdr:clientData/>
  </xdr:twoCellAnchor>
  <xdr:twoCellAnchor>
    <xdr:from>
      <xdr:col>2</xdr:col>
      <xdr:colOff>7620</xdr:colOff>
      <xdr:row>21</xdr:row>
      <xdr:rowOff>137160</xdr:rowOff>
    </xdr:from>
    <xdr:to>
      <xdr:col>9</xdr:col>
      <xdr:colOff>312420</xdr:colOff>
      <xdr:row>36</xdr:row>
      <xdr:rowOff>114300</xdr:rowOff>
    </xdr:to>
    <xdr:graphicFrame macro="">
      <xdr:nvGraphicFramePr>
        <xdr:cNvPr id="9" name="Chart 6">
          <a:extLst>
            <a:ext uri="{FF2B5EF4-FFF2-40B4-BE49-F238E27FC236}">
              <a16:creationId xmlns:a16="http://schemas.microsoft.com/office/drawing/2014/main" id="{1A8D5590-EE4A-F7D3-97AB-E2FDE94A6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22860</xdr:colOff>
      <xdr:row>18</xdr:row>
      <xdr:rowOff>144780</xdr:rowOff>
    </xdr:from>
    <xdr:to>
      <xdr:col>9</xdr:col>
      <xdr:colOff>358140</xdr:colOff>
      <xdr:row>21</xdr:row>
      <xdr:rowOff>160020</xdr:rowOff>
    </xdr:to>
    <xdr:sp macro="" textlink="">
      <xdr:nvSpPr>
        <xdr:cNvPr id="10" name="Rectangle 9">
          <a:extLst>
            <a:ext uri="{FF2B5EF4-FFF2-40B4-BE49-F238E27FC236}">
              <a16:creationId xmlns:a16="http://schemas.microsoft.com/office/drawing/2014/main" id="{E1125DE1-E1F6-D73F-50E0-1424C8B323E7}"/>
            </a:ext>
          </a:extLst>
        </xdr:cNvPr>
        <xdr:cNvSpPr/>
      </xdr:nvSpPr>
      <xdr:spPr>
        <a:xfrm>
          <a:off x="1242060" y="3436620"/>
          <a:ext cx="4602480" cy="56388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lvl="0" indent="0" algn="ctr"/>
          <a:r>
            <a:rPr lang="en-IN" sz="1800">
              <a:solidFill>
                <a:schemeClr val="tx1"/>
              </a:solidFill>
              <a:latin typeface="Arial" panose="020B0604020202020204" pitchFamily="34" charset="0"/>
              <a:ea typeface="+mn-ea"/>
              <a:cs typeface="Arial" panose="020B0604020202020204" pitchFamily="34" charset="0"/>
            </a:rPr>
            <a:t>Parental Support V Avg. Final Grade</a:t>
          </a:r>
        </a:p>
      </xdr:txBody>
    </xdr:sp>
    <xdr:clientData/>
  </xdr:twoCellAnchor>
  <xdr:twoCellAnchor>
    <xdr:from>
      <xdr:col>10</xdr:col>
      <xdr:colOff>281940</xdr:colOff>
      <xdr:row>21</xdr:row>
      <xdr:rowOff>144780</xdr:rowOff>
    </xdr:from>
    <xdr:to>
      <xdr:col>17</xdr:col>
      <xdr:colOff>525780</xdr:colOff>
      <xdr:row>36</xdr:row>
      <xdr:rowOff>121920</xdr:rowOff>
    </xdr:to>
    <xdr:graphicFrame macro="">
      <xdr:nvGraphicFramePr>
        <xdr:cNvPr id="11" name="Chart 4">
          <a:extLst>
            <a:ext uri="{FF2B5EF4-FFF2-40B4-BE49-F238E27FC236}">
              <a16:creationId xmlns:a16="http://schemas.microsoft.com/office/drawing/2014/main" id="{AECEF0E3-C0FF-C982-7917-07074885F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281940</xdr:colOff>
      <xdr:row>18</xdr:row>
      <xdr:rowOff>144780</xdr:rowOff>
    </xdr:from>
    <xdr:to>
      <xdr:col>17</xdr:col>
      <xdr:colOff>518160</xdr:colOff>
      <xdr:row>21</xdr:row>
      <xdr:rowOff>137160</xdr:rowOff>
    </xdr:to>
    <xdr:sp macro="" textlink="">
      <xdr:nvSpPr>
        <xdr:cNvPr id="12" name="Rectangle 11">
          <a:extLst>
            <a:ext uri="{FF2B5EF4-FFF2-40B4-BE49-F238E27FC236}">
              <a16:creationId xmlns:a16="http://schemas.microsoft.com/office/drawing/2014/main" id="{01820759-2E0A-CAB8-E148-99ECAA1B8A99}"/>
            </a:ext>
          </a:extLst>
        </xdr:cNvPr>
        <xdr:cNvSpPr/>
      </xdr:nvSpPr>
      <xdr:spPr>
        <a:xfrm>
          <a:off x="6377940" y="3436620"/>
          <a:ext cx="4503420" cy="54102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800">
              <a:solidFill>
                <a:schemeClr val="tx1"/>
              </a:solidFill>
              <a:latin typeface="Arial" panose="020B0604020202020204" pitchFamily="34" charset="0"/>
              <a:ea typeface="+mn-ea"/>
              <a:cs typeface="Arial" panose="020B0604020202020204" pitchFamily="34" charset="0"/>
            </a:rPr>
            <a:t>Attendance Rate V Final Grade</a:t>
          </a:r>
        </a:p>
      </xdr:txBody>
    </xdr:sp>
    <xdr:clientData/>
  </xdr:twoCellAnchor>
  <xdr:twoCellAnchor>
    <xdr:from>
      <xdr:col>2</xdr:col>
      <xdr:colOff>7620</xdr:colOff>
      <xdr:row>17</xdr:row>
      <xdr:rowOff>106680</xdr:rowOff>
    </xdr:from>
    <xdr:to>
      <xdr:col>17</xdr:col>
      <xdr:colOff>510540</xdr:colOff>
      <xdr:row>18</xdr:row>
      <xdr:rowOff>152400</xdr:rowOff>
    </xdr:to>
    <xdr:sp macro="" textlink="">
      <xdr:nvSpPr>
        <xdr:cNvPr id="13" name="Rectangle 12">
          <a:extLst>
            <a:ext uri="{FF2B5EF4-FFF2-40B4-BE49-F238E27FC236}">
              <a16:creationId xmlns:a16="http://schemas.microsoft.com/office/drawing/2014/main" id="{12BB3A87-4634-50CA-B2FF-1FC07246B9DF}"/>
            </a:ext>
          </a:extLst>
        </xdr:cNvPr>
        <xdr:cNvSpPr/>
      </xdr:nvSpPr>
      <xdr:spPr>
        <a:xfrm>
          <a:off x="1226820" y="3215640"/>
          <a:ext cx="9646920" cy="2286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342900</xdr:colOff>
      <xdr:row>3</xdr:row>
      <xdr:rowOff>175260</xdr:rowOff>
    </xdr:from>
    <xdr:to>
      <xdr:col>10</xdr:col>
      <xdr:colOff>297180</xdr:colOff>
      <xdr:row>36</xdr:row>
      <xdr:rowOff>114300</xdr:rowOff>
    </xdr:to>
    <xdr:sp macro="" textlink="">
      <xdr:nvSpPr>
        <xdr:cNvPr id="14" name="Rectangle 13">
          <a:extLst>
            <a:ext uri="{FF2B5EF4-FFF2-40B4-BE49-F238E27FC236}">
              <a16:creationId xmlns:a16="http://schemas.microsoft.com/office/drawing/2014/main" id="{BD5633D7-BA13-0EF8-D9DF-CC4DB5DDA65D}"/>
            </a:ext>
          </a:extLst>
        </xdr:cNvPr>
        <xdr:cNvSpPr/>
      </xdr:nvSpPr>
      <xdr:spPr>
        <a:xfrm>
          <a:off x="5829300" y="723900"/>
          <a:ext cx="563880" cy="5974080"/>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3</xdr:row>
      <xdr:rowOff>167641</xdr:rowOff>
    </xdr:from>
    <xdr:to>
      <xdr:col>2</xdr:col>
      <xdr:colOff>0</xdr:colOff>
      <xdr:row>12</xdr:row>
      <xdr:rowOff>83820</xdr:rowOff>
    </xdr:to>
    <mc:AlternateContent xmlns:mc="http://schemas.openxmlformats.org/markup-compatibility/2006" xmlns:a14="http://schemas.microsoft.com/office/drawing/2010/main">
      <mc:Choice Requires="a14">
        <xdr:graphicFrame macro="">
          <xdr:nvGraphicFramePr>
            <xdr:cNvPr id="15" name="ParentalSupport">
              <a:extLst>
                <a:ext uri="{FF2B5EF4-FFF2-40B4-BE49-F238E27FC236}">
                  <a16:creationId xmlns:a16="http://schemas.microsoft.com/office/drawing/2014/main" id="{6FA2901A-25BA-36F4-D09F-63F605791D5F}"/>
                </a:ext>
              </a:extLst>
            </xdr:cNvPr>
            <xdr:cNvGraphicFramePr/>
          </xdr:nvGraphicFramePr>
          <xdr:xfrm>
            <a:off x="0" y="0"/>
            <a:ext cx="0" cy="0"/>
          </xdr:xfrm>
          <a:graphic>
            <a:graphicData uri="http://schemas.microsoft.com/office/drawing/2010/slicer">
              <sle:slicer xmlns:sle="http://schemas.microsoft.com/office/drawing/2010/slicer" name="ParentalSupport"/>
            </a:graphicData>
          </a:graphic>
        </xdr:graphicFrame>
      </mc:Choice>
      <mc:Fallback xmlns="">
        <xdr:sp macro="" textlink="">
          <xdr:nvSpPr>
            <xdr:cNvPr id="0" name=""/>
            <xdr:cNvSpPr>
              <a:spLocks noTextEdit="1"/>
            </xdr:cNvSpPr>
          </xdr:nvSpPr>
          <xdr:spPr>
            <a:xfrm>
              <a:off x="0" y="716281"/>
              <a:ext cx="1219200" cy="1562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19</xdr:row>
      <xdr:rowOff>7620</xdr:rowOff>
    </xdr:from>
    <xdr:to>
      <xdr:col>2</xdr:col>
      <xdr:colOff>7620</xdr:colOff>
      <xdr:row>26</xdr:row>
      <xdr:rowOff>7620</xdr:rowOff>
    </xdr:to>
    <mc:AlternateContent xmlns:mc="http://schemas.openxmlformats.org/markup-compatibility/2006" xmlns:a14="http://schemas.microsoft.com/office/drawing/2010/main">
      <mc:Choice Requires="a14">
        <xdr:graphicFrame macro="">
          <xdr:nvGraphicFramePr>
            <xdr:cNvPr id="19" name="ParentalSupport 1">
              <a:extLst>
                <a:ext uri="{FF2B5EF4-FFF2-40B4-BE49-F238E27FC236}">
                  <a16:creationId xmlns:a16="http://schemas.microsoft.com/office/drawing/2014/main" id="{8804F7B4-5A4B-A40D-7DF0-66B3A912D4FE}"/>
                </a:ext>
              </a:extLst>
            </xdr:cNvPr>
            <xdr:cNvGraphicFramePr/>
          </xdr:nvGraphicFramePr>
          <xdr:xfrm>
            <a:off x="0" y="0"/>
            <a:ext cx="0" cy="0"/>
          </xdr:xfrm>
          <a:graphic>
            <a:graphicData uri="http://schemas.microsoft.com/office/drawing/2010/slicer">
              <sle:slicer xmlns:sle="http://schemas.microsoft.com/office/drawing/2010/slicer" name="ParentalSupport 1"/>
            </a:graphicData>
          </a:graphic>
        </xdr:graphicFrame>
      </mc:Choice>
      <mc:Fallback xmlns="">
        <xdr:sp macro="" textlink="">
          <xdr:nvSpPr>
            <xdr:cNvPr id="0" name=""/>
            <xdr:cNvSpPr>
              <a:spLocks noTextEdit="1"/>
            </xdr:cNvSpPr>
          </xdr:nvSpPr>
          <xdr:spPr>
            <a:xfrm>
              <a:off x="15240" y="3482340"/>
              <a:ext cx="121158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12</xdr:row>
      <xdr:rowOff>167641</xdr:rowOff>
    </xdr:from>
    <xdr:to>
      <xdr:col>2</xdr:col>
      <xdr:colOff>0</xdr:colOff>
      <xdr:row>18</xdr:row>
      <xdr:rowOff>7620</xdr:rowOff>
    </xdr:to>
    <mc:AlternateContent xmlns:mc="http://schemas.openxmlformats.org/markup-compatibility/2006" xmlns:a14="http://schemas.microsoft.com/office/drawing/2010/main">
      <mc:Choice Requires="a14">
        <xdr:graphicFrame macro="">
          <xdr:nvGraphicFramePr>
            <xdr:cNvPr id="20" name="Online Classes Taken">
              <a:extLst>
                <a:ext uri="{FF2B5EF4-FFF2-40B4-BE49-F238E27FC236}">
                  <a16:creationId xmlns:a16="http://schemas.microsoft.com/office/drawing/2014/main" id="{AB579351-43A6-B0A2-49D1-9349C72F9550}"/>
                </a:ext>
              </a:extLst>
            </xdr:cNvPr>
            <xdr:cNvGraphicFramePr/>
          </xdr:nvGraphicFramePr>
          <xdr:xfrm>
            <a:off x="0" y="0"/>
            <a:ext cx="0" cy="0"/>
          </xdr:xfrm>
          <a:graphic>
            <a:graphicData uri="http://schemas.microsoft.com/office/drawing/2010/slicer">
              <sle:slicer xmlns:sle="http://schemas.microsoft.com/office/drawing/2010/slicer" name="Online Classes Taken"/>
            </a:graphicData>
          </a:graphic>
        </xdr:graphicFrame>
      </mc:Choice>
      <mc:Fallback xmlns="">
        <xdr:sp macro="" textlink="">
          <xdr:nvSpPr>
            <xdr:cNvPr id="0" name=""/>
            <xdr:cNvSpPr>
              <a:spLocks noTextEdit="1"/>
            </xdr:cNvSpPr>
          </xdr:nvSpPr>
          <xdr:spPr>
            <a:xfrm>
              <a:off x="15240" y="2362201"/>
              <a:ext cx="1203960" cy="937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26</xdr:row>
      <xdr:rowOff>144781</xdr:rowOff>
    </xdr:from>
    <xdr:to>
      <xdr:col>2</xdr:col>
      <xdr:colOff>15240</xdr:colOff>
      <xdr:row>36</xdr:row>
      <xdr:rowOff>152400</xdr:rowOff>
    </xdr:to>
    <mc:AlternateContent xmlns:mc="http://schemas.openxmlformats.org/markup-compatibility/2006" xmlns:a14="http://schemas.microsoft.com/office/drawing/2010/main">
      <mc:Choice Requires="a14">
        <xdr:graphicFrame macro="">
          <xdr:nvGraphicFramePr>
            <xdr:cNvPr id="21" name="AttendanceRate">
              <a:extLst>
                <a:ext uri="{FF2B5EF4-FFF2-40B4-BE49-F238E27FC236}">
                  <a16:creationId xmlns:a16="http://schemas.microsoft.com/office/drawing/2014/main" id="{71F09D09-F020-8372-E224-76B893999955}"/>
                </a:ext>
              </a:extLst>
            </xdr:cNvPr>
            <xdr:cNvGraphicFramePr/>
          </xdr:nvGraphicFramePr>
          <xdr:xfrm>
            <a:off x="0" y="0"/>
            <a:ext cx="0" cy="0"/>
          </xdr:xfrm>
          <a:graphic>
            <a:graphicData uri="http://schemas.microsoft.com/office/drawing/2010/slicer">
              <sle:slicer xmlns:sle="http://schemas.microsoft.com/office/drawing/2010/slicer" name="AttendanceRate"/>
            </a:graphicData>
          </a:graphic>
        </xdr:graphicFrame>
      </mc:Choice>
      <mc:Fallback xmlns="">
        <xdr:sp macro="" textlink="">
          <xdr:nvSpPr>
            <xdr:cNvPr id="0" name=""/>
            <xdr:cNvSpPr>
              <a:spLocks noTextEdit="1"/>
            </xdr:cNvSpPr>
          </xdr:nvSpPr>
          <xdr:spPr>
            <a:xfrm>
              <a:off x="15240" y="4899661"/>
              <a:ext cx="1219200" cy="1836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2</xdr:col>
      <xdr:colOff>0</xdr:colOff>
      <xdr:row>4</xdr:row>
      <xdr:rowOff>7620</xdr:rowOff>
    </xdr:to>
    <xdr:pic>
      <xdr:nvPicPr>
        <xdr:cNvPr id="25" name="Picture 24">
          <a:extLst>
            <a:ext uri="{FF2B5EF4-FFF2-40B4-BE49-F238E27FC236}">
              <a16:creationId xmlns:a16="http://schemas.microsoft.com/office/drawing/2014/main" id="{5B887370-CF9B-3683-3D2C-7310ABEB255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1219200" cy="7391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RAJ" refreshedDate="46076.9919212963" createdVersion="8" refreshedVersion="8" minRefreshableVersion="3" recordCount="1000" xr:uid="{ED601278-65A0-44E1-BB34-2BB878B1C6A5}">
  <cacheSource type="worksheet">
    <worksheetSource ref="A1:J1001" sheet="student_performance_updated_100"/>
  </cacheSource>
  <cacheFields count="12">
    <cacheField name="StudentID" numFmtId="0">
      <sharedItems containsSemiMixedTypes="0" containsString="0" containsNumber="1" containsInteger="1" minValue="1" maxValue="1000"/>
    </cacheField>
    <cacheField name="Name" numFmtId="0">
      <sharedItems containsBlank="1"/>
    </cacheField>
    <cacheField name="Gender" numFmtId="0">
      <sharedItems/>
    </cacheField>
    <cacheField name="AttendanceRate" numFmtId="0">
      <sharedItems containsSemiMixedTypes="0" containsString="0" containsNumber="1" minValue="70" maxValue="95"/>
    </cacheField>
    <cacheField name="StudyHoursPerWeek" numFmtId="0">
      <sharedItems containsSemiMixedTypes="0" containsString="0" containsNumber="1" minValue="8" maxValue="30"/>
    </cacheField>
    <cacheField name="PreviousGrade" numFmtId="0">
      <sharedItems containsSemiMixedTypes="0" containsString="0" containsNumber="1" minValue="60" maxValue="90"/>
    </cacheField>
    <cacheField name="ExtracurricularActivities" numFmtId="0">
      <sharedItems containsSemiMixedTypes="0" containsString="0" containsNumber="1" containsInteger="1" minValue="0" maxValue="3"/>
    </cacheField>
    <cacheField name="ParentalSupport" numFmtId="0">
      <sharedItems containsBlank="1" count="4">
        <s v="High"/>
        <s v="Medium"/>
        <s v="Low"/>
        <m/>
      </sharedItems>
    </cacheField>
    <cacheField name="FinalGrade" numFmtId="0">
      <sharedItems containsString="0" containsBlank="1" containsNumber="1" containsInteger="1" minValue="62" maxValue="92"/>
    </cacheField>
    <cacheField name="Study Hours" numFmtId="0">
      <sharedItems containsString="0" containsBlank="1" containsNumber="1" minValue="-5" maxValue="5"/>
    </cacheField>
    <cacheField name="Attendance (%)" numFmtId="0">
      <sharedItems containsString="0" containsBlank="1" containsNumber="1" containsInteger="1" minValue="50" maxValue="200"/>
    </cacheField>
    <cacheField name="Online Classes Taken" numFmtId="0">
      <sharedItems containsBlank="1" count="3">
        <b v="0"/>
        <b v="1"/>
        <m/>
      </sharedItems>
    </cacheField>
  </cacheFields>
  <extLst>
    <ext xmlns:x14="http://schemas.microsoft.com/office/spreadsheetml/2009/9/main" uri="{725AE2AE-9491-48be-B2B4-4EB974FC3084}">
      <x14:pivotCacheDefinition pivotCacheId="6305083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RAJ" refreshedDate="46085.751301041666" createdVersion="8" refreshedVersion="8" minRefreshableVersion="3" recordCount="1000" xr:uid="{7A9ECF38-2768-4BE2-A523-72FCD93D4FB6}">
  <cacheSource type="worksheet">
    <worksheetSource name="REMARKS"/>
  </cacheSource>
  <cacheFields count="8">
    <cacheField name="Final Marks" numFmtId="0">
      <sharedItems containsSemiMixedTypes="0" containsString="0" containsNumber="1" minValue="62" maxValue="92"/>
    </cacheField>
    <cacheField name="Grade " numFmtId="0">
      <sharedItems/>
    </cacheField>
    <cacheField name="Previous Marks" numFmtId="0">
      <sharedItems containsSemiMixedTypes="0" containsString="0" containsNumber="1" minValue="60" maxValue="90" count="11">
        <n v="78"/>
        <n v="85"/>
        <n v="65"/>
        <n v="90"/>
        <n v="82"/>
        <n v="88"/>
        <n v="60"/>
        <n v="77"/>
        <n v="70"/>
        <n v="86"/>
        <n v="77.598759048603924"/>
      </sharedItems>
    </cacheField>
    <cacheField name="Grade" numFmtId="0">
      <sharedItems/>
    </cacheField>
    <cacheField name="Attendance Rate" numFmtId="0">
      <sharedItems containsSemiMixedTypes="0" containsString="0" containsNumber="1" minValue="70" maxValue="95"/>
    </cacheField>
    <cacheField name="Remark" numFmtId="0">
      <sharedItems count="3">
        <s v=" Good"/>
        <s v="Try Better"/>
        <s v="Excellent"/>
      </sharedItems>
    </cacheField>
    <cacheField name="Previous Remark" numFmtId="0">
      <sharedItems count="3">
        <s v="Good"/>
        <s v="Try Better"/>
        <s v="Poor Performance"/>
      </sharedItems>
    </cacheField>
    <cacheField name="Gender" numFmtId="0">
      <sharedItems count="3">
        <s v="Male"/>
        <s v="Female"/>
        <s v="Unknown"/>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RAJ" refreshedDate="46085.75520266204" createdVersion="8" refreshedVersion="8" minRefreshableVersion="3" recordCount="1000" xr:uid="{6A9E7FB2-4AC7-430C-B66C-A9E8E2A087D5}">
  <cacheSource type="worksheet">
    <worksheetSource name="Table1"/>
  </cacheSource>
  <cacheFields count="5">
    <cacheField name="Final Marks" numFmtId="0">
      <sharedItems containsSemiMixedTypes="0" containsString="0" containsNumber="1" minValue="62" maxValue="92"/>
    </cacheField>
    <cacheField name="Grade " numFmtId="0">
      <sharedItems count="4">
        <s v="B1"/>
        <s v="A2"/>
        <s v="B2"/>
        <s v="A1"/>
      </sharedItems>
    </cacheField>
    <cacheField name="Previous Marks" numFmtId="0">
      <sharedItems containsSemiMixedTypes="0" containsString="0" containsNumber="1" minValue="60" maxValue="90"/>
    </cacheField>
    <cacheField name="Grade" numFmtId="0">
      <sharedItems/>
    </cacheField>
    <cacheField name="Attendance Rate" numFmtId="0">
      <sharedItems containsSemiMixedTypes="0" containsString="0" containsNumber="1" minValue="70" maxValue="95" count="10">
        <n v="85"/>
        <n v="90"/>
        <n v="78"/>
        <n v="92"/>
        <n v="85.510416666666671"/>
        <n v="95"/>
        <n v="70"/>
        <n v="82"/>
        <n v="91"/>
        <n v="88"/>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RAJ" refreshedDate="46085.989518402777" createdVersion="8" refreshedVersion="8" minRefreshableVersion="3" recordCount="1000" xr:uid="{FFA1596B-06D0-4BD4-A267-501DBEFCAEC4}">
  <cacheSource type="worksheet">
    <worksheetSource name="Table5"/>
  </cacheSource>
  <cacheFields count="10">
    <cacheField name="StudentID" numFmtId="0">
      <sharedItems containsSemiMixedTypes="0" containsString="0" containsNumber="1" containsInteger="1" minValue="1" maxValue="1000"/>
    </cacheField>
    <cacheField name="Name" numFmtId="0">
      <sharedItems/>
    </cacheField>
    <cacheField name="Gender" numFmtId="0">
      <sharedItems/>
    </cacheField>
    <cacheField name="AttendanceRate" numFmtId="0">
      <sharedItems containsSemiMixedTypes="0" containsString="0" containsNumber="1" minValue="70" maxValue="95" count="10">
        <n v="85"/>
        <n v="90"/>
        <n v="78"/>
        <n v="92"/>
        <n v="85.510416666666671"/>
        <n v="95"/>
        <n v="70"/>
        <n v="82"/>
        <n v="91"/>
        <n v="88"/>
      </sharedItems>
    </cacheField>
    <cacheField name="StudyHoursPerWeek" numFmtId="0">
      <sharedItems containsSemiMixedTypes="0" containsString="0" containsNumber="1" minValue="8" maxValue="30"/>
    </cacheField>
    <cacheField name="PreviousGrade" numFmtId="0">
      <sharedItems containsSemiMixedTypes="0" containsString="0" containsNumber="1" minValue="60" maxValue="90"/>
    </cacheField>
    <cacheField name="ExtracurricularActivities" numFmtId="0">
      <sharedItems containsSemiMixedTypes="0" containsString="0" containsNumber="1" containsInteger="1" minValue="0" maxValue="3"/>
    </cacheField>
    <cacheField name="ParentalSupport" numFmtId="0">
      <sharedItems count="3">
        <s v="High"/>
        <s v="Medium"/>
        <s v="Low"/>
      </sharedItems>
    </cacheField>
    <cacheField name="FinalGrade" numFmtId="0">
      <sharedItems containsSemiMixedTypes="0" containsString="0" containsNumber="1" minValue="62" maxValue="92" count="11">
        <n v="80"/>
        <n v="87"/>
        <n v="68"/>
        <n v="92"/>
        <n v="85"/>
        <n v="80.030208333333334"/>
        <n v="62"/>
        <n v="78"/>
        <n v="72"/>
        <n v="88"/>
        <n v="90"/>
      </sharedItems>
    </cacheField>
    <cacheField name="Online Classes Taken" numFmtId="0">
      <sharedItems count="2">
        <b v="0"/>
        <b v="1"/>
      </sharedItems>
    </cacheField>
  </cacheFields>
  <extLst>
    <ext xmlns:x14="http://schemas.microsoft.com/office/spreadsheetml/2009/9/main" uri="{725AE2AE-9491-48be-B2B4-4EB974FC3084}">
      <x14:pivotCacheDefinition pivotCacheId="614414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John"/>
    <s v="Male"/>
    <n v="85"/>
    <n v="15"/>
    <n v="78"/>
    <n v="1"/>
    <x v="0"/>
    <n v="80"/>
    <n v="4.8"/>
    <n v="59"/>
    <x v="0"/>
  </r>
  <r>
    <n v="2"/>
    <s v="Sarah"/>
    <s v="Female"/>
    <n v="90"/>
    <n v="20"/>
    <n v="85"/>
    <n v="2"/>
    <x v="1"/>
    <n v="87"/>
    <n v="2.2000000000000002"/>
    <n v="70"/>
    <x v="1"/>
  </r>
  <r>
    <n v="3"/>
    <s v="Alex"/>
    <s v="Male"/>
    <n v="78"/>
    <n v="10"/>
    <n v="65"/>
    <n v="0"/>
    <x v="2"/>
    <n v="68"/>
    <n v="4.5999999999999996"/>
    <n v="92"/>
    <x v="0"/>
  </r>
  <r>
    <n v="4"/>
    <s v="Michael"/>
    <s v="Male"/>
    <n v="92"/>
    <n v="25"/>
    <n v="90"/>
    <n v="3"/>
    <x v="0"/>
    <n v="92"/>
    <n v="2.9"/>
    <n v="96"/>
    <x v="0"/>
  </r>
  <r>
    <n v="5"/>
    <s v="Emma"/>
    <s v="Female"/>
    <n v="85.510416666666671"/>
    <n v="18"/>
    <n v="82"/>
    <n v="2"/>
    <x v="1"/>
    <n v="85"/>
    <n v="4.0999999999999996"/>
    <n v="97"/>
    <x v="1"/>
  </r>
  <r>
    <n v="6"/>
    <s v="Olivia"/>
    <s v="Female"/>
    <n v="95"/>
    <n v="30"/>
    <n v="88"/>
    <n v="1"/>
    <x v="0"/>
    <m/>
    <n v="2.8"/>
    <n v="97"/>
    <x v="0"/>
  </r>
  <r>
    <n v="7"/>
    <s v="Daniel"/>
    <s v="Male"/>
    <n v="70"/>
    <n v="8"/>
    <n v="60"/>
    <n v="0"/>
    <x v="2"/>
    <n v="62"/>
    <n v="4.5"/>
    <n v="96"/>
    <x v="0"/>
  </r>
  <r>
    <n v="8"/>
    <s v="Sophia"/>
    <s v="Female"/>
    <n v="85.510416666666671"/>
    <n v="17"/>
    <n v="77"/>
    <n v="1"/>
    <x v="1"/>
    <n v="78"/>
    <n v="1"/>
    <n v="70"/>
    <x v="1"/>
  </r>
  <r>
    <n v="9"/>
    <s v="James"/>
    <s v="Male"/>
    <n v="82"/>
    <n v="12"/>
    <n v="70"/>
    <n v="2"/>
    <x v="2"/>
    <n v="72"/>
    <n v="3.6"/>
    <n v="50"/>
    <x v="0"/>
  </r>
  <r>
    <n v="10"/>
    <s v="Isabella"/>
    <s v="Female"/>
    <n v="91"/>
    <n v="22"/>
    <n v="86"/>
    <n v="3"/>
    <x v="0"/>
    <n v="88"/>
    <n v="2.9"/>
    <n v="59"/>
    <x v="1"/>
  </r>
  <r>
    <n v="11"/>
    <s v="Shannon Harrison"/>
    <s v="Male"/>
    <n v="88"/>
    <n v="25"/>
    <n v="90"/>
    <n v="0"/>
    <x v="3"/>
    <n v="87"/>
    <n v="3.4"/>
    <n v="84"/>
    <x v="1"/>
  </r>
  <r>
    <n v="12"/>
    <s v="Peter Davila"/>
    <s v="Male"/>
    <n v="85"/>
    <n v="20"/>
    <n v="77.598759048603924"/>
    <n v="3"/>
    <x v="2"/>
    <n v="88"/>
    <n v="0.1"/>
    <n v="62"/>
    <x v="0"/>
  </r>
  <r>
    <n v="13"/>
    <s v="Katherine Gray"/>
    <s v="Female"/>
    <n v="91"/>
    <n v="18"/>
    <n v="78"/>
    <n v="0"/>
    <x v="2"/>
    <n v="62"/>
    <n v="1.7"/>
    <n v="59"/>
    <x v="1"/>
  </r>
  <r>
    <n v="14"/>
    <s v="Megan Miller"/>
    <s v="Male"/>
    <n v="90"/>
    <n v="8"/>
    <n v="85"/>
    <n v="1"/>
    <x v="1"/>
    <n v="88"/>
    <n v="1.3"/>
    <n v="52"/>
    <x v="0"/>
  </r>
  <r>
    <n v="15"/>
    <s v="James Williams"/>
    <s v="Male"/>
    <n v="70"/>
    <n v="20"/>
    <n v="70"/>
    <n v="2"/>
    <x v="2"/>
    <n v="88"/>
    <n v="4.4000000000000004"/>
    <n v="73"/>
    <x v="1"/>
  </r>
  <r>
    <n v="16"/>
    <s v="Derrick Alexander"/>
    <s v="Male"/>
    <n v="85.510416666666671"/>
    <n v="18"/>
    <n v="85"/>
    <n v="3"/>
    <x v="0"/>
    <n v="62"/>
    <n v="1.4"/>
    <n v="90"/>
    <x v="0"/>
  </r>
  <r>
    <n v="17"/>
    <s v="Courtney Clark"/>
    <s v="Unknown"/>
    <n v="95"/>
    <n v="25"/>
    <n v="82"/>
    <n v="2"/>
    <x v="2"/>
    <n v="68"/>
    <n v="2.7"/>
    <n v="65"/>
    <x v="1"/>
  </r>
  <r>
    <n v="18"/>
    <s v="James Smith"/>
    <s v="Female"/>
    <n v="88"/>
    <n v="12"/>
    <n v="90"/>
    <n v="1"/>
    <x v="0"/>
    <n v="92"/>
    <n v="4.0999999999999996"/>
    <n v="70"/>
    <x v="0"/>
  </r>
  <r>
    <n v="19"/>
    <s v="James Reynolds"/>
    <s v="Male"/>
    <n v="92"/>
    <n v="22"/>
    <n v="88"/>
    <n v="3"/>
    <x v="2"/>
    <n v="78"/>
    <n v="2"/>
    <n v="91"/>
    <x v="0"/>
  </r>
  <r>
    <n v="20"/>
    <s v="Brittany Sutton"/>
    <s v="Female"/>
    <n v="78"/>
    <n v="25"/>
    <n v="70"/>
    <n v="2"/>
    <x v="1"/>
    <n v="88"/>
    <n v="2.1"/>
    <n v="87"/>
    <x v="0"/>
  </r>
  <r>
    <n v="21"/>
    <s v="Annette Medina"/>
    <s v="Male"/>
    <n v="78"/>
    <n v="12"/>
    <n v="77"/>
    <n v="2"/>
    <x v="0"/>
    <n v="87"/>
    <n v="0.8"/>
    <n v="60"/>
    <x v="0"/>
  </r>
  <r>
    <n v="22"/>
    <s v="James Duncan"/>
    <s v="Female"/>
    <n v="70"/>
    <n v="22"/>
    <n v="77"/>
    <n v="2"/>
    <x v="1"/>
    <n v="72"/>
    <n v="4.3"/>
    <n v="50"/>
    <x v="1"/>
  </r>
  <r>
    <n v="23"/>
    <s v="Donna Taylor"/>
    <s v="Female"/>
    <n v="95"/>
    <n v="20"/>
    <n v="82"/>
    <n v="1"/>
    <x v="0"/>
    <n v="78"/>
    <n v="0"/>
    <n v="96"/>
    <x v="0"/>
  </r>
  <r>
    <n v="24"/>
    <s v="David Robertson"/>
    <s v="Male"/>
    <n v="82"/>
    <n v="20"/>
    <n v="82"/>
    <n v="1"/>
    <x v="2"/>
    <m/>
    <n v="0.8"/>
    <n v="98"/>
    <x v="1"/>
  </r>
  <r>
    <n v="25"/>
    <s v="Susan Brown"/>
    <s v="Male"/>
    <n v="91"/>
    <n v="30"/>
    <n v="77"/>
    <n v="1"/>
    <x v="0"/>
    <n v="90"/>
    <n v="4.4000000000000004"/>
    <n v="69"/>
    <x v="1"/>
  </r>
  <r>
    <n v="26"/>
    <s v="Jessica Ortega"/>
    <s v="Male"/>
    <n v="91"/>
    <n v="20"/>
    <n v="77.598759048603924"/>
    <n v="1"/>
    <x v="0"/>
    <n v="72"/>
    <n v="3.8"/>
    <n v="58"/>
    <x v="0"/>
  </r>
  <r>
    <n v="27"/>
    <s v="Jeremy Hall"/>
    <s v="Female"/>
    <n v="85.510416666666671"/>
    <n v="17.630526315789474"/>
    <n v="60"/>
    <n v="3"/>
    <x v="2"/>
    <n v="92"/>
    <n v="3.6"/>
    <n v="75"/>
    <x v="0"/>
  </r>
  <r>
    <n v="28"/>
    <s v="Peter Jones"/>
    <s v="Female"/>
    <n v="90"/>
    <n v="25"/>
    <n v="90"/>
    <n v="2"/>
    <x v="1"/>
    <n v="80"/>
    <n v="2.9"/>
    <n v="64"/>
    <x v="1"/>
  </r>
  <r>
    <n v="29"/>
    <s v="Michael Sampson"/>
    <s v="Male"/>
    <n v="85"/>
    <n v="25"/>
    <n v="77.598759048603924"/>
    <n v="1"/>
    <x v="1"/>
    <n v="87"/>
    <n v="2.6"/>
    <n v="67"/>
    <x v="0"/>
  </r>
  <r>
    <n v="30"/>
    <s v="Daniel Erickson"/>
    <s v="Male"/>
    <n v="91"/>
    <n v="22"/>
    <n v="77"/>
    <n v="3"/>
    <x v="1"/>
    <n v="62"/>
    <n v="1"/>
    <n v="56"/>
    <x v="0"/>
  </r>
  <r>
    <n v="31"/>
    <s v="David Aguilar"/>
    <s v="Female"/>
    <n v="70"/>
    <n v="17"/>
    <n v="78"/>
    <n v="2"/>
    <x v="0"/>
    <m/>
    <n v="3.6"/>
    <n v="56"/>
    <x v="2"/>
  </r>
  <r>
    <n v="32"/>
    <s v="Benjamin Vance"/>
    <s v="Male"/>
    <n v="82"/>
    <n v="17"/>
    <n v="65"/>
    <n v="0"/>
    <x v="0"/>
    <n v="85"/>
    <n v="2.2999999999999998"/>
    <n v="54"/>
    <x v="0"/>
  </r>
  <r>
    <n v="33"/>
    <s v="Yolanda Chen"/>
    <s v="Male"/>
    <n v="82"/>
    <n v="15"/>
    <n v="85"/>
    <n v="3"/>
    <x v="0"/>
    <m/>
    <n v="2.4"/>
    <n v="63"/>
    <x v="0"/>
  </r>
  <r>
    <n v="34"/>
    <s v="Kristina Douglas"/>
    <s v="Unknown"/>
    <n v="85.510416666666671"/>
    <n v="15"/>
    <n v="60"/>
    <n v="2"/>
    <x v="1"/>
    <n v="85"/>
    <n v="2.1"/>
    <n v="96"/>
    <x v="0"/>
  </r>
  <r>
    <n v="35"/>
    <s v="Scott Davidson"/>
    <s v="Male"/>
    <n v="88"/>
    <n v="25"/>
    <n v="78"/>
    <n v="3"/>
    <x v="2"/>
    <n v="72"/>
    <n v="0.3"/>
    <n v="70"/>
    <x v="2"/>
  </r>
  <r>
    <n v="36"/>
    <s v="Alexandra Harrington"/>
    <s v="Female"/>
    <n v="82"/>
    <n v="12"/>
    <n v="65"/>
    <n v="1"/>
    <x v="2"/>
    <n v="87"/>
    <n v="4.3"/>
    <n v="54"/>
    <x v="1"/>
  </r>
  <r>
    <n v="37"/>
    <s v="Richard Johnson"/>
    <s v="Female"/>
    <n v="90"/>
    <n v="22"/>
    <n v="90"/>
    <n v="3"/>
    <x v="2"/>
    <n v="80"/>
    <n v="3.1"/>
    <n v="76"/>
    <x v="0"/>
  </r>
  <r>
    <n v="38"/>
    <s v="Christopher Chapman"/>
    <s v="Male"/>
    <n v="95"/>
    <n v="25"/>
    <n v="82"/>
    <n v="0"/>
    <x v="0"/>
    <n v="85"/>
    <n v="2.2999999999999998"/>
    <n v="98"/>
    <x v="1"/>
  </r>
  <r>
    <n v="39"/>
    <s v="Jerry Browning"/>
    <s v="Female"/>
    <n v="91"/>
    <n v="22"/>
    <n v="85"/>
    <n v="2"/>
    <x v="2"/>
    <n v="92"/>
    <n v="2.5"/>
    <n v="58"/>
    <x v="0"/>
  </r>
  <r>
    <n v="40"/>
    <s v="Carrie Page"/>
    <s v="Male"/>
    <n v="95"/>
    <n v="18"/>
    <n v="65"/>
    <n v="1"/>
    <x v="2"/>
    <n v="85"/>
    <n v="3.1"/>
    <n v="91"/>
    <x v="1"/>
  </r>
  <r>
    <n v="41"/>
    <s v="Michelle Benjamin"/>
    <s v="Male"/>
    <n v="78"/>
    <n v="18"/>
    <n v="85"/>
    <n v="2"/>
    <x v="2"/>
    <n v="72"/>
    <n v="0.8"/>
    <n v="68"/>
    <x v="1"/>
  </r>
  <r>
    <n v="42"/>
    <s v="James Woods"/>
    <s v="Male"/>
    <n v="88"/>
    <n v="12"/>
    <n v="77"/>
    <n v="2"/>
    <x v="0"/>
    <n v="87"/>
    <n v="3.2"/>
    <n v="67"/>
    <x v="1"/>
  </r>
  <r>
    <n v="43"/>
    <s v="Angela Dunn"/>
    <s v="Female"/>
    <n v="78"/>
    <n v="18"/>
    <n v="65"/>
    <n v="1"/>
    <x v="2"/>
    <n v="62"/>
    <n v="2.8"/>
    <n v="57"/>
    <x v="1"/>
  </r>
  <r>
    <n v="44"/>
    <s v="Nathan Riley"/>
    <s v="Male"/>
    <n v="95"/>
    <n v="22"/>
    <n v="70"/>
    <n v="0"/>
    <x v="1"/>
    <n v="68"/>
    <n v="0.2"/>
    <n v="73"/>
    <x v="1"/>
  </r>
  <r>
    <n v="45"/>
    <s v="Shelby Mahoney"/>
    <s v="Male"/>
    <n v="92"/>
    <n v="20"/>
    <n v="88"/>
    <n v="2"/>
    <x v="1"/>
    <n v="88"/>
    <n v="3.7"/>
    <n v="65"/>
    <x v="1"/>
  </r>
  <r>
    <n v="46"/>
    <s v="Andrea Frey"/>
    <s v="Female"/>
    <n v="85"/>
    <n v="10"/>
    <n v="88"/>
    <n v="0"/>
    <x v="2"/>
    <n v="92"/>
    <n v="1.3"/>
    <n v="100"/>
    <x v="1"/>
  </r>
  <r>
    <n v="47"/>
    <s v="Justin Martin"/>
    <s v="Male"/>
    <n v="85"/>
    <n v="25"/>
    <n v="90"/>
    <n v="1"/>
    <x v="1"/>
    <n v="85"/>
    <n v="4.0999999999999996"/>
    <n v="64"/>
    <x v="1"/>
  </r>
  <r>
    <n v="48"/>
    <s v="Mark Hartman"/>
    <s v="Male"/>
    <n v="70"/>
    <n v="30"/>
    <n v="82"/>
    <n v="2"/>
    <x v="1"/>
    <n v="90"/>
    <n v="3.2"/>
    <n v="75"/>
    <x v="0"/>
  </r>
  <r>
    <n v="49"/>
    <s v="Antonio Hansen"/>
    <s v="Male"/>
    <n v="88"/>
    <n v="10"/>
    <n v="86"/>
    <n v="2"/>
    <x v="0"/>
    <n v="87"/>
    <n v="3"/>
    <n v="72"/>
    <x v="0"/>
  </r>
  <r>
    <n v="50"/>
    <s v="Lynn Anderson"/>
    <s v="Male"/>
    <n v="70"/>
    <n v="22"/>
    <n v="90"/>
    <n v="2"/>
    <x v="0"/>
    <n v="62"/>
    <n v="0"/>
    <n v="84"/>
    <x v="1"/>
  </r>
  <r>
    <n v="51"/>
    <s v="Michael Cooley"/>
    <s v="Female"/>
    <n v="90"/>
    <n v="30"/>
    <n v="86"/>
    <n v="1"/>
    <x v="2"/>
    <n v="87"/>
    <n v="3.6"/>
    <n v="69"/>
    <x v="0"/>
  </r>
  <r>
    <n v="52"/>
    <s v="Mitchell Sanders"/>
    <s v="Female"/>
    <n v="70"/>
    <n v="18"/>
    <n v="70"/>
    <n v="0"/>
    <x v="0"/>
    <n v="62"/>
    <n v="3.3"/>
    <n v="74"/>
    <x v="1"/>
  </r>
  <r>
    <n v="53"/>
    <s v="Maria Cross"/>
    <s v="Female"/>
    <n v="82"/>
    <n v="17.630526315789474"/>
    <n v="82"/>
    <n v="1"/>
    <x v="0"/>
    <n v="62"/>
    <n v="3.9"/>
    <n v="88"/>
    <x v="0"/>
  </r>
  <r>
    <n v="54"/>
    <s v="Lisa Castillo"/>
    <s v="Female"/>
    <n v="85"/>
    <n v="25"/>
    <n v="70"/>
    <n v="1"/>
    <x v="2"/>
    <n v="68"/>
    <n v="3.3"/>
    <n v="68"/>
    <x v="0"/>
  </r>
  <r>
    <n v="55"/>
    <s v="Theresa Rodriguez"/>
    <s v="Male"/>
    <n v="88"/>
    <n v="25"/>
    <n v="90"/>
    <n v="0"/>
    <x v="0"/>
    <n v="80"/>
    <n v="1.2"/>
    <n v="80"/>
    <x v="1"/>
  </r>
  <r>
    <n v="56"/>
    <s v="Kimberly Wood"/>
    <s v="Female"/>
    <n v="91"/>
    <n v="25"/>
    <n v="60"/>
    <n v="1"/>
    <x v="1"/>
    <n v="92"/>
    <n v="0.7"/>
    <n v="94"/>
    <x v="1"/>
  </r>
  <r>
    <n v="57"/>
    <s v="Patricia Cox"/>
    <s v="Female"/>
    <n v="92"/>
    <n v="10"/>
    <n v="70"/>
    <n v="1"/>
    <x v="0"/>
    <n v="72"/>
    <n v="1.2"/>
    <n v="57"/>
    <x v="0"/>
  </r>
  <r>
    <n v="58"/>
    <s v="Kimberly Blair"/>
    <s v="Female"/>
    <n v="82"/>
    <n v="12"/>
    <n v="86"/>
    <n v="1"/>
    <x v="1"/>
    <n v="88"/>
    <n v="4.0999999999999996"/>
    <n v="82"/>
    <x v="0"/>
  </r>
  <r>
    <n v="59"/>
    <s v="Jason Ramirez"/>
    <s v="Female"/>
    <n v="78"/>
    <n v="17"/>
    <n v="77"/>
    <n v="2"/>
    <x v="0"/>
    <n v="85"/>
    <n v="3.8"/>
    <n v="83"/>
    <x v="0"/>
  </r>
  <r>
    <n v="60"/>
    <s v="Gail Dudley"/>
    <s v="Female"/>
    <n v="85"/>
    <n v="20"/>
    <n v="82"/>
    <n v="3"/>
    <x v="1"/>
    <n v="90"/>
    <n v="1.6"/>
    <n v="84"/>
    <x v="1"/>
  </r>
  <r>
    <n v="61"/>
    <s v="John West"/>
    <s v="Male"/>
    <n v="92"/>
    <n v="8"/>
    <n v="65"/>
    <n v="3"/>
    <x v="0"/>
    <n v="62"/>
    <n v="2"/>
    <n v="84"/>
    <x v="0"/>
  </r>
  <r>
    <n v="62"/>
    <s v="Patricia Carr"/>
    <s v="Male"/>
    <n v="92"/>
    <n v="8"/>
    <n v="60"/>
    <n v="3"/>
    <x v="2"/>
    <n v="80"/>
    <n v="4.3"/>
    <n v="98"/>
    <x v="0"/>
  </r>
  <r>
    <n v="63"/>
    <s v="David Nunez"/>
    <s v="Male"/>
    <n v="95"/>
    <n v="18"/>
    <n v="60"/>
    <n v="0"/>
    <x v="2"/>
    <n v="72"/>
    <n v="4"/>
    <n v="64"/>
    <x v="0"/>
  </r>
  <r>
    <n v="64"/>
    <s v="Collin Peterson"/>
    <s v="Female"/>
    <n v="70"/>
    <n v="17"/>
    <n v="78"/>
    <n v="0"/>
    <x v="1"/>
    <n v="62"/>
    <n v="3.6"/>
    <n v="79"/>
    <x v="1"/>
  </r>
  <r>
    <n v="65"/>
    <s v="Rebecca Smith"/>
    <s v="Male"/>
    <n v="70"/>
    <n v="22"/>
    <n v="86"/>
    <n v="1"/>
    <x v="0"/>
    <n v="62"/>
    <n v="0.7"/>
    <n v="79"/>
    <x v="1"/>
  </r>
  <r>
    <n v="66"/>
    <s v="Lisa Benjamin"/>
    <s v="Female"/>
    <n v="70"/>
    <n v="30"/>
    <n v="90"/>
    <n v="1"/>
    <x v="1"/>
    <n v="90"/>
    <n v="3.8"/>
    <m/>
    <x v="0"/>
  </r>
  <r>
    <n v="67"/>
    <s v="Desiree Reyes"/>
    <s v="Female"/>
    <n v="90"/>
    <n v="17"/>
    <n v="78"/>
    <n v="2"/>
    <x v="0"/>
    <n v="90"/>
    <n v="1.1000000000000001"/>
    <n v="54"/>
    <x v="1"/>
  </r>
  <r>
    <n v="68"/>
    <s v="Megan Diaz"/>
    <s v="Male"/>
    <n v="92"/>
    <n v="15"/>
    <n v="86"/>
    <n v="0"/>
    <x v="0"/>
    <n v="68"/>
    <n v="2.4"/>
    <n v="57"/>
    <x v="1"/>
  </r>
  <r>
    <n v="69"/>
    <s v="Joseph Adams"/>
    <s v="Female"/>
    <n v="95"/>
    <n v="10"/>
    <n v="86"/>
    <n v="3"/>
    <x v="2"/>
    <n v="87"/>
    <n v="3.9"/>
    <n v="60"/>
    <x v="0"/>
  </r>
  <r>
    <n v="70"/>
    <s v="Sharon Watson"/>
    <s v="Male"/>
    <n v="88"/>
    <n v="22"/>
    <n v="60"/>
    <n v="0"/>
    <x v="2"/>
    <n v="92"/>
    <n v="0.4"/>
    <n v="94"/>
    <x v="1"/>
  </r>
  <r>
    <n v="71"/>
    <s v="Tiffany Smith"/>
    <s v="Female"/>
    <n v="91"/>
    <n v="20"/>
    <n v="86"/>
    <n v="1"/>
    <x v="1"/>
    <n v="72"/>
    <n v="2.1"/>
    <n v="73"/>
    <x v="1"/>
  </r>
  <r>
    <n v="72"/>
    <s v="Alexander Preston"/>
    <s v="Female"/>
    <n v="85"/>
    <n v="8"/>
    <n v="77"/>
    <n v="2"/>
    <x v="1"/>
    <n v="90"/>
    <n v="3.2"/>
    <n v="79"/>
    <x v="1"/>
  </r>
  <r>
    <n v="73"/>
    <s v="Randall Hickman"/>
    <s v="Male"/>
    <n v="82"/>
    <n v="18"/>
    <n v="86"/>
    <n v="2"/>
    <x v="1"/>
    <n v="78"/>
    <n v="2.2000000000000002"/>
    <n v="96"/>
    <x v="0"/>
  </r>
  <r>
    <n v="74"/>
    <s v="David Hernandez"/>
    <s v="Male"/>
    <n v="90"/>
    <n v="18"/>
    <n v="77"/>
    <n v="3"/>
    <x v="1"/>
    <n v="88"/>
    <n v="3.1"/>
    <n v="74"/>
    <x v="0"/>
  </r>
  <r>
    <n v="75"/>
    <s v="Michelle Jones"/>
    <s v="Female"/>
    <n v="95"/>
    <n v="10"/>
    <n v="77"/>
    <n v="3"/>
    <x v="1"/>
    <n v="85"/>
    <n v="-5"/>
    <n v="200"/>
    <x v="0"/>
  </r>
  <r>
    <n v="76"/>
    <s v="Tonya Gonzalez"/>
    <s v="Male"/>
    <n v="90"/>
    <n v="25"/>
    <n v="60"/>
    <n v="1"/>
    <x v="2"/>
    <n v="92"/>
    <n v="3.5"/>
    <n v="91"/>
    <x v="0"/>
  </r>
  <r>
    <n v="77"/>
    <s v="Sarah Johnson"/>
    <s v="Male"/>
    <n v="90"/>
    <n v="18"/>
    <n v="90"/>
    <n v="0"/>
    <x v="2"/>
    <n v="92"/>
    <n v="1.5"/>
    <n v="87"/>
    <x v="0"/>
  </r>
  <r>
    <n v="78"/>
    <s v="Grace Valencia"/>
    <s v="Female"/>
    <n v="70"/>
    <n v="12"/>
    <n v="88"/>
    <n v="1"/>
    <x v="2"/>
    <n v="78"/>
    <n v="1.4"/>
    <n v="66"/>
    <x v="1"/>
  </r>
  <r>
    <n v="79"/>
    <s v="Sarah Young"/>
    <s v="Male"/>
    <n v="95"/>
    <n v="20"/>
    <n v="70"/>
    <n v="0"/>
    <x v="3"/>
    <n v="92"/>
    <n v="3.7"/>
    <n v="67"/>
    <x v="0"/>
  </r>
  <r>
    <n v="80"/>
    <s v="Gerald Weber"/>
    <s v="Male"/>
    <n v="88"/>
    <n v="25"/>
    <n v="88"/>
    <n v="1"/>
    <x v="1"/>
    <n v="80"/>
    <n v="3.5"/>
    <n v="58"/>
    <x v="0"/>
  </r>
  <r>
    <n v="81"/>
    <s v="Gregory Turner"/>
    <s v="Male"/>
    <n v="82"/>
    <n v="18"/>
    <n v="77.598759048603924"/>
    <n v="1"/>
    <x v="0"/>
    <n v="80"/>
    <n v="2.9"/>
    <n v="80"/>
    <x v="0"/>
  </r>
  <r>
    <n v="82"/>
    <s v="Laura Cortez"/>
    <s v="Female"/>
    <n v="78"/>
    <n v="15"/>
    <n v="82"/>
    <n v="1"/>
    <x v="0"/>
    <n v="87"/>
    <n v="2"/>
    <n v="54"/>
    <x v="1"/>
  </r>
  <r>
    <n v="83"/>
    <s v="Lori Miller"/>
    <s v="Male"/>
    <n v="91"/>
    <n v="18"/>
    <n v="85"/>
    <n v="3"/>
    <x v="0"/>
    <n v="72"/>
    <n v="3.8"/>
    <n v="88"/>
    <x v="1"/>
  </r>
  <r>
    <n v="84"/>
    <s v="Lori Gomez PhD"/>
    <s v="Female"/>
    <n v="85"/>
    <n v="17"/>
    <n v="82"/>
    <n v="3"/>
    <x v="1"/>
    <n v="85"/>
    <n v="2.8"/>
    <n v="53"/>
    <x v="1"/>
  </r>
  <r>
    <n v="85"/>
    <s v="Dawn Foster"/>
    <s v="Male"/>
    <n v="88"/>
    <n v="20"/>
    <n v="65"/>
    <n v="1"/>
    <x v="0"/>
    <n v="72"/>
    <n v="0.4"/>
    <n v="50"/>
    <x v="0"/>
  </r>
  <r>
    <n v="86"/>
    <s v="Peter Welch"/>
    <s v="Female"/>
    <n v="88"/>
    <n v="15"/>
    <n v="90"/>
    <n v="2"/>
    <x v="2"/>
    <m/>
    <n v="3.5"/>
    <n v="79"/>
    <x v="1"/>
  </r>
  <r>
    <n v="87"/>
    <s v="Maria Carter"/>
    <s v="Female"/>
    <n v="91"/>
    <n v="25"/>
    <n v="60"/>
    <n v="2"/>
    <x v="2"/>
    <n v="92"/>
    <n v="3.2"/>
    <n v="67"/>
    <x v="1"/>
  </r>
  <r>
    <n v="88"/>
    <s v="Daniel Hood"/>
    <s v="Male"/>
    <n v="78"/>
    <n v="18"/>
    <n v="86"/>
    <n v="3"/>
    <x v="1"/>
    <n v="78"/>
    <n v="0.6"/>
    <n v="94"/>
    <x v="0"/>
  </r>
  <r>
    <n v="89"/>
    <s v="Amanda Hernandez"/>
    <s v="Female"/>
    <n v="82"/>
    <n v="12"/>
    <n v="77"/>
    <n v="1"/>
    <x v="0"/>
    <n v="88"/>
    <n v="0.2"/>
    <n v="77"/>
    <x v="0"/>
  </r>
  <r>
    <n v="90"/>
    <s v="Alyssa Schmidt"/>
    <s v="Unknown"/>
    <n v="90"/>
    <n v="25"/>
    <n v="86"/>
    <n v="3"/>
    <x v="0"/>
    <n v="85"/>
    <n v="2.9"/>
    <n v="98"/>
    <x v="1"/>
  </r>
  <r>
    <n v="91"/>
    <s v="Taylor Merritt DVM"/>
    <s v="Female"/>
    <n v="88"/>
    <n v="10"/>
    <n v="86"/>
    <n v="0"/>
    <x v="2"/>
    <n v="78"/>
    <n v="4.8"/>
    <n v="80"/>
    <x v="0"/>
  </r>
  <r>
    <n v="92"/>
    <s v="Alyssa Smith"/>
    <s v="Unknown"/>
    <n v="95"/>
    <n v="20"/>
    <n v="65"/>
    <n v="1"/>
    <x v="1"/>
    <n v="78"/>
    <n v="1.4"/>
    <n v="75"/>
    <x v="1"/>
  </r>
  <r>
    <n v="93"/>
    <s v="Nathan Navarro"/>
    <s v="Male"/>
    <n v="95"/>
    <n v="18"/>
    <n v="88"/>
    <n v="2"/>
    <x v="1"/>
    <n v="72"/>
    <n v="4.0999999999999996"/>
    <n v="50"/>
    <x v="0"/>
  </r>
  <r>
    <n v="94"/>
    <s v="Lisa Zimmerman"/>
    <s v="Male"/>
    <n v="92"/>
    <n v="12"/>
    <n v="88"/>
    <n v="3"/>
    <x v="1"/>
    <n v="78"/>
    <n v="3.8"/>
    <n v="63"/>
    <x v="0"/>
  </r>
  <r>
    <n v="95"/>
    <s v="Jeffrey Howard"/>
    <s v="Male"/>
    <n v="88"/>
    <n v="17"/>
    <n v="77"/>
    <n v="2"/>
    <x v="0"/>
    <n v="88"/>
    <m/>
    <n v="95"/>
    <x v="1"/>
  </r>
  <r>
    <n v="96"/>
    <s v="Morgan Bell"/>
    <s v="Male"/>
    <n v="82"/>
    <n v="17.630526315789474"/>
    <n v="85"/>
    <n v="1"/>
    <x v="0"/>
    <n v="78"/>
    <n v="4.7"/>
    <n v="91"/>
    <x v="1"/>
  </r>
  <r>
    <n v="97"/>
    <s v="Angelica Steele"/>
    <s v="Female"/>
    <n v="82"/>
    <n v="18"/>
    <n v="60"/>
    <n v="1"/>
    <x v="1"/>
    <n v="92"/>
    <n v="2.2999999999999998"/>
    <n v="59"/>
    <x v="0"/>
  </r>
  <r>
    <n v="98"/>
    <s v="Gregory Daniels"/>
    <s v="Male"/>
    <n v="90"/>
    <n v="18"/>
    <n v="60"/>
    <n v="1"/>
    <x v="2"/>
    <n v="85"/>
    <n v="4.0999999999999996"/>
    <n v="68"/>
    <x v="0"/>
  </r>
  <r>
    <n v="99"/>
    <s v="Eric Davis"/>
    <s v="Male"/>
    <n v="85"/>
    <n v="12"/>
    <n v="77"/>
    <n v="1"/>
    <x v="1"/>
    <n v="72"/>
    <n v="3.8"/>
    <n v="74"/>
    <x v="0"/>
  </r>
  <r>
    <n v="100"/>
    <s v="Natalie Kelley"/>
    <s v="Male"/>
    <n v="92"/>
    <n v="22"/>
    <n v="60"/>
    <n v="3"/>
    <x v="1"/>
    <n v="80"/>
    <n v="1.6"/>
    <n v="80"/>
    <x v="0"/>
  </r>
  <r>
    <n v="101"/>
    <s v="Ruth Davis"/>
    <s v="Male"/>
    <n v="85"/>
    <n v="15"/>
    <n v="65"/>
    <n v="2"/>
    <x v="2"/>
    <n v="90"/>
    <n v="4.3"/>
    <n v="78"/>
    <x v="1"/>
  </r>
  <r>
    <n v="102"/>
    <s v="Emily Torres"/>
    <s v="Unknown"/>
    <n v="85"/>
    <n v="17.630526315789474"/>
    <n v="60"/>
    <n v="0"/>
    <x v="0"/>
    <n v="78"/>
    <n v="3.9"/>
    <n v="66"/>
    <x v="0"/>
  </r>
  <r>
    <n v="103"/>
    <s v="Nancy Davis"/>
    <s v="Unknown"/>
    <n v="95"/>
    <n v="12"/>
    <n v="60"/>
    <n v="1"/>
    <x v="2"/>
    <n v="78"/>
    <n v="4.4000000000000004"/>
    <n v="52"/>
    <x v="1"/>
  </r>
  <r>
    <n v="104"/>
    <s v="Amanda Bowers"/>
    <s v="Female"/>
    <n v="92"/>
    <n v="20"/>
    <n v="60"/>
    <n v="1"/>
    <x v="2"/>
    <n v="87"/>
    <n v="2.2000000000000002"/>
    <n v="94"/>
    <x v="0"/>
  </r>
  <r>
    <n v="105"/>
    <s v="Alison Lang"/>
    <s v="Male"/>
    <n v="95"/>
    <n v="15"/>
    <n v="82"/>
    <n v="1"/>
    <x v="1"/>
    <n v="62"/>
    <n v="0.7"/>
    <n v="83"/>
    <x v="0"/>
  </r>
  <r>
    <n v="106"/>
    <s v="Matthew Massey"/>
    <s v="Male"/>
    <n v="78"/>
    <n v="20"/>
    <n v="86"/>
    <n v="1"/>
    <x v="2"/>
    <n v="92"/>
    <n v="2.5"/>
    <m/>
    <x v="1"/>
  </r>
  <r>
    <n v="107"/>
    <s v="James Anderson"/>
    <s v="Unknown"/>
    <n v="88"/>
    <n v="17"/>
    <n v="82"/>
    <n v="1"/>
    <x v="1"/>
    <n v="85"/>
    <n v="3.4"/>
    <n v="60"/>
    <x v="1"/>
  </r>
  <r>
    <n v="108"/>
    <s v="Robert Howard"/>
    <s v="Female"/>
    <n v="91"/>
    <n v="18"/>
    <n v="60"/>
    <n v="2"/>
    <x v="1"/>
    <n v="85"/>
    <n v="1"/>
    <n v="74"/>
    <x v="0"/>
  </r>
  <r>
    <n v="109"/>
    <s v="Rebecca Brown"/>
    <s v="Male"/>
    <n v="70"/>
    <n v="22"/>
    <n v="88"/>
    <n v="3"/>
    <x v="1"/>
    <n v="85"/>
    <n v="0.1"/>
    <n v="92"/>
    <x v="0"/>
  </r>
  <r>
    <n v="110"/>
    <s v="Kimberly Harrison"/>
    <s v="Male"/>
    <n v="91"/>
    <n v="15"/>
    <n v="86"/>
    <n v="1"/>
    <x v="1"/>
    <n v="92"/>
    <n v="3"/>
    <n v="72"/>
    <x v="1"/>
  </r>
  <r>
    <n v="111"/>
    <s v="Derek Parks"/>
    <s v="Female"/>
    <n v="78"/>
    <n v="20"/>
    <n v="78"/>
    <n v="2"/>
    <x v="1"/>
    <n v="80"/>
    <n v="2.9"/>
    <m/>
    <x v="1"/>
  </r>
  <r>
    <n v="112"/>
    <s v="Jennifer Baker"/>
    <s v="Female"/>
    <n v="95"/>
    <n v="8"/>
    <n v="65"/>
    <n v="3"/>
    <x v="0"/>
    <n v="72"/>
    <n v="4.4000000000000004"/>
    <n v="73"/>
    <x v="0"/>
  </r>
  <r>
    <n v="113"/>
    <s v="Diana Schultz"/>
    <s v="Female"/>
    <n v="85"/>
    <n v="18"/>
    <n v="88"/>
    <n v="2"/>
    <x v="1"/>
    <n v="87"/>
    <n v="0.7"/>
    <n v="64"/>
    <x v="0"/>
  </r>
  <r>
    <n v="114"/>
    <s v="Mrs. Jill Long"/>
    <s v="Male"/>
    <n v="70"/>
    <n v="15"/>
    <n v="82"/>
    <n v="1"/>
    <x v="0"/>
    <n v="78"/>
    <n v="1.8"/>
    <n v="97"/>
    <x v="0"/>
  </r>
  <r>
    <n v="115"/>
    <s v="Heather Johnson"/>
    <s v="Female"/>
    <n v="90"/>
    <n v="25"/>
    <n v="77"/>
    <n v="1"/>
    <x v="2"/>
    <n v="72"/>
    <n v="1.6"/>
    <n v="89"/>
    <x v="1"/>
  </r>
  <r>
    <n v="116"/>
    <s v="Robert Lowery"/>
    <s v="Female"/>
    <n v="88"/>
    <n v="8"/>
    <n v="85"/>
    <n v="0"/>
    <x v="0"/>
    <n v="80"/>
    <n v="1.5"/>
    <n v="81"/>
    <x v="1"/>
  </r>
  <r>
    <n v="117"/>
    <m/>
    <s v="Male"/>
    <n v="82"/>
    <n v="10"/>
    <n v="60"/>
    <n v="1"/>
    <x v="1"/>
    <n v="72"/>
    <n v="2.1"/>
    <n v="97"/>
    <x v="1"/>
  </r>
  <r>
    <n v="118"/>
    <s v="Angela Williams"/>
    <s v="Unknown"/>
    <n v="85"/>
    <n v="22"/>
    <n v="60"/>
    <n v="2"/>
    <x v="0"/>
    <m/>
    <n v="1.1000000000000001"/>
    <n v="78"/>
    <x v="2"/>
  </r>
  <r>
    <n v="119"/>
    <s v="Brent Burns"/>
    <s v="Male"/>
    <n v="95"/>
    <n v="12"/>
    <n v="88"/>
    <n v="1"/>
    <x v="1"/>
    <n v="85"/>
    <n v="0.9"/>
    <n v="57"/>
    <x v="0"/>
  </r>
  <r>
    <n v="120"/>
    <s v="Melissa Barber"/>
    <s v="Male"/>
    <n v="91"/>
    <n v="15"/>
    <n v="78"/>
    <n v="1"/>
    <x v="0"/>
    <n v="68"/>
    <n v="3.9"/>
    <n v="63"/>
    <x v="1"/>
  </r>
  <r>
    <n v="121"/>
    <s v="John Warner"/>
    <s v="Male"/>
    <n v="92"/>
    <n v="30"/>
    <n v="65"/>
    <n v="3"/>
    <x v="0"/>
    <m/>
    <n v="4.3"/>
    <n v="59"/>
    <x v="1"/>
  </r>
  <r>
    <n v="122"/>
    <s v="Christopher Baxter"/>
    <s v="Female"/>
    <n v="78"/>
    <n v="17.630526315789474"/>
    <n v="78"/>
    <n v="0"/>
    <x v="0"/>
    <n v="90"/>
    <n v="3.9"/>
    <n v="65"/>
    <x v="0"/>
  </r>
  <r>
    <n v="123"/>
    <s v="Courtney Haas"/>
    <s v="Male"/>
    <n v="88"/>
    <n v="15"/>
    <n v="65"/>
    <n v="0"/>
    <x v="2"/>
    <n v="87"/>
    <n v="3.7"/>
    <n v="80"/>
    <x v="0"/>
  </r>
  <r>
    <n v="124"/>
    <s v="Sarah Ross"/>
    <s v="Male"/>
    <n v="85"/>
    <n v="12"/>
    <n v="90"/>
    <n v="3"/>
    <x v="0"/>
    <n v="72"/>
    <n v="1.5"/>
    <n v="91"/>
    <x v="1"/>
  </r>
  <r>
    <n v="125"/>
    <s v="Manuel Baker"/>
    <s v="Female"/>
    <n v="70"/>
    <n v="8"/>
    <n v="85"/>
    <n v="1"/>
    <x v="2"/>
    <m/>
    <n v="0.4"/>
    <n v="55"/>
    <x v="0"/>
  </r>
  <r>
    <n v="126"/>
    <s v="Jessica Lamb"/>
    <s v="Male"/>
    <n v="78"/>
    <n v="18"/>
    <n v="86"/>
    <n v="1"/>
    <x v="2"/>
    <n v="90"/>
    <n v="-5"/>
    <n v="200"/>
    <x v="0"/>
  </r>
  <r>
    <n v="127"/>
    <s v="Jaime Nguyen"/>
    <s v="Female"/>
    <n v="90"/>
    <n v="20"/>
    <n v="70"/>
    <n v="3"/>
    <x v="1"/>
    <n v="78"/>
    <n v="4.4000000000000004"/>
    <n v="76"/>
    <x v="0"/>
  </r>
  <r>
    <n v="128"/>
    <s v="Tina Chavez"/>
    <s v="Unknown"/>
    <n v="70"/>
    <n v="20"/>
    <n v="88"/>
    <n v="0"/>
    <x v="1"/>
    <n v="85"/>
    <n v="1.9"/>
    <n v="59"/>
    <x v="0"/>
  </r>
  <r>
    <n v="129"/>
    <s v="Christina Thompson"/>
    <s v="Male"/>
    <n v="90"/>
    <n v="20"/>
    <n v="60"/>
    <n v="2"/>
    <x v="2"/>
    <n v="90"/>
    <n v="4.0999999999999996"/>
    <n v="85"/>
    <x v="1"/>
  </r>
  <r>
    <n v="130"/>
    <s v="Shari Harrell"/>
    <s v="Male"/>
    <n v="70"/>
    <n v="17.630526315789474"/>
    <n v="60"/>
    <n v="1"/>
    <x v="1"/>
    <n v="88"/>
    <n v="1.6"/>
    <n v="56"/>
    <x v="1"/>
  </r>
  <r>
    <n v="131"/>
    <s v="Tracy Gibbs"/>
    <s v="Female"/>
    <n v="92"/>
    <n v="20"/>
    <n v="88"/>
    <n v="2"/>
    <x v="1"/>
    <n v="87"/>
    <n v="3.8"/>
    <n v="86"/>
    <x v="1"/>
  </r>
  <r>
    <n v="132"/>
    <s v="David Hoffman"/>
    <s v="Male"/>
    <n v="91"/>
    <n v="17.630526315789474"/>
    <n v="78"/>
    <n v="0"/>
    <x v="1"/>
    <n v="85"/>
    <n v="4.5999999999999996"/>
    <n v="72"/>
    <x v="1"/>
  </r>
  <r>
    <n v="133"/>
    <s v="Robert Davis"/>
    <s v="Male"/>
    <n v="91"/>
    <n v="8"/>
    <n v="85"/>
    <n v="0"/>
    <x v="2"/>
    <n v="80"/>
    <n v="0.5"/>
    <n v="83"/>
    <x v="1"/>
  </r>
  <r>
    <n v="134"/>
    <s v="Patricia Greer"/>
    <s v="Female"/>
    <n v="85"/>
    <n v="30"/>
    <n v="77.598759048603924"/>
    <n v="1"/>
    <x v="1"/>
    <n v="90"/>
    <n v="3.9"/>
    <n v="86"/>
    <x v="1"/>
  </r>
  <r>
    <n v="135"/>
    <s v="James Stewart"/>
    <s v="Male"/>
    <n v="78"/>
    <n v="22"/>
    <n v="78"/>
    <n v="2"/>
    <x v="1"/>
    <n v="78"/>
    <n v="3.3"/>
    <n v="81"/>
    <x v="0"/>
  </r>
  <r>
    <n v="136"/>
    <s v="Brent Mendoza"/>
    <s v="Female"/>
    <n v="92"/>
    <n v="12"/>
    <n v="85"/>
    <n v="1"/>
    <x v="1"/>
    <n v="87"/>
    <n v="1.4"/>
    <n v="93"/>
    <x v="0"/>
  </r>
  <r>
    <n v="137"/>
    <s v="Dawn Taylor"/>
    <s v="Female"/>
    <n v="85"/>
    <n v="25"/>
    <n v="60"/>
    <n v="3"/>
    <x v="0"/>
    <n v="80"/>
    <n v="1"/>
    <n v="63"/>
    <x v="1"/>
  </r>
  <r>
    <n v="138"/>
    <s v="Larry Brown"/>
    <s v="Female"/>
    <n v="95"/>
    <n v="20"/>
    <n v="78"/>
    <n v="1"/>
    <x v="2"/>
    <n v="62"/>
    <n v="0.9"/>
    <n v="74"/>
    <x v="1"/>
  </r>
  <r>
    <n v="139"/>
    <s v="Miss Teresa Hernandez MD"/>
    <s v="Female"/>
    <n v="90"/>
    <n v="8"/>
    <n v="78"/>
    <n v="0"/>
    <x v="0"/>
    <n v="78"/>
    <n v="4.5999999999999996"/>
    <n v="70"/>
    <x v="0"/>
  </r>
  <r>
    <n v="140"/>
    <s v="Edward Baker"/>
    <s v="Female"/>
    <n v="88"/>
    <n v="20"/>
    <n v="60"/>
    <n v="1"/>
    <x v="1"/>
    <n v="68"/>
    <n v="4"/>
    <n v="89"/>
    <x v="0"/>
  </r>
  <r>
    <n v="141"/>
    <s v="Diana Gould"/>
    <s v="Male"/>
    <n v="70"/>
    <n v="20"/>
    <n v="90"/>
    <n v="0"/>
    <x v="2"/>
    <n v="62"/>
    <n v="2.6"/>
    <n v="75"/>
    <x v="0"/>
  </r>
  <r>
    <n v="142"/>
    <s v="Amy Rodriguez"/>
    <s v="Male"/>
    <n v="95"/>
    <n v="10"/>
    <n v="85"/>
    <n v="2"/>
    <x v="2"/>
    <m/>
    <n v="2.7"/>
    <n v="62"/>
    <x v="0"/>
  </r>
  <r>
    <n v="143"/>
    <s v="Paul Hull"/>
    <s v="Male"/>
    <n v="92"/>
    <n v="20"/>
    <n v="65"/>
    <n v="2"/>
    <x v="0"/>
    <n v="68"/>
    <n v="3"/>
    <n v="98"/>
    <x v="1"/>
  </r>
  <r>
    <n v="144"/>
    <s v="Allison Hamilton"/>
    <s v="Female"/>
    <n v="85"/>
    <n v="22"/>
    <n v="86"/>
    <n v="1"/>
    <x v="2"/>
    <n v="88"/>
    <n v="3.2"/>
    <n v="89"/>
    <x v="0"/>
  </r>
  <r>
    <n v="145"/>
    <s v="John King"/>
    <s v="Male"/>
    <n v="85"/>
    <n v="20"/>
    <n v="77"/>
    <n v="1"/>
    <x v="2"/>
    <n v="85"/>
    <n v="4"/>
    <n v="87"/>
    <x v="1"/>
  </r>
  <r>
    <n v="146"/>
    <s v="Tristan Avila"/>
    <s v="Male"/>
    <n v="88"/>
    <n v="17"/>
    <n v="77"/>
    <n v="1"/>
    <x v="0"/>
    <n v="90"/>
    <n v="4.2"/>
    <n v="54"/>
    <x v="1"/>
  </r>
  <r>
    <n v="147"/>
    <s v="Connie Cooper"/>
    <s v="Female"/>
    <n v="85"/>
    <n v="22"/>
    <n v="70"/>
    <n v="1"/>
    <x v="1"/>
    <n v="88"/>
    <n v="3.3"/>
    <n v="70"/>
    <x v="0"/>
  </r>
  <r>
    <n v="148"/>
    <s v="Judith Santos"/>
    <s v="Male"/>
    <n v="85"/>
    <n v="17"/>
    <n v="85"/>
    <n v="1"/>
    <x v="2"/>
    <n v="87"/>
    <n v="2.5"/>
    <n v="61"/>
    <x v="1"/>
  </r>
  <r>
    <n v="149"/>
    <s v="Michaela Powell"/>
    <s v="Female"/>
    <n v="85"/>
    <n v="12"/>
    <n v="70"/>
    <n v="3"/>
    <x v="0"/>
    <n v="90"/>
    <n v="-5"/>
    <n v="200"/>
    <x v="0"/>
  </r>
  <r>
    <n v="150"/>
    <s v="Lawrence Roberts"/>
    <s v="Female"/>
    <n v="91"/>
    <n v="15"/>
    <n v="88"/>
    <n v="2"/>
    <x v="1"/>
    <n v="87"/>
    <n v="2.8"/>
    <n v="74"/>
    <x v="0"/>
  </r>
  <r>
    <n v="151"/>
    <s v="Nicholas Robinson DDS"/>
    <s v="Male"/>
    <n v="95"/>
    <n v="20"/>
    <n v="86"/>
    <n v="0"/>
    <x v="1"/>
    <n v="85"/>
    <n v="4.8"/>
    <n v="94"/>
    <x v="0"/>
  </r>
  <r>
    <n v="152"/>
    <s v="Jill Smith"/>
    <s v="Male"/>
    <n v="88"/>
    <n v="12"/>
    <n v="60"/>
    <n v="1"/>
    <x v="0"/>
    <n v="72"/>
    <n v="0.5"/>
    <n v="92"/>
    <x v="0"/>
  </r>
  <r>
    <n v="153"/>
    <s v="Michael Burns"/>
    <s v="Female"/>
    <n v="85"/>
    <n v="30"/>
    <n v="82"/>
    <n v="0"/>
    <x v="0"/>
    <n v="90"/>
    <n v="4.7"/>
    <n v="81"/>
    <x v="1"/>
  </r>
  <r>
    <n v="154"/>
    <s v="Adam Weaver"/>
    <s v="Male"/>
    <n v="78"/>
    <n v="20"/>
    <n v="82"/>
    <n v="2"/>
    <x v="2"/>
    <n v="72"/>
    <n v="4.2"/>
    <n v="83"/>
    <x v="1"/>
  </r>
  <r>
    <n v="155"/>
    <s v="Melvin Mcgee"/>
    <s v="Male"/>
    <n v="91"/>
    <n v="8"/>
    <n v="65"/>
    <n v="0"/>
    <x v="0"/>
    <n v="88"/>
    <n v="4"/>
    <n v="60"/>
    <x v="0"/>
  </r>
  <r>
    <n v="156"/>
    <s v="William Banks"/>
    <s v="Female"/>
    <n v="95"/>
    <n v="25"/>
    <n v="77"/>
    <n v="3"/>
    <x v="1"/>
    <n v="78"/>
    <n v="1.2"/>
    <n v="65"/>
    <x v="0"/>
  </r>
  <r>
    <n v="157"/>
    <s v="Dawn Morton"/>
    <s v="Male"/>
    <n v="95"/>
    <n v="22"/>
    <n v="77.598759048603924"/>
    <n v="1"/>
    <x v="1"/>
    <m/>
    <n v="2.5"/>
    <n v="76"/>
    <x v="1"/>
  </r>
  <r>
    <n v="158"/>
    <s v="Frank Dawson"/>
    <s v="Male"/>
    <n v="85.510416666666671"/>
    <n v="15"/>
    <n v="77"/>
    <n v="1"/>
    <x v="2"/>
    <n v="87"/>
    <n v="3.6"/>
    <n v="83"/>
    <x v="1"/>
  </r>
  <r>
    <n v="159"/>
    <s v="Gregory Davila"/>
    <s v="Male"/>
    <n v="78"/>
    <n v="18"/>
    <n v="77"/>
    <n v="2"/>
    <x v="0"/>
    <n v="62"/>
    <n v="0.5"/>
    <n v="64"/>
    <x v="0"/>
  </r>
  <r>
    <n v="160"/>
    <s v="Rebekah Finley"/>
    <s v="Male"/>
    <n v="70"/>
    <n v="15"/>
    <n v="60"/>
    <n v="2"/>
    <x v="1"/>
    <n v="92"/>
    <n v="1.9"/>
    <n v="55"/>
    <x v="0"/>
  </r>
  <r>
    <n v="161"/>
    <s v="Robert Martinez"/>
    <s v="Male"/>
    <n v="95"/>
    <n v="20"/>
    <n v="88"/>
    <n v="0"/>
    <x v="0"/>
    <n v="80"/>
    <n v="1.4"/>
    <n v="80"/>
    <x v="1"/>
  </r>
  <r>
    <n v="162"/>
    <s v="Steven Crawford"/>
    <s v="Female"/>
    <n v="91"/>
    <n v="15"/>
    <n v="85"/>
    <n v="1"/>
    <x v="1"/>
    <n v="92"/>
    <n v="4.2"/>
    <n v="85"/>
    <x v="0"/>
  </r>
  <r>
    <n v="163"/>
    <s v="Leslie King"/>
    <s v="Female"/>
    <n v="92"/>
    <n v="17.630526315789474"/>
    <n v="85"/>
    <n v="1"/>
    <x v="0"/>
    <m/>
    <n v="3.2"/>
    <n v="89"/>
    <x v="0"/>
  </r>
  <r>
    <n v="164"/>
    <s v="George Cannon"/>
    <s v="Male"/>
    <n v="85"/>
    <n v="22"/>
    <n v="70"/>
    <n v="1"/>
    <x v="2"/>
    <n v="72"/>
    <n v="2.9"/>
    <n v="95"/>
    <x v="1"/>
  </r>
  <r>
    <n v="165"/>
    <s v="Adam Carlson"/>
    <s v="Female"/>
    <n v="85"/>
    <n v="22"/>
    <n v="88"/>
    <n v="3"/>
    <x v="3"/>
    <n v="62"/>
    <n v="0.9"/>
    <n v="92"/>
    <x v="1"/>
  </r>
  <r>
    <n v="166"/>
    <s v="Stephanie Lawrence"/>
    <s v="Female"/>
    <n v="90"/>
    <n v="12"/>
    <n v="70"/>
    <n v="2"/>
    <x v="2"/>
    <n v="72"/>
    <n v="0.1"/>
    <n v="80"/>
    <x v="1"/>
  </r>
  <r>
    <n v="167"/>
    <m/>
    <s v="Female"/>
    <n v="88"/>
    <n v="15"/>
    <n v="88"/>
    <n v="2"/>
    <x v="1"/>
    <n v="92"/>
    <n v="3.7"/>
    <n v="90"/>
    <x v="1"/>
  </r>
  <r>
    <n v="168"/>
    <s v="Adam Blackwell"/>
    <s v="Male"/>
    <n v="85"/>
    <n v="30"/>
    <n v="70"/>
    <n v="1"/>
    <x v="2"/>
    <n v="68"/>
    <n v="4.2"/>
    <n v="93"/>
    <x v="0"/>
  </r>
  <r>
    <n v="169"/>
    <s v="Andrew Owens"/>
    <s v="Male"/>
    <n v="78"/>
    <n v="20"/>
    <n v="77"/>
    <n v="1"/>
    <x v="1"/>
    <n v="92"/>
    <n v="0.2"/>
    <n v="62"/>
    <x v="1"/>
  </r>
  <r>
    <n v="170"/>
    <s v="John Sexton"/>
    <s v="Female"/>
    <n v="82"/>
    <n v="8"/>
    <n v="70"/>
    <n v="1"/>
    <x v="1"/>
    <n v="80"/>
    <n v="3.8"/>
    <m/>
    <x v="0"/>
  </r>
  <r>
    <n v="171"/>
    <s v="Jasmine Williams"/>
    <s v="Male"/>
    <n v="95"/>
    <n v="18"/>
    <n v="85"/>
    <n v="1"/>
    <x v="1"/>
    <n v="62"/>
    <n v="3.7"/>
    <n v="74"/>
    <x v="0"/>
  </r>
  <r>
    <n v="172"/>
    <s v="Leon Nguyen"/>
    <s v="Female"/>
    <n v="85"/>
    <n v="30"/>
    <n v="70"/>
    <n v="2"/>
    <x v="0"/>
    <n v="62"/>
    <n v="0.4"/>
    <n v="88"/>
    <x v="1"/>
  </r>
  <r>
    <n v="173"/>
    <s v="John White"/>
    <s v="Female"/>
    <n v="95"/>
    <n v="20"/>
    <n v="85"/>
    <n v="1"/>
    <x v="2"/>
    <n v="85"/>
    <n v="1.5"/>
    <n v="88"/>
    <x v="0"/>
  </r>
  <r>
    <n v="174"/>
    <s v="Justin Martinez"/>
    <s v="Female"/>
    <n v="95"/>
    <n v="17"/>
    <n v="78"/>
    <n v="1"/>
    <x v="2"/>
    <n v="62"/>
    <n v="1.4"/>
    <n v="100"/>
    <x v="1"/>
  </r>
  <r>
    <n v="175"/>
    <s v="Nathaniel Kemp"/>
    <s v="Female"/>
    <n v="85.510416666666671"/>
    <n v="12"/>
    <n v="65"/>
    <n v="1"/>
    <x v="0"/>
    <n v="88"/>
    <n v="3.4"/>
    <n v="78"/>
    <x v="1"/>
  </r>
  <r>
    <n v="176"/>
    <s v="Jacob Murray"/>
    <s v="Male"/>
    <n v="92"/>
    <n v="30"/>
    <n v="88"/>
    <n v="0"/>
    <x v="2"/>
    <n v="80"/>
    <n v="3"/>
    <n v="93"/>
    <x v="0"/>
  </r>
  <r>
    <n v="177"/>
    <s v="Anthony Green"/>
    <s v="Female"/>
    <n v="85"/>
    <n v="20"/>
    <n v="86"/>
    <n v="0"/>
    <x v="2"/>
    <n v="90"/>
    <n v="2"/>
    <n v="91"/>
    <x v="0"/>
  </r>
  <r>
    <n v="178"/>
    <s v="Trevor Freeman"/>
    <s v="Male"/>
    <n v="85"/>
    <n v="17.630526315789474"/>
    <n v="77"/>
    <n v="2"/>
    <x v="1"/>
    <n v="72"/>
    <m/>
    <n v="99"/>
    <x v="0"/>
  </r>
  <r>
    <n v="179"/>
    <s v="Michael Smith"/>
    <s v="Male"/>
    <n v="91"/>
    <n v="18"/>
    <n v="77"/>
    <n v="3"/>
    <x v="0"/>
    <n v="68"/>
    <n v="4.3"/>
    <n v="78"/>
    <x v="1"/>
  </r>
  <r>
    <n v="180"/>
    <s v="William Hogan"/>
    <s v="Male"/>
    <n v="95"/>
    <n v="30"/>
    <n v="85"/>
    <n v="2"/>
    <x v="2"/>
    <n v="85"/>
    <n v="4.5"/>
    <n v="60"/>
    <x v="1"/>
  </r>
  <r>
    <n v="181"/>
    <m/>
    <s v="Male"/>
    <n v="90"/>
    <n v="25"/>
    <n v="65"/>
    <n v="3"/>
    <x v="1"/>
    <n v="80"/>
    <n v="1.8"/>
    <n v="86"/>
    <x v="0"/>
  </r>
  <r>
    <n v="182"/>
    <m/>
    <s v="Male"/>
    <n v="91"/>
    <n v="20"/>
    <n v="85"/>
    <n v="2"/>
    <x v="1"/>
    <n v="78"/>
    <n v="2.6"/>
    <n v="99"/>
    <x v="0"/>
  </r>
  <r>
    <n v="183"/>
    <s v="Joshua Juarez"/>
    <s v="Male"/>
    <n v="95"/>
    <n v="20"/>
    <n v="77"/>
    <n v="1"/>
    <x v="3"/>
    <n v="72"/>
    <n v="1.7"/>
    <n v="99"/>
    <x v="1"/>
  </r>
  <r>
    <n v="184"/>
    <s v="Keith Wu"/>
    <s v="Female"/>
    <n v="82"/>
    <n v="15"/>
    <n v="85"/>
    <n v="2"/>
    <x v="0"/>
    <n v="85"/>
    <n v="0.8"/>
    <n v="70"/>
    <x v="1"/>
  </r>
  <r>
    <n v="185"/>
    <s v="Ryan Williams"/>
    <s v="Female"/>
    <n v="90"/>
    <n v="18"/>
    <n v="90"/>
    <n v="1"/>
    <x v="3"/>
    <n v="68"/>
    <n v="3.1"/>
    <n v="89"/>
    <x v="2"/>
  </r>
  <r>
    <n v="186"/>
    <s v="Ronald Stewart"/>
    <s v="Male"/>
    <n v="91"/>
    <n v="22"/>
    <n v="65"/>
    <n v="0"/>
    <x v="2"/>
    <n v="88"/>
    <n v="3.6"/>
    <n v="88"/>
    <x v="0"/>
  </r>
  <r>
    <n v="187"/>
    <s v="Ronald Schmidt"/>
    <s v="Male"/>
    <n v="90"/>
    <n v="15"/>
    <n v="86"/>
    <n v="2"/>
    <x v="2"/>
    <n v="92"/>
    <n v="3.8"/>
    <n v="76"/>
    <x v="1"/>
  </r>
  <r>
    <n v="188"/>
    <s v="Courtney Bradley"/>
    <s v="Female"/>
    <n v="88"/>
    <n v="17"/>
    <n v="90"/>
    <n v="0"/>
    <x v="1"/>
    <n v="78"/>
    <n v="0.4"/>
    <n v="53"/>
    <x v="1"/>
  </r>
  <r>
    <n v="189"/>
    <s v="Deanna Gonzalez"/>
    <s v="Female"/>
    <n v="85"/>
    <n v="17"/>
    <n v="90"/>
    <n v="1"/>
    <x v="2"/>
    <n v="68"/>
    <n v="1.6"/>
    <n v="95"/>
    <x v="0"/>
  </r>
  <r>
    <n v="190"/>
    <s v="Darrell Adams"/>
    <s v="Female"/>
    <n v="78"/>
    <n v="30"/>
    <n v="70"/>
    <n v="2"/>
    <x v="0"/>
    <n v="90"/>
    <n v="1.2"/>
    <n v="57"/>
    <x v="0"/>
  </r>
  <r>
    <n v="191"/>
    <s v="Michael Mata"/>
    <s v="Male"/>
    <n v="78"/>
    <n v="20"/>
    <n v="78"/>
    <n v="2"/>
    <x v="1"/>
    <n v="88"/>
    <n v="2.1"/>
    <n v="60"/>
    <x v="2"/>
  </r>
  <r>
    <n v="192"/>
    <s v="Anthony Dunn"/>
    <s v="Male"/>
    <n v="78"/>
    <n v="17"/>
    <n v="77.598759048603924"/>
    <n v="1"/>
    <x v="1"/>
    <n v="85"/>
    <n v="2.5"/>
    <n v="55"/>
    <x v="0"/>
  </r>
  <r>
    <n v="193"/>
    <s v="Jonathan Hodges"/>
    <s v="Female"/>
    <n v="92"/>
    <n v="25"/>
    <n v="86"/>
    <n v="1"/>
    <x v="0"/>
    <n v="80"/>
    <n v="1.4"/>
    <n v="88"/>
    <x v="0"/>
  </r>
  <r>
    <n v="194"/>
    <s v="Jill Williams"/>
    <s v="Male"/>
    <n v="90"/>
    <n v="8"/>
    <n v="65"/>
    <n v="2"/>
    <x v="2"/>
    <n v="90"/>
    <n v="3.8"/>
    <n v="73"/>
    <x v="1"/>
  </r>
  <r>
    <n v="195"/>
    <s v="Julia Russell"/>
    <s v="Male"/>
    <n v="91"/>
    <n v="12"/>
    <n v="90"/>
    <n v="1"/>
    <x v="2"/>
    <n v="85"/>
    <n v="0.4"/>
    <n v="82"/>
    <x v="0"/>
  </r>
  <r>
    <n v="196"/>
    <s v="Shirley Jackson"/>
    <s v="Male"/>
    <n v="78"/>
    <n v="20"/>
    <n v="60"/>
    <n v="1"/>
    <x v="1"/>
    <n v="72"/>
    <n v="4.7"/>
    <n v="98"/>
    <x v="1"/>
  </r>
  <r>
    <n v="197"/>
    <s v="Tonya Thompson"/>
    <s v="Female"/>
    <n v="82"/>
    <n v="15"/>
    <n v="78"/>
    <n v="1"/>
    <x v="0"/>
    <n v="90"/>
    <n v="4"/>
    <n v="83"/>
    <x v="0"/>
  </r>
  <r>
    <n v="198"/>
    <s v="Brandon Williamson"/>
    <s v="Male"/>
    <n v="95"/>
    <n v="17.630526315789474"/>
    <n v="88"/>
    <n v="0"/>
    <x v="1"/>
    <m/>
    <m/>
    <n v="69"/>
    <x v="0"/>
  </r>
  <r>
    <n v="199"/>
    <s v="Joseph Davis"/>
    <s v="Female"/>
    <n v="91"/>
    <n v="18"/>
    <n v="77.598759048603924"/>
    <n v="1"/>
    <x v="1"/>
    <n v="90"/>
    <n v="3.4"/>
    <n v="76"/>
    <x v="0"/>
  </r>
  <r>
    <n v="200"/>
    <s v="Elizabeth Andersen"/>
    <s v="Female"/>
    <n v="88"/>
    <n v="22"/>
    <n v="86"/>
    <n v="3"/>
    <x v="2"/>
    <n v="80"/>
    <n v="2.9"/>
    <n v="60"/>
    <x v="0"/>
  </r>
  <r>
    <n v="201"/>
    <s v="Jeffrey Meyers"/>
    <s v="Unknown"/>
    <n v="85"/>
    <n v="22"/>
    <n v="85"/>
    <n v="3"/>
    <x v="0"/>
    <n v="78"/>
    <n v="1.6"/>
    <n v="59"/>
    <x v="0"/>
  </r>
  <r>
    <n v="202"/>
    <s v="Christopher Jones"/>
    <s v="Female"/>
    <n v="82"/>
    <n v="22"/>
    <n v="77"/>
    <n v="1"/>
    <x v="2"/>
    <n v="68"/>
    <n v="2.6"/>
    <n v="85"/>
    <x v="0"/>
  </r>
  <r>
    <n v="203"/>
    <s v="Aimee Rogers"/>
    <s v="Female"/>
    <n v="95"/>
    <n v="10"/>
    <n v="77"/>
    <n v="2"/>
    <x v="1"/>
    <n v="72"/>
    <m/>
    <n v="99"/>
    <x v="0"/>
  </r>
  <r>
    <n v="204"/>
    <s v="Alexis Bates"/>
    <s v="Male"/>
    <n v="92"/>
    <n v="18"/>
    <n v="70"/>
    <n v="2"/>
    <x v="0"/>
    <n v="85"/>
    <n v="3.9"/>
    <n v="95"/>
    <x v="1"/>
  </r>
  <r>
    <n v="205"/>
    <s v="Michael Evans"/>
    <s v="Female"/>
    <n v="85"/>
    <n v="30"/>
    <n v="70"/>
    <n v="2"/>
    <x v="1"/>
    <n v="87"/>
    <m/>
    <m/>
    <x v="0"/>
  </r>
  <r>
    <n v="206"/>
    <s v="Omar Gonzalez"/>
    <s v="Female"/>
    <n v="78"/>
    <n v="18"/>
    <n v="78"/>
    <n v="2"/>
    <x v="2"/>
    <n v="87"/>
    <n v="1.7"/>
    <n v="78"/>
    <x v="0"/>
  </r>
  <r>
    <n v="207"/>
    <s v="Melissa Perry"/>
    <s v="Male"/>
    <n v="92"/>
    <n v="12"/>
    <n v="82"/>
    <n v="2"/>
    <x v="2"/>
    <n v="85"/>
    <n v="0.7"/>
    <n v="89"/>
    <x v="1"/>
  </r>
  <r>
    <n v="208"/>
    <s v="Dawn Torres"/>
    <s v="Male"/>
    <n v="82"/>
    <n v="25"/>
    <n v="90"/>
    <n v="1"/>
    <x v="0"/>
    <n v="62"/>
    <n v="1.7"/>
    <n v="80"/>
    <x v="1"/>
  </r>
  <r>
    <n v="209"/>
    <s v="Timothy Dean"/>
    <s v="Male"/>
    <n v="82"/>
    <n v="17.630526315789474"/>
    <n v="60"/>
    <n v="1"/>
    <x v="1"/>
    <n v="92"/>
    <n v="3.8"/>
    <n v="68"/>
    <x v="0"/>
  </r>
  <r>
    <n v="210"/>
    <s v="Anna Rollins MD"/>
    <s v="Male"/>
    <n v="90"/>
    <n v="22"/>
    <n v="90"/>
    <n v="2"/>
    <x v="2"/>
    <n v="80"/>
    <n v="4.5999999999999996"/>
    <n v="61"/>
    <x v="0"/>
  </r>
  <r>
    <n v="211"/>
    <s v="Timothy Barrera"/>
    <s v="Male"/>
    <n v="70"/>
    <n v="17"/>
    <n v="65"/>
    <n v="2"/>
    <x v="0"/>
    <n v="80"/>
    <n v="1.5"/>
    <m/>
    <x v="1"/>
  </r>
  <r>
    <n v="212"/>
    <s v="Susan Morris"/>
    <s v="Female"/>
    <n v="85"/>
    <n v="12"/>
    <n v="70"/>
    <n v="1"/>
    <x v="0"/>
    <n v="72"/>
    <n v="2.2999999999999998"/>
    <n v="62"/>
    <x v="1"/>
  </r>
  <r>
    <n v="213"/>
    <s v="Gordon Merritt"/>
    <s v="Male"/>
    <n v="85"/>
    <n v="18"/>
    <n v="65"/>
    <n v="1"/>
    <x v="2"/>
    <n v="90"/>
    <n v="4"/>
    <n v="86"/>
    <x v="1"/>
  </r>
  <r>
    <n v="214"/>
    <s v="Kristy Rhodes"/>
    <s v="Female"/>
    <n v="70"/>
    <n v="12"/>
    <n v="88"/>
    <n v="2"/>
    <x v="1"/>
    <n v="87"/>
    <n v="0.9"/>
    <n v="58"/>
    <x v="0"/>
  </r>
  <r>
    <n v="215"/>
    <s v="Kristi Cross"/>
    <s v="Male"/>
    <n v="85"/>
    <n v="18"/>
    <n v="60"/>
    <n v="3"/>
    <x v="1"/>
    <n v="85"/>
    <n v="4.8"/>
    <n v="69"/>
    <x v="1"/>
  </r>
  <r>
    <n v="216"/>
    <s v="Ms. Marissa Ramirez"/>
    <s v="Female"/>
    <n v="92"/>
    <n v="15"/>
    <n v="85"/>
    <n v="1"/>
    <x v="3"/>
    <n v="68"/>
    <n v="2"/>
    <n v="82"/>
    <x v="0"/>
  </r>
  <r>
    <n v="217"/>
    <s v="Paul Hickman"/>
    <s v="Unknown"/>
    <n v="95"/>
    <n v="22"/>
    <n v="90"/>
    <n v="3"/>
    <x v="0"/>
    <n v="78"/>
    <n v="0.8"/>
    <n v="97"/>
    <x v="0"/>
  </r>
  <r>
    <n v="218"/>
    <s v="Mrs. Kathy Woodward"/>
    <s v="Female"/>
    <n v="82"/>
    <n v="25"/>
    <n v="90"/>
    <n v="3"/>
    <x v="0"/>
    <n v="72"/>
    <n v="2.2000000000000002"/>
    <n v="95"/>
    <x v="0"/>
  </r>
  <r>
    <n v="219"/>
    <s v="Alexis Horn"/>
    <s v="Male"/>
    <n v="85"/>
    <n v="12"/>
    <n v="70"/>
    <n v="3"/>
    <x v="2"/>
    <n v="72"/>
    <n v="0.7"/>
    <n v="70"/>
    <x v="0"/>
  </r>
  <r>
    <n v="220"/>
    <s v="Shannon Harris DDS"/>
    <s v="Male"/>
    <n v="91"/>
    <n v="17"/>
    <n v="85"/>
    <n v="2"/>
    <x v="1"/>
    <n v="80"/>
    <n v="2.2999999999999998"/>
    <n v="82"/>
    <x v="0"/>
  </r>
  <r>
    <n v="221"/>
    <s v="Alicia Ortiz"/>
    <s v="Male"/>
    <n v="82"/>
    <n v="17"/>
    <n v="82"/>
    <n v="1"/>
    <x v="1"/>
    <n v="85"/>
    <n v="-5"/>
    <n v="200"/>
    <x v="1"/>
  </r>
  <r>
    <n v="222"/>
    <s v="Steven Wood"/>
    <s v="Male"/>
    <n v="70"/>
    <n v="30"/>
    <n v="85"/>
    <n v="2"/>
    <x v="0"/>
    <m/>
    <n v="4.9000000000000004"/>
    <n v="80"/>
    <x v="1"/>
  </r>
  <r>
    <n v="223"/>
    <s v="Alexis Walton"/>
    <s v="Female"/>
    <n v="78"/>
    <n v="10"/>
    <n v="60"/>
    <n v="1"/>
    <x v="1"/>
    <m/>
    <n v="4.3"/>
    <n v="74"/>
    <x v="0"/>
  </r>
  <r>
    <n v="224"/>
    <s v="Martin Mcknight"/>
    <s v="Male"/>
    <n v="95"/>
    <n v="20"/>
    <n v="65"/>
    <n v="2"/>
    <x v="1"/>
    <n v="72"/>
    <n v="0.6"/>
    <n v="64"/>
    <x v="1"/>
  </r>
  <r>
    <n v="225"/>
    <s v="Gina Palmer"/>
    <s v="Female"/>
    <n v="85"/>
    <n v="12"/>
    <n v="60"/>
    <n v="2"/>
    <x v="1"/>
    <n v="92"/>
    <n v="1.2"/>
    <n v="72"/>
    <x v="1"/>
  </r>
  <r>
    <n v="226"/>
    <s v="Jean Moreno"/>
    <s v="Male"/>
    <n v="90"/>
    <n v="15"/>
    <n v="60"/>
    <n v="3"/>
    <x v="0"/>
    <m/>
    <n v="1"/>
    <n v="56"/>
    <x v="1"/>
  </r>
  <r>
    <n v="227"/>
    <s v="David Anderson"/>
    <s v="Male"/>
    <n v="92"/>
    <n v="15"/>
    <n v="60"/>
    <n v="1"/>
    <x v="0"/>
    <n v="72"/>
    <n v="1.1000000000000001"/>
    <n v="99"/>
    <x v="1"/>
  </r>
  <r>
    <n v="228"/>
    <s v="Brian Huffman"/>
    <s v="Female"/>
    <n v="92"/>
    <n v="22"/>
    <n v="77.598759048603924"/>
    <n v="3"/>
    <x v="2"/>
    <n v="90"/>
    <n v="1.2"/>
    <n v="59"/>
    <x v="1"/>
  </r>
  <r>
    <n v="229"/>
    <s v="Jose Liu"/>
    <s v="Unknown"/>
    <n v="88"/>
    <n v="15"/>
    <n v="70"/>
    <n v="3"/>
    <x v="2"/>
    <n v="68"/>
    <n v="3.1"/>
    <n v="77"/>
    <x v="0"/>
  </r>
  <r>
    <n v="230"/>
    <s v="Cathy Pratt"/>
    <s v="Female"/>
    <n v="85.510416666666671"/>
    <n v="12"/>
    <n v="88"/>
    <n v="0"/>
    <x v="1"/>
    <n v="68"/>
    <n v="1.5"/>
    <n v="61"/>
    <x v="0"/>
  </r>
  <r>
    <n v="231"/>
    <s v="Kathy Sandoval"/>
    <s v="Male"/>
    <n v="88"/>
    <n v="10"/>
    <n v="77"/>
    <n v="1"/>
    <x v="2"/>
    <n v="62"/>
    <n v="4.8"/>
    <n v="85"/>
    <x v="1"/>
  </r>
  <r>
    <n v="232"/>
    <s v="Michael Webb"/>
    <s v="Male"/>
    <n v="88"/>
    <n v="25"/>
    <n v="88"/>
    <n v="2"/>
    <x v="1"/>
    <n v="90"/>
    <n v="0.5"/>
    <n v="96"/>
    <x v="1"/>
  </r>
  <r>
    <n v="233"/>
    <s v="Ronnie Taylor"/>
    <s v="Female"/>
    <n v="70"/>
    <n v="22"/>
    <n v="86"/>
    <n v="1"/>
    <x v="0"/>
    <n v="92"/>
    <n v="4"/>
    <n v="87"/>
    <x v="1"/>
  </r>
  <r>
    <n v="234"/>
    <s v="Matthew Miller"/>
    <s v="Male"/>
    <n v="95"/>
    <n v="18"/>
    <n v="78"/>
    <n v="3"/>
    <x v="0"/>
    <n v="87"/>
    <n v="3.7"/>
    <n v="98"/>
    <x v="0"/>
  </r>
  <r>
    <n v="235"/>
    <s v="Shelly Hurley"/>
    <s v="Male"/>
    <n v="70"/>
    <n v="25"/>
    <n v="70"/>
    <n v="1"/>
    <x v="1"/>
    <n v="62"/>
    <n v="2.2999999999999998"/>
    <n v="91"/>
    <x v="0"/>
  </r>
  <r>
    <n v="236"/>
    <s v="Mr. Martin Dominguez MD"/>
    <s v="Female"/>
    <n v="95"/>
    <n v="12"/>
    <n v="77"/>
    <n v="1"/>
    <x v="0"/>
    <n v="78"/>
    <n v="3.8"/>
    <n v="70"/>
    <x v="1"/>
  </r>
  <r>
    <n v="237"/>
    <s v="Jennifer Wiggins"/>
    <s v="Female"/>
    <n v="70"/>
    <n v="17.630526315789474"/>
    <n v="86"/>
    <n v="3"/>
    <x v="2"/>
    <n v="68"/>
    <n v="0.1"/>
    <n v="85"/>
    <x v="0"/>
  </r>
  <r>
    <n v="238"/>
    <s v="Anthony Smith"/>
    <s v="Male"/>
    <n v="92"/>
    <n v="30"/>
    <n v="90"/>
    <n v="0"/>
    <x v="2"/>
    <n v="92"/>
    <n v="2.5"/>
    <n v="91"/>
    <x v="0"/>
  </r>
  <r>
    <n v="239"/>
    <s v="John Lopez"/>
    <s v="Female"/>
    <n v="85"/>
    <n v="17"/>
    <n v="65"/>
    <n v="1"/>
    <x v="0"/>
    <n v="68"/>
    <n v="3.6"/>
    <n v="81"/>
    <x v="1"/>
  </r>
  <r>
    <n v="240"/>
    <s v="Nathan Rodgers"/>
    <s v="Male"/>
    <n v="82"/>
    <n v="15"/>
    <n v="85"/>
    <n v="1"/>
    <x v="0"/>
    <n v="62"/>
    <n v="0.7"/>
    <n v="90"/>
    <x v="1"/>
  </r>
  <r>
    <n v="241"/>
    <s v="Martin Walker"/>
    <s v="Male"/>
    <n v="85"/>
    <n v="25"/>
    <n v="70"/>
    <n v="1"/>
    <x v="1"/>
    <n v="80"/>
    <n v="3.1"/>
    <n v="92"/>
    <x v="0"/>
  </r>
  <r>
    <n v="242"/>
    <s v="Jesus Wood"/>
    <s v="Male"/>
    <n v="85"/>
    <n v="12"/>
    <n v="70"/>
    <n v="0"/>
    <x v="0"/>
    <n v="80"/>
    <n v="2.6"/>
    <n v="67"/>
    <x v="0"/>
  </r>
  <r>
    <n v="243"/>
    <s v="Kelly Bell"/>
    <s v="Female"/>
    <n v="78"/>
    <n v="20"/>
    <n v="85"/>
    <n v="2"/>
    <x v="0"/>
    <n v="92"/>
    <n v="1"/>
    <n v="83"/>
    <x v="0"/>
  </r>
  <r>
    <n v="244"/>
    <s v="Kathryn Randall"/>
    <s v="Female"/>
    <n v="70"/>
    <n v="20"/>
    <n v="88"/>
    <n v="0"/>
    <x v="1"/>
    <n v="88"/>
    <n v="1.2"/>
    <n v="94"/>
    <x v="1"/>
  </r>
  <r>
    <n v="245"/>
    <s v="Sarah Norris"/>
    <s v="Male"/>
    <n v="85"/>
    <n v="20"/>
    <n v="60"/>
    <n v="0"/>
    <x v="1"/>
    <n v="72"/>
    <n v="2.4"/>
    <n v="90"/>
    <x v="1"/>
  </r>
  <r>
    <n v="246"/>
    <s v="Matthew Adams"/>
    <s v="Male"/>
    <n v="85"/>
    <n v="8"/>
    <n v="77.598759048603924"/>
    <n v="3"/>
    <x v="0"/>
    <n v="72"/>
    <n v="4.5999999999999996"/>
    <n v="64"/>
    <x v="1"/>
  </r>
  <r>
    <n v="247"/>
    <s v="William Wade"/>
    <s v="Female"/>
    <n v="85"/>
    <n v="20"/>
    <n v="82"/>
    <n v="2"/>
    <x v="2"/>
    <n v="80"/>
    <n v="0.9"/>
    <n v="70"/>
    <x v="1"/>
  </r>
  <r>
    <n v="248"/>
    <s v="Brian Castro"/>
    <s v="Male"/>
    <n v="85.510416666666671"/>
    <n v="17.630526315789474"/>
    <n v="82"/>
    <n v="0"/>
    <x v="2"/>
    <n v="92"/>
    <n v="2.8"/>
    <n v="74"/>
    <x v="0"/>
  </r>
  <r>
    <n v="249"/>
    <s v="Teresa Sanders"/>
    <s v="Male"/>
    <n v="90"/>
    <n v="12"/>
    <n v="88"/>
    <n v="1"/>
    <x v="0"/>
    <n v="62"/>
    <n v="1.2"/>
    <n v="54"/>
    <x v="0"/>
  </r>
  <r>
    <n v="250"/>
    <s v="Richard Oneal"/>
    <s v="Female"/>
    <n v="85"/>
    <n v="18"/>
    <n v="77"/>
    <n v="1"/>
    <x v="0"/>
    <n v="90"/>
    <n v="2.8"/>
    <n v="74"/>
    <x v="0"/>
  </r>
  <r>
    <n v="251"/>
    <s v="Christine Cooper"/>
    <s v="Female"/>
    <n v="90"/>
    <n v="22"/>
    <n v="82"/>
    <n v="3"/>
    <x v="2"/>
    <n v="87"/>
    <n v="0.4"/>
    <n v="59"/>
    <x v="0"/>
  </r>
  <r>
    <n v="252"/>
    <s v="Michael Foster"/>
    <s v="Female"/>
    <n v="95"/>
    <n v="30"/>
    <n v="77.598759048603924"/>
    <n v="2"/>
    <x v="0"/>
    <n v="85"/>
    <n v="-5"/>
    <n v="200"/>
    <x v="0"/>
  </r>
  <r>
    <n v="253"/>
    <s v="Loretta Gonzalez"/>
    <s v="Male"/>
    <n v="90"/>
    <n v="10"/>
    <n v="60"/>
    <n v="1"/>
    <x v="2"/>
    <n v="72"/>
    <n v="2.6"/>
    <n v="56"/>
    <x v="1"/>
  </r>
  <r>
    <n v="254"/>
    <s v="Douglas Ingram"/>
    <s v="Female"/>
    <n v="82"/>
    <n v="20"/>
    <n v="86"/>
    <n v="3"/>
    <x v="1"/>
    <n v="62"/>
    <n v="0.1"/>
    <n v="76"/>
    <x v="0"/>
  </r>
  <r>
    <n v="255"/>
    <s v="Randy Anderson"/>
    <s v="Male"/>
    <n v="91"/>
    <n v="12"/>
    <n v="65"/>
    <n v="0"/>
    <x v="0"/>
    <n v="68"/>
    <n v="1.3"/>
    <n v="67"/>
    <x v="0"/>
  </r>
  <r>
    <n v="256"/>
    <s v="Donna Shaw"/>
    <s v="Male"/>
    <n v="78"/>
    <n v="8"/>
    <n v="82"/>
    <n v="0"/>
    <x v="1"/>
    <n v="78"/>
    <n v="3.9"/>
    <n v="73"/>
    <x v="0"/>
  </r>
  <r>
    <n v="257"/>
    <s v="Joseph Holt"/>
    <s v="Female"/>
    <n v="91"/>
    <n v="22"/>
    <n v="90"/>
    <n v="1"/>
    <x v="0"/>
    <n v="68"/>
    <m/>
    <n v="75"/>
    <x v="0"/>
  </r>
  <r>
    <n v="258"/>
    <s v="Taylor Acosta"/>
    <s v="Female"/>
    <n v="85"/>
    <n v="30"/>
    <n v="60"/>
    <n v="3"/>
    <x v="0"/>
    <n v="85"/>
    <n v="1.6"/>
    <n v="94"/>
    <x v="1"/>
  </r>
  <r>
    <n v="259"/>
    <s v="Danielle Scott"/>
    <s v="Female"/>
    <n v="78"/>
    <n v="8"/>
    <n v="88"/>
    <n v="2"/>
    <x v="2"/>
    <n v="78"/>
    <n v="4.8"/>
    <n v="100"/>
    <x v="1"/>
  </r>
  <r>
    <n v="260"/>
    <s v="Melissa Aguirre"/>
    <s v="Female"/>
    <n v="88"/>
    <n v="8"/>
    <n v="88"/>
    <n v="2"/>
    <x v="2"/>
    <n v="92"/>
    <n v="3"/>
    <n v="84"/>
    <x v="2"/>
  </r>
  <r>
    <n v="261"/>
    <s v="Cassandra Snyder"/>
    <s v="Female"/>
    <n v="92"/>
    <n v="17"/>
    <n v="82"/>
    <n v="2"/>
    <x v="1"/>
    <m/>
    <n v="0.7"/>
    <n v="69"/>
    <x v="1"/>
  </r>
  <r>
    <n v="262"/>
    <s v="Kimberly Lambert"/>
    <s v="Male"/>
    <n v="70"/>
    <n v="8"/>
    <n v="85"/>
    <n v="1"/>
    <x v="2"/>
    <n v="78"/>
    <n v="2.9"/>
    <n v="84"/>
    <x v="0"/>
  </r>
  <r>
    <n v="263"/>
    <s v="Rebecca Mendoza DDS"/>
    <s v="Male"/>
    <n v="95"/>
    <n v="12"/>
    <n v="86"/>
    <n v="2"/>
    <x v="0"/>
    <n v="92"/>
    <n v="3.3"/>
    <n v="72"/>
    <x v="1"/>
  </r>
  <r>
    <n v="264"/>
    <s v="Michael Anderson"/>
    <s v="Female"/>
    <n v="95"/>
    <n v="8"/>
    <n v="85"/>
    <n v="1"/>
    <x v="0"/>
    <n v="85"/>
    <n v="1.1000000000000001"/>
    <n v="97"/>
    <x v="1"/>
  </r>
  <r>
    <n v="265"/>
    <s v="Hannah Gentry"/>
    <s v="Female"/>
    <n v="70"/>
    <n v="17"/>
    <n v="86"/>
    <n v="2"/>
    <x v="0"/>
    <n v="90"/>
    <n v="5"/>
    <n v="80"/>
    <x v="1"/>
  </r>
  <r>
    <n v="266"/>
    <s v="Patrick Reed"/>
    <s v="Female"/>
    <n v="90"/>
    <n v="20"/>
    <n v="65"/>
    <n v="1"/>
    <x v="1"/>
    <n v="90"/>
    <n v="2.2999999999999998"/>
    <n v="63"/>
    <x v="0"/>
  </r>
  <r>
    <n v="267"/>
    <s v="Tiffany Huff"/>
    <s v="Female"/>
    <n v="90"/>
    <n v="17.630526315789474"/>
    <n v="77"/>
    <n v="1"/>
    <x v="0"/>
    <n v="85"/>
    <n v="0.2"/>
    <n v="95"/>
    <x v="1"/>
  </r>
  <r>
    <n v="268"/>
    <s v="Thomas Lee"/>
    <s v="Female"/>
    <n v="90"/>
    <n v="10"/>
    <n v="90"/>
    <n v="2"/>
    <x v="0"/>
    <n v="72"/>
    <n v="0.8"/>
    <n v="85"/>
    <x v="0"/>
  </r>
  <r>
    <n v="269"/>
    <s v="Justin Clark"/>
    <s v="Male"/>
    <n v="70"/>
    <n v="10"/>
    <n v="65"/>
    <n v="1"/>
    <x v="1"/>
    <n v="80"/>
    <n v="3.7"/>
    <n v="62"/>
    <x v="0"/>
  </r>
  <r>
    <n v="270"/>
    <s v="Michael Martinez"/>
    <s v="Female"/>
    <n v="85"/>
    <n v="25"/>
    <n v="90"/>
    <n v="2"/>
    <x v="2"/>
    <n v="87"/>
    <n v="2.9"/>
    <n v="84"/>
    <x v="1"/>
  </r>
  <r>
    <n v="271"/>
    <s v="Vincent Smith"/>
    <s v="Female"/>
    <n v="85.510416666666671"/>
    <n v="17"/>
    <n v="85"/>
    <n v="2"/>
    <x v="2"/>
    <n v="78"/>
    <n v="2.6"/>
    <n v="90"/>
    <x v="0"/>
  </r>
  <r>
    <n v="272"/>
    <s v="Sean Hull"/>
    <s v="Female"/>
    <n v="91"/>
    <n v="20"/>
    <n v="88"/>
    <n v="1"/>
    <x v="1"/>
    <n v="88"/>
    <n v="0.9"/>
    <n v="93"/>
    <x v="0"/>
  </r>
  <r>
    <n v="273"/>
    <s v="Sarah Welch"/>
    <s v="Male"/>
    <n v="95"/>
    <n v="20"/>
    <n v="90"/>
    <n v="2"/>
    <x v="0"/>
    <n v="68"/>
    <n v="1.9"/>
    <n v="59"/>
    <x v="0"/>
  </r>
  <r>
    <n v="274"/>
    <s v="Mr. Stephen Gilmore"/>
    <s v="Male"/>
    <n v="91"/>
    <n v="8"/>
    <n v="60"/>
    <n v="0"/>
    <x v="1"/>
    <n v="72"/>
    <n v="3.5"/>
    <n v="91"/>
    <x v="1"/>
  </r>
  <r>
    <n v="275"/>
    <s v="Barry Parker"/>
    <s v="Female"/>
    <n v="85.510416666666671"/>
    <n v="10"/>
    <n v="65"/>
    <n v="1"/>
    <x v="1"/>
    <n v="88"/>
    <m/>
    <n v="72"/>
    <x v="1"/>
  </r>
  <r>
    <n v="276"/>
    <s v="Joshua Kane"/>
    <s v="Male"/>
    <n v="92"/>
    <n v="8"/>
    <n v="70"/>
    <n v="2"/>
    <x v="2"/>
    <n v="78"/>
    <n v="2"/>
    <n v="81"/>
    <x v="0"/>
  </r>
  <r>
    <n v="277"/>
    <s v="Anthony Wright"/>
    <s v="Female"/>
    <n v="78"/>
    <n v="20"/>
    <n v="86"/>
    <n v="1"/>
    <x v="0"/>
    <n v="85"/>
    <n v="0.2"/>
    <n v="64"/>
    <x v="0"/>
  </r>
  <r>
    <n v="278"/>
    <s v="Nathaniel Lopez"/>
    <s v="Female"/>
    <n v="91"/>
    <n v="17"/>
    <n v="70"/>
    <n v="2"/>
    <x v="0"/>
    <n v="88"/>
    <n v="0.6"/>
    <n v="99"/>
    <x v="0"/>
  </r>
  <r>
    <n v="279"/>
    <s v="Darlene Fletcher"/>
    <s v="Male"/>
    <n v="85"/>
    <n v="12"/>
    <n v="90"/>
    <n v="0"/>
    <x v="0"/>
    <n v="92"/>
    <n v="1.5"/>
    <m/>
    <x v="0"/>
  </r>
  <r>
    <n v="280"/>
    <s v="Christopher Moore"/>
    <s v="Female"/>
    <n v="90"/>
    <n v="17"/>
    <n v="85"/>
    <n v="3"/>
    <x v="0"/>
    <n v="88"/>
    <n v="3.4"/>
    <n v="95"/>
    <x v="0"/>
  </r>
  <r>
    <n v="281"/>
    <s v="Benjamin White"/>
    <s v="Male"/>
    <n v="92"/>
    <n v="25"/>
    <n v="78"/>
    <n v="3"/>
    <x v="1"/>
    <n v="72"/>
    <m/>
    <n v="84"/>
    <x v="1"/>
  </r>
  <r>
    <n v="282"/>
    <s v="Jenny Coleman"/>
    <s v="Female"/>
    <n v="88"/>
    <n v="22"/>
    <n v="82"/>
    <n v="1"/>
    <x v="2"/>
    <n v="87"/>
    <n v="0.7"/>
    <n v="98"/>
    <x v="0"/>
  </r>
  <r>
    <n v="283"/>
    <s v="Michael Gomez"/>
    <s v="Female"/>
    <n v="78"/>
    <n v="10"/>
    <n v="90"/>
    <n v="0"/>
    <x v="2"/>
    <n v="90"/>
    <n v="4.0999999999999996"/>
    <n v="98"/>
    <x v="0"/>
  </r>
  <r>
    <n v="284"/>
    <s v="Caleb Serrano"/>
    <s v="Male"/>
    <n v="91"/>
    <n v="18"/>
    <n v="60"/>
    <n v="0"/>
    <x v="1"/>
    <n v="87"/>
    <n v="3.2"/>
    <n v="99"/>
    <x v="1"/>
  </r>
  <r>
    <n v="285"/>
    <s v="William Carlson"/>
    <s v="Female"/>
    <n v="95"/>
    <n v="17"/>
    <n v="77"/>
    <n v="1"/>
    <x v="2"/>
    <n v="80"/>
    <n v="4.3"/>
    <n v="96"/>
    <x v="1"/>
  </r>
  <r>
    <n v="286"/>
    <s v="Timothy Pruitt"/>
    <s v="Female"/>
    <n v="90"/>
    <n v="12"/>
    <n v="60"/>
    <n v="3"/>
    <x v="1"/>
    <n v="92"/>
    <n v="2.5"/>
    <n v="70"/>
    <x v="0"/>
  </r>
  <r>
    <n v="287"/>
    <s v="Mario Johnston"/>
    <s v="Male"/>
    <n v="91"/>
    <n v="17"/>
    <n v="88"/>
    <n v="1"/>
    <x v="0"/>
    <n v="87"/>
    <n v="3.1"/>
    <n v="79"/>
    <x v="1"/>
  </r>
  <r>
    <n v="288"/>
    <s v="Rebecca Kim"/>
    <s v="Male"/>
    <n v="85"/>
    <n v="17"/>
    <n v="78"/>
    <n v="0"/>
    <x v="0"/>
    <n v="68"/>
    <n v="4.4000000000000004"/>
    <m/>
    <x v="1"/>
  </r>
  <r>
    <n v="289"/>
    <s v="Joyce Williams"/>
    <s v="Male"/>
    <n v="95"/>
    <n v="18"/>
    <n v="85"/>
    <n v="1"/>
    <x v="2"/>
    <n v="68"/>
    <n v="0.3"/>
    <n v="90"/>
    <x v="0"/>
  </r>
  <r>
    <n v="290"/>
    <s v="Cynthia Sloan"/>
    <s v="Female"/>
    <n v="90"/>
    <n v="20"/>
    <n v="78"/>
    <n v="1"/>
    <x v="1"/>
    <n v="87"/>
    <n v="0.7"/>
    <n v="64"/>
    <x v="0"/>
  </r>
  <r>
    <n v="291"/>
    <m/>
    <s v="Male"/>
    <n v="85.510416666666671"/>
    <n v="20"/>
    <n v="60"/>
    <n v="0"/>
    <x v="1"/>
    <n v="87"/>
    <n v="1.1000000000000001"/>
    <n v="55"/>
    <x v="1"/>
  </r>
  <r>
    <n v="292"/>
    <m/>
    <s v="Female"/>
    <n v="95"/>
    <n v="18"/>
    <n v="65"/>
    <n v="0"/>
    <x v="0"/>
    <n v="68"/>
    <n v="0.3"/>
    <n v="86"/>
    <x v="1"/>
  </r>
  <r>
    <n v="293"/>
    <s v="Patricia Williams"/>
    <s v="Female"/>
    <n v="95"/>
    <n v="25"/>
    <n v="65"/>
    <n v="0"/>
    <x v="2"/>
    <n v="78"/>
    <n v="4.3"/>
    <n v="55"/>
    <x v="1"/>
  </r>
  <r>
    <n v="294"/>
    <s v="Michael Payne"/>
    <s v="Male"/>
    <n v="91"/>
    <n v="8"/>
    <n v="88"/>
    <n v="0"/>
    <x v="1"/>
    <n v="68"/>
    <n v="1.2"/>
    <n v="91"/>
    <x v="1"/>
  </r>
  <r>
    <n v="295"/>
    <s v="Brooke Friedman"/>
    <s v="Female"/>
    <n v="85"/>
    <n v="18"/>
    <n v="90"/>
    <n v="2"/>
    <x v="2"/>
    <n v="72"/>
    <n v="0.9"/>
    <n v="75"/>
    <x v="0"/>
  </r>
  <r>
    <n v="296"/>
    <s v="Daniel Mathis"/>
    <s v="Male"/>
    <n v="85"/>
    <n v="8"/>
    <n v="85"/>
    <n v="3"/>
    <x v="1"/>
    <n v="88"/>
    <n v="0.4"/>
    <n v="50"/>
    <x v="0"/>
  </r>
  <r>
    <n v="297"/>
    <s v="Lynn Jennings"/>
    <s v="Unknown"/>
    <n v="70"/>
    <n v="22"/>
    <n v="60"/>
    <n v="1"/>
    <x v="2"/>
    <n v="68"/>
    <n v="3.8"/>
    <n v="99"/>
    <x v="1"/>
  </r>
  <r>
    <n v="298"/>
    <s v="Kimberly Randolph"/>
    <s v="Male"/>
    <n v="85"/>
    <n v="18"/>
    <n v="90"/>
    <n v="1"/>
    <x v="0"/>
    <n v="62"/>
    <n v="2.5"/>
    <n v="90"/>
    <x v="0"/>
  </r>
  <r>
    <n v="299"/>
    <s v="Jack Simmons"/>
    <s v="Female"/>
    <n v="90"/>
    <n v="12"/>
    <n v="70"/>
    <n v="3"/>
    <x v="0"/>
    <n v="85"/>
    <n v="0.4"/>
    <n v="55"/>
    <x v="1"/>
  </r>
  <r>
    <n v="300"/>
    <s v="Daniel Mendez"/>
    <s v="Female"/>
    <n v="70"/>
    <n v="22"/>
    <n v="85"/>
    <n v="2"/>
    <x v="2"/>
    <n v="62"/>
    <n v="3.6"/>
    <n v="65"/>
    <x v="1"/>
  </r>
  <r>
    <n v="301"/>
    <s v="Travis Lawson"/>
    <s v="Male"/>
    <n v="70"/>
    <n v="20"/>
    <n v="77"/>
    <n v="3"/>
    <x v="2"/>
    <n v="80"/>
    <n v="1.5"/>
    <n v="97"/>
    <x v="2"/>
  </r>
  <r>
    <n v="302"/>
    <s v="Jason Horne DDS"/>
    <s v="Male"/>
    <n v="78"/>
    <n v="15"/>
    <n v="65"/>
    <n v="1"/>
    <x v="1"/>
    <n v="72"/>
    <m/>
    <n v="96"/>
    <x v="0"/>
  </r>
  <r>
    <n v="303"/>
    <s v="Shawn Galloway"/>
    <s v="Female"/>
    <n v="78"/>
    <n v="18"/>
    <n v="85"/>
    <n v="1"/>
    <x v="1"/>
    <n v="62"/>
    <n v="1.4"/>
    <n v="54"/>
    <x v="0"/>
  </r>
  <r>
    <n v="304"/>
    <s v="Thomas Barnes"/>
    <s v="Female"/>
    <n v="85"/>
    <n v="12"/>
    <n v="88"/>
    <n v="1"/>
    <x v="1"/>
    <n v="88"/>
    <n v="0.8"/>
    <n v="60"/>
    <x v="0"/>
  </r>
  <r>
    <n v="305"/>
    <s v="Elizabeth Curry"/>
    <s v="Male"/>
    <n v="92"/>
    <n v="12"/>
    <n v="77.598759048603924"/>
    <n v="1"/>
    <x v="0"/>
    <n v="92"/>
    <n v="0.2"/>
    <n v="73"/>
    <x v="0"/>
  </r>
  <r>
    <n v="306"/>
    <s v="Nicole Cunningham"/>
    <s v="Male"/>
    <n v="85"/>
    <n v="12"/>
    <n v="60"/>
    <n v="3"/>
    <x v="3"/>
    <n v="92"/>
    <n v="2.1"/>
    <n v="96"/>
    <x v="0"/>
  </r>
  <r>
    <n v="307"/>
    <s v="Patrick Thompson"/>
    <s v="Male"/>
    <n v="91"/>
    <n v="30"/>
    <n v="85"/>
    <n v="2"/>
    <x v="2"/>
    <n v="80"/>
    <n v="0.9"/>
    <n v="83"/>
    <x v="1"/>
  </r>
  <r>
    <n v="308"/>
    <s v="Marissa Stewart"/>
    <s v="Male"/>
    <n v="85"/>
    <n v="18"/>
    <n v="82"/>
    <n v="1"/>
    <x v="0"/>
    <n v="72"/>
    <n v="2.2999999999999998"/>
    <n v="73"/>
    <x v="1"/>
  </r>
  <r>
    <n v="309"/>
    <s v="Melissa Wilson"/>
    <s v="Female"/>
    <n v="91"/>
    <n v="25"/>
    <n v="77"/>
    <n v="1"/>
    <x v="2"/>
    <n v="78"/>
    <n v="5"/>
    <n v="99"/>
    <x v="1"/>
  </r>
  <r>
    <n v="310"/>
    <s v="Jaime Glenn"/>
    <s v="Male"/>
    <n v="78"/>
    <n v="15"/>
    <n v="60"/>
    <n v="1"/>
    <x v="0"/>
    <n v="72"/>
    <n v="1.7"/>
    <n v="94"/>
    <x v="1"/>
  </r>
  <r>
    <n v="311"/>
    <s v="Mark Castillo"/>
    <s v="Male"/>
    <n v="70"/>
    <n v="18"/>
    <n v="85"/>
    <n v="3"/>
    <x v="2"/>
    <n v="92"/>
    <n v="2.1"/>
    <n v="53"/>
    <x v="1"/>
  </r>
  <r>
    <n v="312"/>
    <s v="Mr. Kent Stanton"/>
    <s v="Male"/>
    <n v="85"/>
    <n v="25"/>
    <n v="70"/>
    <n v="0"/>
    <x v="2"/>
    <n v="90"/>
    <n v="2.2999999999999998"/>
    <n v="97"/>
    <x v="1"/>
  </r>
  <r>
    <n v="313"/>
    <s v="Tyrone Phillips"/>
    <s v="Male"/>
    <n v="70"/>
    <n v="20"/>
    <n v="86"/>
    <n v="3"/>
    <x v="0"/>
    <n v="62"/>
    <n v="3.3"/>
    <n v="58"/>
    <x v="1"/>
  </r>
  <r>
    <n v="314"/>
    <s v="Christopher Collins"/>
    <s v="Female"/>
    <n v="95"/>
    <n v="8"/>
    <n v="88"/>
    <n v="1"/>
    <x v="1"/>
    <n v="85"/>
    <n v="1.2"/>
    <n v="62"/>
    <x v="1"/>
  </r>
  <r>
    <n v="315"/>
    <s v="David Rowe"/>
    <s v="Male"/>
    <n v="85.510416666666671"/>
    <n v="10"/>
    <n v="77"/>
    <n v="1"/>
    <x v="1"/>
    <n v="62"/>
    <n v="0.6"/>
    <n v="72"/>
    <x v="1"/>
  </r>
  <r>
    <n v="316"/>
    <s v="Christopher Mccullough"/>
    <s v="Female"/>
    <n v="85"/>
    <n v="18"/>
    <n v="85"/>
    <n v="2"/>
    <x v="0"/>
    <n v="85"/>
    <n v="4.0999999999999996"/>
    <n v="94"/>
    <x v="1"/>
  </r>
  <r>
    <n v="317"/>
    <s v="Carla Rodriguez"/>
    <s v="Female"/>
    <n v="78"/>
    <n v="20"/>
    <n v="90"/>
    <n v="1"/>
    <x v="1"/>
    <n v="72"/>
    <n v="0.2"/>
    <n v="69"/>
    <x v="0"/>
  </r>
  <r>
    <n v="318"/>
    <s v="Makayla Howard"/>
    <s v="Male"/>
    <n v="70"/>
    <n v="17"/>
    <n v="70"/>
    <n v="2"/>
    <x v="0"/>
    <n v="87"/>
    <n v="2.2999999999999998"/>
    <n v="100"/>
    <x v="1"/>
  </r>
  <r>
    <n v="319"/>
    <s v="Barbara White"/>
    <s v="Male"/>
    <n v="85"/>
    <n v="25"/>
    <n v="65"/>
    <n v="3"/>
    <x v="1"/>
    <n v="90"/>
    <n v="3.4"/>
    <n v="91"/>
    <x v="1"/>
  </r>
  <r>
    <n v="320"/>
    <s v="Sarah Davis"/>
    <s v="Male"/>
    <n v="85"/>
    <n v="20"/>
    <n v="90"/>
    <n v="1"/>
    <x v="0"/>
    <n v="87"/>
    <n v="4.5"/>
    <m/>
    <x v="1"/>
  </r>
  <r>
    <n v="321"/>
    <s v="Cody Donovan"/>
    <s v="Female"/>
    <n v="85"/>
    <n v="10"/>
    <n v="86"/>
    <n v="0"/>
    <x v="2"/>
    <n v="62"/>
    <n v="2.5"/>
    <n v="74"/>
    <x v="0"/>
  </r>
  <r>
    <n v="322"/>
    <s v="Jessica Jenkins"/>
    <s v="Female"/>
    <n v="92"/>
    <n v="10"/>
    <n v="82"/>
    <n v="2"/>
    <x v="3"/>
    <n v="68"/>
    <n v="-5"/>
    <n v="200"/>
    <x v="1"/>
  </r>
  <r>
    <n v="323"/>
    <s v="Benjamin Alexander"/>
    <s v="Female"/>
    <n v="70"/>
    <n v="12"/>
    <n v="77"/>
    <n v="1"/>
    <x v="0"/>
    <n v="85"/>
    <n v="1.9"/>
    <n v="76"/>
    <x v="1"/>
  </r>
  <r>
    <n v="324"/>
    <s v="Isaac Lopez"/>
    <s v="Male"/>
    <n v="82"/>
    <n v="15"/>
    <n v="60"/>
    <n v="1"/>
    <x v="1"/>
    <n v="72"/>
    <n v="3.9"/>
    <n v="72"/>
    <x v="0"/>
  </r>
  <r>
    <n v="325"/>
    <s v="Ariana Morse"/>
    <s v="Female"/>
    <n v="78"/>
    <n v="15"/>
    <n v="88"/>
    <n v="3"/>
    <x v="0"/>
    <n v="80"/>
    <n v="4.5"/>
    <n v="99"/>
    <x v="0"/>
  </r>
  <r>
    <n v="326"/>
    <s v="Brian Avery"/>
    <s v="Female"/>
    <n v="85.510416666666671"/>
    <n v="17.630526315789474"/>
    <n v="86"/>
    <n v="3"/>
    <x v="0"/>
    <n v="87"/>
    <n v="1.2"/>
    <n v="65"/>
    <x v="0"/>
  </r>
  <r>
    <n v="327"/>
    <s v="Amy Lawson"/>
    <s v="Male"/>
    <n v="92"/>
    <n v="22"/>
    <n v="60"/>
    <n v="1"/>
    <x v="0"/>
    <n v="68"/>
    <n v="1.2"/>
    <m/>
    <x v="0"/>
  </r>
  <r>
    <n v="328"/>
    <s v="Derek Choi"/>
    <s v="Female"/>
    <n v="91"/>
    <n v="22"/>
    <n v="65"/>
    <n v="3"/>
    <x v="0"/>
    <n v="78"/>
    <n v="2.7"/>
    <n v="61"/>
    <x v="0"/>
  </r>
  <r>
    <n v="329"/>
    <s v="Paul Reese"/>
    <s v="Male"/>
    <n v="85"/>
    <n v="25"/>
    <n v="86"/>
    <n v="3"/>
    <x v="0"/>
    <n v="72"/>
    <n v="2.4"/>
    <n v="71"/>
    <x v="1"/>
  </r>
  <r>
    <n v="330"/>
    <s v="Francisco Chang"/>
    <s v="Female"/>
    <n v="78"/>
    <n v="30"/>
    <n v="78"/>
    <n v="1"/>
    <x v="0"/>
    <n v="88"/>
    <n v="3.5"/>
    <n v="59"/>
    <x v="1"/>
  </r>
  <r>
    <n v="331"/>
    <s v="Christian Knight"/>
    <s v="Female"/>
    <n v="90"/>
    <n v="17.630526315789474"/>
    <n v="60"/>
    <n v="3"/>
    <x v="0"/>
    <n v="90"/>
    <n v="1.5"/>
    <n v="58"/>
    <x v="2"/>
  </r>
  <r>
    <n v="332"/>
    <s v="Andrew Wilkerson"/>
    <s v="Female"/>
    <n v="95"/>
    <n v="10"/>
    <n v="70"/>
    <n v="3"/>
    <x v="1"/>
    <n v="92"/>
    <n v="3.3"/>
    <n v="61"/>
    <x v="0"/>
  </r>
  <r>
    <n v="333"/>
    <s v="Brandon Alvarez"/>
    <s v="Female"/>
    <n v="78"/>
    <n v="10"/>
    <n v="78"/>
    <n v="3"/>
    <x v="1"/>
    <n v="88"/>
    <n v="0.2"/>
    <n v="88"/>
    <x v="0"/>
  </r>
  <r>
    <n v="334"/>
    <s v="Gary Young"/>
    <s v="Male"/>
    <n v="85"/>
    <n v="10"/>
    <n v="88"/>
    <n v="2"/>
    <x v="0"/>
    <n v="90"/>
    <n v="4.9000000000000004"/>
    <n v="60"/>
    <x v="1"/>
  </r>
  <r>
    <n v="335"/>
    <s v="Jessica Wright"/>
    <s v="Female"/>
    <n v="85"/>
    <n v="18"/>
    <n v="90"/>
    <n v="3"/>
    <x v="2"/>
    <n v="87"/>
    <n v="1.8"/>
    <n v="100"/>
    <x v="1"/>
  </r>
  <r>
    <n v="336"/>
    <s v="Timothy Clements"/>
    <s v="Male"/>
    <n v="70"/>
    <n v="17"/>
    <n v="60"/>
    <n v="0"/>
    <x v="1"/>
    <m/>
    <n v="4.4000000000000004"/>
    <n v="72"/>
    <x v="0"/>
  </r>
  <r>
    <n v="337"/>
    <s v="Alexander Gordon DDS"/>
    <s v="Female"/>
    <n v="91"/>
    <n v="25"/>
    <n v="65"/>
    <n v="1"/>
    <x v="0"/>
    <n v="80"/>
    <n v="1.5"/>
    <n v="70"/>
    <x v="0"/>
  </r>
  <r>
    <n v="338"/>
    <s v="James Martinez"/>
    <s v="Male"/>
    <n v="95"/>
    <n v="10"/>
    <n v="60"/>
    <n v="0"/>
    <x v="2"/>
    <n v="87"/>
    <n v="2.7"/>
    <n v="55"/>
    <x v="0"/>
  </r>
  <r>
    <n v="339"/>
    <s v="Francisco Williams"/>
    <s v="Male"/>
    <n v="70"/>
    <n v="10"/>
    <n v="86"/>
    <n v="0"/>
    <x v="0"/>
    <n v="80"/>
    <n v="0.5"/>
    <n v="63"/>
    <x v="1"/>
  </r>
  <r>
    <n v="340"/>
    <s v="Jordan Brooks"/>
    <s v="Female"/>
    <n v="88"/>
    <n v="18"/>
    <n v="90"/>
    <n v="2"/>
    <x v="0"/>
    <n v="62"/>
    <n v="2.9"/>
    <n v="81"/>
    <x v="1"/>
  </r>
  <r>
    <n v="341"/>
    <s v="Kurt Boyd"/>
    <s v="Female"/>
    <n v="85"/>
    <n v="8"/>
    <n v="85"/>
    <n v="2"/>
    <x v="2"/>
    <n v="88"/>
    <n v="2.4"/>
    <n v="56"/>
    <x v="1"/>
  </r>
  <r>
    <n v="342"/>
    <s v="Bryan Salazar"/>
    <s v="Male"/>
    <n v="88"/>
    <n v="20"/>
    <n v="77"/>
    <n v="2"/>
    <x v="1"/>
    <n v="62"/>
    <n v="2.4"/>
    <n v="92"/>
    <x v="0"/>
  </r>
  <r>
    <n v="343"/>
    <s v="Mrs. Heather Roy"/>
    <s v="Female"/>
    <n v="78"/>
    <n v="30"/>
    <n v="60"/>
    <n v="1"/>
    <x v="0"/>
    <n v="78"/>
    <n v="0.2"/>
    <n v="78"/>
    <x v="0"/>
  </r>
  <r>
    <n v="344"/>
    <m/>
    <s v="Male"/>
    <n v="85.510416666666671"/>
    <n v="22"/>
    <n v="78"/>
    <n v="0"/>
    <x v="2"/>
    <n v="87"/>
    <n v="0.4"/>
    <n v="72"/>
    <x v="0"/>
  </r>
  <r>
    <n v="345"/>
    <s v="Kathleen Newton"/>
    <s v="Male"/>
    <n v="70"/>
    <n v="12"/>
    <n v="60"/>
    <n v="2"/>
    <x v="2"/>
    <n v="78"/>
    <n v="2.9"/>
    <n v="65"/>
    <x v="0"/>
  </r>
  <r>
    <n v="346"/>
    <s v="Julian Fox"/>
    <s v="Male"/>
    <n v="70"/>
    <n v="15"/>
    <n v="70"/>
    <n v="3"/>
    <x v="2"/>
    <n v="88"/>
    <n v="3.4"/>
    <n v="89"/>
    <x v="1"/>
  </r>
  <r>
    <n v="347"/>
    <s v="Kylie Hancock"/>
    <s v="Female"/>
    <n v="78"/>
    <n v="10"/>
    <n v="90"/>
    <n v="3"/>
    <x v="0"/>
    <n v="80"/>
    <n v="2.1"/>
    <n v="93"/>
    <x v="0"/>
  </r>
  <r>
    <n v="348"/>
    <s v="Matthew Werner"/>
    <s v="Male"/>
    <n v="91"/>
    <n v="18"/>
    <n v="88"/>
    <n v="2"/>
    <x v="0"/>
    <n v="62"/>
    <n v="2.8"/>
    <n v="85"/>
    <x v="0"/>
  </r>
  <r>
    <n v="349"/>
    <s v="Kelsey Bush"/>
    <s v="Female"/>
    <n v="85"/>
    <n v="22"/>
    <n v="86"/>
    <n v="2"/>
    <x v="1"/>
    <n v="87"/>
    <n v="2.1"/>
    <n v="59"/>
    <x v="1"/>
  </r>
  <r>
    <n v="350"/>
    <s v="Brandon Dickerson"/>
    <s v="Male"/>
    <n v="88"/>
    <n v="12"/>
    <n v="88"/>
    <n v="0"/>
    <x v="1"/>
    <n v="62"/>
    <n v="3.3"/>
    <n v="86"/>
    <x v="0"/>
  </r>
  <r>
    <n v="351"/>
    <s v="Jamie Allen"/>
    <s v="Male"/>
    <n v="88"/>
    <n v="8"/>
    <n v="65"/>
    <n v="3"/>
    <x v="2"/>
    <n v="62"/>
    <n v="0.2"/>
    <n v="71"/>
    <x v="1"/>
  </r>
  <r>
    <n v="352"/>
    <s v="Taylor Smith"/>
    <s v="Female"/>
    <n v="88"/>
    <n v="30"/>
    <n v="78"/>
    <n v="1"/>
    <x v="1"/>
    <m/>
    <n v="1.4"/>
    <n v="81"/>
    <x v="1"/>
  </r>
  <r>
    <n v="353"/>
    <s v="Elizabeth Chavez"/>
    <s v="Male"/>
    <n v="88"/>
    <n v="17"/>
    <n v="88"/>
    <n v="2"/>
    <x v="2"/>
    <n v="62"/>
    <n v="3"/>
    <n v="55"/>
    <x v="1"/>
  </r>
  <r>
    <n v="354"/>
    <s v="Melissa Morris"/>
    <s v="Male"/>
    <n v="70"/>
    <n v="17"/>
    <n v="70"/>
    <n v="1"/>
    <x v="0"/>
    <n v="72"/>
    <n v="4"/>
    <n v="54"/>
    <x v="0"/>
  </r>
  <r>
    <n v="355"/>
    <s v="Donna Hardin"/>
    <s v="Female"/>
    <n v="78"/>
    <n v="12"/>
    <n v="86"/>
    <n v="1"/>
    <x v="0"/>
    <n v="92"/>
    <n v="4.4000000000000004"/>
    <n v="62"/>
    <x v="1"/>
  </r>
  <r>
    <n v="356"/>
    <s v="Andrew Cook"/>
    <s v="Male"/>
    <n v="85"/>
    <n v="15"/>
    <n v="88"/>
    <n v="3"/>
    <x v="1"/>
    <m/>
    <n v="4.0999999999999996"/>
    <n v="82"/>
    <x v="0"/>
  </r>
  <r>
    <n v="357"/>
    <s v="Dr. Richard Wallace"/>
    <s v="Male"/>
    <n v="92"/>
    <n v="30"/>
    <n v="77"/>
    <n v="3"/>
    <x v="1"/>
    <n v="68"/>
    <m/>
    <n v="80"/>
    <x v="0"/>
  </r>
  <r>
    <n v="358"/>
    <s v="Samuel Shaw"/>
    <s v="Male"/>
    <n v="88"/>
    <n v="20"/>
    <n v="82"/>
    <n v="1"/>
    <x v="1"/>
    <n v="80"/>
    <n v="0.8"/>
    <n v="86"/>
    <x v="1"/>
  </r>
  <r>
    <n v="359"/>
    <s v="Mike Waters"/>
    <s v="Male"/>
    <n v="92"/>
    <n v="18"/>
    <n v="60"/>
    <n v="2"/>
    <x v="0"/>
    <n v="80"/>
    <n v="2.4"/>
    <n v="58"/>
    <x v="1"/>
  </r>
  <r>
    <n v="360"/>
    <s v="Andrea Newman"/>
    <s v="Unknown"/>
    <n v="88"/>
    <n v="22"/>
    <n v="82"/>
    <n v="2"/>
    <x v="1"/>
    <n v="62"/>
    <n v="4.3"/>
    <n v="79"/>
    <x v="0"/>
  </r>
  <r>
    <n v="361"/>
    <m/>
    <s v="Female"/>
    <n v="88"/>
    <n v="12"/>
    <n v="86"/>
    <n v="0"/>
    <x v="2"/>
    <n v="87"/>
    <n v="0"/>
    <n v="92"/>
    <x v="2"/>
  </r>
  <r>
    <n v="362"/>
    <s v="Barry Jenkins"/>
    <s v="Female"/>
    <n v="90"/>
    <n v="17"/>
    <n v="85"/>
    <n v="1"/>
    <x v="1"/>
    <n v="90"/>
    <n v="4.3"/>
    <m/>
    <x v="0"/>
  </r>
  <r>
    <n v="363"/>
    <s v="Laurie Johnson"/>
    <s v="Male"/>
    <n v="82"/>
    <n v="25"/>
    <n v="78"/>
    <n v="3"/>
    <x v="1"/>
    <n v="90"/>
    <n v="3.4"/>
    <n v="96"/>
    <x v="1"/>
  </r>
  <r>
    <n v="364"/>
    <s v="John Coleman"/>
    <s v="Female"/>
    <n v="88"/>
    <n v="8"/>
    <n v="60"/>
    <n v="0"/>
    <x v="2"/>
    <n v="80"/>
    <n v="2.9"/>
    <n v="86"/>
    <x v="1"/>
  </r>
  <r>
    <n v="365"/>
    <s v="John Carter"/>
    <s v="Male"/>
    <n v="82"/>
    <n v="17"/>
    <n v="88"/>
    <n v="2"/>
    <x v="1"/>
    <n v="68"/>
    <n v="4.2"/>
    <n v="85"/>
    <x v="1"/>
  </r>
  <r>
    <n v="366"/>
    <s v="Mr. Devon Garrett"/>
    <s v="Male"/>
    <n v="85"/>
    <n v="10"/>
    <n v="82"/>
    <n v="2"/>
    <x v="0"/>
    <n v="90"/>
    <n v="3.3"/>
    <n v="64"/>
    <x v="0"/>
  </r>
  <r>
    <n v="367"/>
    <s v="Jill Kelly"/>
    <s v="Female"/>
    <n v="70"/>
    <n v="30"/>
    <n v="77.598759048603924"/>
    <n v="2"/>
    <x v="2"/>
    <n v="85"/>
    <n v="-5"/>
    <n v="200"/>
    <x v="0"/>
  </r>
  <r>
    <n v="368"/>
    <s v="Richard Gonzalez"/>
    <s v="Male"/>
    <n v="85"/>
    <n v="25"/>
    <n v="70"/>
    <n v="2"/>
    <x v="2"/>
    <n v="62"/>
    <n v="2.6"/>
    <n v="76"/>
    <x v="1"/>
  </r>
  <r>
    <n v="369"/>
    <s v="Alex White"/>
    <s v="Male"/>
    <n v="92"/>
    <n v="30"/>
    <n v="60"/>
    <n v="3"/>
    <x v="1"/>
    <n v="68"/>
    <n v="1.6"/>
    <n v="95"/>
    <x v="1"/>
  </r>
  <r>
    <n v="370"/>
    <s v="Michael Gonzales"/>
    <s v="Female"/>
    <n v="95"/>
    <n v="10"/>
    <n v="88"/>
    <n v="1"/>
    <x v="0"/>
    <n v="78"/>
    <n v="1.4"/>
    <n v="98"/>
    <x v="1"/>
  </r>
  <r>
    <n v="371"/>
    <s v="John Williams"/>
    <s v="Female"/>
    <n v="90"/>
    <n v="10"/>
    <n v="86"/>
    <n v="1"/>
    <x v="2"/>
    <n v="62"/>
    <n v="2"/>
    <n v="80"/>
    <x v="0"/>
  </r>
  <r>
    <n v="372"/>
    <s v="Daniel Herrera"/>
    <s v="Male"/>
    <n v="82"/>
    <n v="25"/>
    <n v="88"/>
    <n v="1"/>
    <x v="1"/>
    <n v="72"/>
    <n v="1"/>
    <n v="93"/>
    <x v="1"/>
  </r>
  <r>
    <n v="373"/>
    <s v="Jessica Richardson"/>
    <s v="Male"/>
    <n v="95"/>
    <n v="18"/>
    <n v="65"/>
    <n v="2"/>
    <x v="1"/>
    <n v="72"/>
    <n v="2.9"/>
    <n v="60"/>
    <x v="1"/>
  </r>
  <r>
    <n v="374"/>
    <s v="Ian Glass"/>
    <s v="Female"/>
    <n v="88"/>
    <n v="17"/>
    <n v="70"/>
    <n v="3"/>
    <x v="2"/>
    <m/>
    <n v="2.2000000000000002"/>
    <n v="93"/>
    <x v="1"/>
  </r>
  <r>
    <n v="375"/>
    <s v="Heidi Simmons"/>
    <s v="Female"/>
    <n v="95"/>
    <n v="25"/>
    <n v="65"/>
    <n v="0"/>
    <x v="0"/>
    <n v="92"/>
    <n v="1.1000000000000001"/>
    <n v="58"/>
    <x v="1"/>
  </r>
  <r>
    <n v="376"/>
    <s v="Andrea Fuller"/>
    <s v="Male"/>
    <n v="90"/>
    <n v="30"/>
    <n v="78"/>
    <n v="0"/>
    <x v="2"/>
    <n v="85"/>
    <n v="3.9"/>
    <n v="89"/>
    <x v="1"/>
  </r>
  <r>
    <n v="377"/>
    <s v="David Dunlap"/>
    <s v="Male"/>
    <n v="85"/>
    <n v="15"/>
    <n v="85"/>
    <n v="0"/>
    <x v="1"/>
    <n v="62"/>
    <n v="0.6"/>
    <n v="66"/>
    <x v="0"/>
  </r>
  <r>
    <n v="378"/>
    <s v="Antonio Mitchell"/>
    <s v="Male"/>
    <n v="85"/>
    <n v="18"/>
    <n v="60"/>
    <n v="2"/>
    <x v="2"/>
    <n v="72"/>
    <n v="1.3"/>
    <n v="88"/>
    <x v="1"/>
  </r>
  <r>
    <n v="379"/>
    <s v="Mariah Cole"/>
    <s v="Male"/>
    <n v="82"/>
    <n v="22"/>
    <n v="85"/>
    <n v="2"/>
    <x v="0"/>
    <n v="87"/>
    <n v="2.5"/>
    <n v="88"/>
    <x v="1"/>
  </r>
  <r>
    <n v="380"/>
    <s v="Rhonda Ramos"/>
    <s v="Male"/>
    <n v="95"/>
    <n v="8"/>
    <n v="82"/>
    <n v="0"/>
    <x v="0"/>
    <n v="72"/>
    <n v="2.5"/>
    <n v="63"/>
    <x v="0"/>
  </r>
  <r>
    <n v="381"/>
    <s v="Raymond Murillo"/>
    <s v="Male"/>
    <n v="85"/>
    <n v="15"/>
    <n v="85"/>
    <n v="2"/>
    <x v="2"/>
    <n v="78"/>
    <n v="-5"/>
    <n v="200"/>
    <x v="1"/>
  </r>
  <r>
    <n v="382"/>
    <s v="Andrea Bradley"/>
    <s v="Female"/>
    <n v="92"/>
    <n v="17"/>
    <n v="82"/>
    <n v="2"/>
    <x v="1"/>
    <n v="80"/>
    <n v="0.5"/>
    <n v="61"/>
    <x v="1"/>
  </r>
  <r>
    <n v="383"/>
    <m/>
    <s v="Female"/>
    <n v="95"/>
    <n v="8"/>
    <n v="85"/>
    <n v="2"/>
    <x v="0"/>
    <n v="80"/>
    <n v="4.3"/>
    <m/>
    <x v="1"/>
  </r>
  <r>
    <n v="384"/>
    <s v="Tina Velazquez"/>
    <s v="Female"/>
    <n v="85.510416666666671"/>
    <n v="22"/>
    <n v="82"/>
    <n v="2"/>
    <x v="1"/>
    <n v="90"/>
    <n v="0.9"/>
    <n v="75"/>
    <x v="0"/>
  </r>
  <r>
    <n v="385"/>
    <s v="Bonnie Callahan"/>
    <s v="Female"/>
    <n v="70"/>
    <n v="17"/>
    <n v="60"/>
    <n v="0"/>
    <x v="3"/>
    <n v="68"/>
    <n v="3.5"/>
    <n v="53"/>
    <x v="1"/>
  </r>
  <r>
    <n v="386"/>
    <s v="Eric Scott"/>
    <s v="Female"/>
    <n v="91"/>
    <n v="17"/>
    <n v="86"/>
    <n v="1"/>
    <x v="0"/>
    <n v="88"/>
    <n v="1.9"/>
    <n v="72"/>
    <x v="1"/>
  </r>
  <r>
    <n v="387"/>
    <s v="Maria Leblanc"/>
    <s v="Female"/>
    <n v="85"/>
    <n v="20"/>
    <n v="60"/>
    <n v="1"/>
    <x v="0"/>
    <n v="87"/>
    <n v="1.3"/>
    <n v="70"/>
    <x v="1"/>
  </r>
  <r>
    <n v="388"/>
    <s v="Michael Valenzuela"/>
    <s v="Male"/>
    <n v="95"/>
    <n v="12"/>
    <n v="70"/>
    <n v="1"/>
    <x v="0"/>
    <n v="62"/>
    <n v="3.3"/>
    <n v="65"/>
    <x v="0"/>
  </r>
  <r>
    <n v="389"/>
    <s v="Robin Spears"/>
    <s v="Female"/>
    <n v="78"/>
    <n v="12"/>
    <n v="86"/>
    <n v="1"/>
    <x v="0"/>
    <n v="68"/>
    <n v="2.5"/>
    <n v="80"/>
    <x v="0"/>
  </r>
  <r>
    <n v="390"/>
    <s v="David Owens"/>
    <s v="Male"/>
    <n v="85"/>
    <n v="30"/>
    <n v="90"/>
    <n v="1"/>
    <x v="1"/>
    <n v="80"/>
    <n v="2.5"/>
    <n v="85"/>
    <x v="0"/>
  </r>
  <r>
    <n v="391"/>
    <m/>
    <s v="Unknown"/>
    <n v="90"/>
    <n v="17"/>
    <n v="77"/>
    <n v="3"/>
    <x v="1"/>
    <n v="87"/>
    <n v="4.3"/>
    <n v="78"/>
    <x v="0"/>
  </r>
  <r>
    <n v="392"/>
    <s v="Elizabeth Clark"/>
    <s v="Female"/>
    <n v="85"/>
    <n v="20"/>
    <n v="77.598759048603924"/>
    <n v="0"/>
    <x v="0"/>
    <n v="72"/>
    <n v="2.7"/>
    <n v="55"/>
    <x v="0"/>
  </r>
  <r>
    <n v="393"/>
    <s v="Beverly Fisher"/>
    <s v="Male"/>
    <n v="85"/>
    <n v="30"/>
    <n v="88"/>
    <n v="1"/>
    <x v="0"/>
    <n v="78"/>
    <n v="1.7"/>
    <m/>
    <x v="0"/>
  </r>
  <r>
    <n v="394"/>
    <s v="Sarah Bailey"/>
    <s v="Female"/>
    <n v="90"/>
    <n v="20"/>
    <n v="90"/>
    <n v="1"/>
    <x v="1"/>
    <n v="90"/>
    <n v="4.0999999999999996"/>
    <n v="68"/>
    <x v="0"/>
  </r>
  <r>
    <n v="395"/>
    <s v="Kendra Ramirez"/>
    <s v="Male"/>
    <n v="78"/>
    <n v="17"/>
    <n v="65"/>
    <n v="0"/>
    <x v="0"/>
    <n v="85"/>
    <n v="3.1"/>
    <n v="62"/>
    <x v="1"/>
  </r>
  <r>
    <n v="396"/>
    <s v="Diane Ross"/>
    <s v="Male"/>
    <n v="85"/>
    <n v="25"/>
    <n v="88"/>
    <n v="2"/>
    <x v="1"/>
    <n v="80"/>
    <n v="4.5999999999999996"/>
    <n v="93"/>
    <x v="1"/>
  </r>
  <r>
    <n v="397"/>
    <s v="Stephanie Mcfarland"/>
    <s v="Female"/>
    <n v="91"/>
    <n v="12"/>
    <n v="65"/>
    <n v="1"/>
    <x v="0"/>
    <n v="72"/>
    <n v="3.7"/>
    <n v="85"/>
    <x v="0"/>
  </r>
  <r>
    <n v="398"/>
    <s v="Michelle Woods"/>
    <s v="Male"/>
    <n v="91"/>
    <n v="10"/>
    <n v="65"/>
    <n v="2"/>
    <x v="1"/>
    <n v="88"/>
    <n v="3"/>
    <n v="70"/>
    <x v="0"/>
  </r>
  <r>
    <n v="399"/>
    <s v="David Ruiz"/>
    <s v="Male"/>
    <n v="88"/>
    <n v="8"/>
    <n v="88"/>
    <n v="2"/>
    <x v="1"/>
    <n v="68"/>
    <n v="0.7"/>
    <n v="88"/>
    <x v="0"/>
  </r>
  <r>
    <n v="400"/>
    <s v="Jason Castro"/>
    <s v="Female"/>
    <n v="82"/>
    <n v="17.630526315789474"/>
    <n v="90"/>
    <n v="3"/>
    <x v="2"/>
    <n v="85"/>
    <n v="3.4"/>
    <n v="93"/>
    <x v="1"/>
  </r>
  <r>
    <n v="401"/>
    <s v="Kathleen Montgomery"/>
    <s v="Female"/>
    <n v="90"/>
    <n v="17.630526315789474"/>
    <n v="70"/>
    <n v="1"/>
    <x v="2"/>
    <n v="88"/>
    <n v="4.7"/>
    <n v="95"/>
    <x v="0"/>
  </r>
  <r>
    <n v="402"/>
    <s v="James Bennett"/>
    <s v="Female"/>
    <n v="70"/>
    <n v="17.630526315789474"/>
    <n v="70"/>
    <n v="2"/>
    <x v="0"/>
    <n v="62"/>
    <n v="0.7"/>
    <n v="92"/>
    <x v="1"/>
  </r>
  <r>
    <n v="403"/>
    <s v="Kelsey Watkins"/>
    <s v="Female"/>
    <n v="78"/>
    <n v="17.630526315789474"/>
    <n v="82"/>
    <n v="0"/>
    <x v="0"/>
    <n v="85"/>
    <n v="1"/>
    <m/>
    <x v="1"/>
  </r>
  <r>
    <n v="404"/>
    <s v="David Park"/>
    <s v="Female"/>
    <n v="90"/>
    <n v="22"/>
    <n v="70"/>
    <n v="3"/>
    <x v="2"/>
    <n v="72"/>
    <n v="1.9"/>
    <n v="82"/>
    <x v="0"/>
  </r>
  <r>
    <n v="405"/>
    <s v="Christopher Poole"/>
    <s v="Female"/>
    <n v="70"/>
    <n v="8"/>
    <n v="88"/>
    <n v="2"/>
    <x v="0"/>
    <n v="80"/>
    <n v="3.7"/>
    <n v="62"/>
    <x v="0"/>
  </r>
  <r>
    <n v="406"/>
    <s v="Rebecca Baxter"/>
    <s v="Female"/>
    <n v="85.510416666666671"/>
    <n v="12"/>
    <n v="86"/>
    <n v="3"/>
    <x v="2"/>
    <n v="92"/>
    <n v="1.5"/>
    <n v="61"/>
    <x v="1"/>
  </r>
  <r>
    <n v="407"/>
    <s v="Virginia Daniel"/>
    <s v="Male"/>
    <n v="82"/>
    <n v="20"/>
    <n v="60"/>
    <n v="1"/>
    <x v="1"/>
    <n v="85"/>
    <n v="2.8"/>
    <n v="58"/>
    <x v="1"/>
  </r>
  <r>
    <n v="408"/>
    <s v="Melissa Gordon"/>
    <s v="Male"/>
    <n v="95"/>
    <n v="17"/>
    <n v="65"/>
    <n v="1"/>
    <x v="0"/>
    <n v="90"/>
    <n v="3"/>
    <n v="99"/>
    <x v="2"/>
  </r>
  <r>
    <n v="409"/>
    <s v="Brett Barrett"/>
    <s v="Female"/>
    <n v="90"/>
    <n v="30"/>
    <n v="70"/>
    <n v="3"/>
    <x v="0"/>
    <n v="72"/>
    <n v="0.3"/>
    <n v="82"/>
    <x v="1"/>
  </r>
  <r>
    <n v="410"/>
    <s v="Brandon Townsend"/>
    <s v="Female"/>
    <n v="90"/>
    <n v="30"/>
    <n v="90"/>
    <n v="3"/>
    <x v="2"/>
    <n v="90"/>
    <m/>
    <n v="68"/>
    <x v="1"/>
  </r>
  <r>
    <n v="411"/>
    <s v="Haley Robertson"/>
    <s v="Female"/>
    <n v="82"/>
    <n v="15"/>
    <n v="85"/>
    <n v="1"/>
    <x v="1"/>
    <n v="92"/>
    <n v="4.5"/>
    <n v="89"/>
    <x v="1"/>
  </r>
  <r>
    <n v="412"/>
    <s v="Michelle Gonzalez"/>
    <s v="Female"/>
    <n v="70"/>
    <n v="20"/>
    <n v="60"/>
    <n v="2"/>
    <x v="2"/>
    <n v="85"/>
    <n v="0.1"/>
    <n v="83"/>
    <x v="0"/>
  </r>
  <r>
    <n v="413"/>
    <s v="Gary Holland"/>
    <s v="Female"/>
    <n v="85"/>
    <n v="17.630526315789474"/>
    <n v="82"/>
    <n v="3"/>
    <x v="1"/>
    <n v="72"/>
    <n v="0.4"/>
    <n v="56"/>
    <x v="1"/>
  </r>
  <r>
    <n v="414"/>
    <s v="Felicia Howard"/>
    <s v="Male"/>
    <n v="90"/>
    <n v="25"/>
    <n v="90"/>
    <n v="0"/>
    <x v="0"/>
    <n v="92"/>
    <n v="2.7"/>
    <n v="94"/>
    <x v="0"/>
  </r>
  <r>
    <n v="415"/>
    <s v="Sean Walker"/>
    <s v="Male"/>
    <n v="85"/>
    <n v="17"/>
    <n v="88"/>
    <n v="1"/>
    <x v="0"/>
    <n v="87"/>
    <n v="0.3"/>
    <n v="100"/>
    <x v="0"/>
  </r>
  <r>
    <n v="416"/>
    <s v="Brianna Mills"/>
    <s v="Male"/>
    <n v="88"/>
    <n v="8"/>
    <n v="60"/>
    <n v="1"/>
    <x v="2"/>
    <n v="62"/>
    <n v="2.2000000000000002"/>
    <n v="51"/>
    <x v="0"/>
  </r>
  <r>
    <n v="417"/>
    <s v="Michael Case"/>
    <s v="Male"/>
    <n v="91"/>
    <n v="20"/>
    <n v="86"/>
    <n v="1"/>
    <x v="2"/>
    <n v="87"/>
    <n v="1.8"/>
    <n v="82"/>
    <x v="1"/>
  </r>
  <r>
    <n v="418"/>
    <s v="Felicia Houston"/>
    <s v="Female"/>
    <n v="91"/>
    <n v="20"/>
    <n v="82"/>
    <n v="1"/>
    <x v="1"/>
    <n v="62"/>
    <n v="4.0999999999999996"/>
    <n v="51"/>
    <x v="0"/>
  </r>
  <r>
    <n v="419"/>
    <s v="Kevin Wilson"/>
    <s v="Male"/>
    <n v="78"/>
    <n v="8"/>
    <n v="70"/>
    <n v="2"/>
    <x v="2"/>
    <n v="68"/>
    <n v="1.5"/>
    <n v="100"/>
    <x v="0"/>
  </r>
  <r>
    <n v="420"/>
    <s v="Mary Vaughn"/>
    <s v="Male"/>
    <n v="90"/>
    <n v="15"/>
    <n v="78"/>
    <n v="3"/>
    <x v="2"/>
    <n v="62"/>
    <n v="2.7"/>
    <n v="55"/>
    <x v="2"/>
  </r>
  <r>
    <n v="421"/>
    <m/>
    <s v="Female"/>
    <n v="92"/>
    <n v="8"/>
    <n v="70"/>
    <n v="0"/>
    <x v="0"/>
    <n v="68"/>
    <n v="1.1000000000000001"/>
    <n v="66"/>
    <x v="1"/>
  </r>
  <r>
    <n v="422"/>
    <s v="Maurice Martinez"/>
    <s v="Unknown"/>
    <n v="91"/>
    <n v="15"/>
    <n v="70"/>
    <n v="1"/>
    <x v="2"/>
    <n v="72"/>
    <n v="0.4"/>
    <n v="92"/>
    <x v="1"/>
  </r>
  <r>
    <n v="423"/>
    <s v="Jonathon Perry"/>
    <s v="Unknown"/>
    <n v="92"/>
    <n v="22"/>
    <n v="77"/>
    <n v="1"/>
    <x v="1"/>
    <n v="68"/>
    <n v="3.4"/>
    <n v="65"/>
    <x v="1"/>
  </r>
  <r>
    <n v="424"/>
    <m/>
    <s v="Male"/>
    <n v="92"/>
    <n v="30"/>
    <n v="77"/>
    <n v="1"/>
    <x v="1"/>
    <n v="88"/>
    <n v="3.3"/>
    <n v="94"/>
    <x v="1"/>
  </r>
  <r>
    <n v="425"/>
    <s v="Rebecca Evans"/>
    <s v="Female"/>
    <n v="85.510416666666671"/>
    <n v="10"/>
    <n v="78"/>
    <n v="1"/>
    <x v="0"/>
    <n v="92"/>
    <n v="3.6"/>
    <n v="91"/>
    <x v="0"/>
  </r>
  <r>
    <n v="426"/>
    <s v="Paul Williams"/>
    <s v="Female"/>
    <n v="78"/>
    <n v="30"/>
    <n v="77"/>
    <n v="1"/>
    <x v="1"/>
    <n v="90"/>
    <n v="3.9"/>
    <n v="81"/>
    <x v="1"/>
  </r>
  <r>
    <n v="427"/>
    <s v="Tyler Boyer"/>
    <s v="Male"/>
    <n v="88"/>
    <n v="10"/>
    <n v="70"/>
    <n v="3"/>
    <x v="1"/>
    <n v="87"/>
    <n v="3.6"/>
    <n v="51"/>
    <x v="1"/>
  </r>
  <r>
    <n v="428"/>
    <s v="Kristy Nichols"/>
    <s v="Male"/>
    <n v="85"/>
    <n v="12"/>
    <n v="82"/>
    <n v="2"/>
    <x v="2"/>
    <n v="78"/>
    <n v="3.3"/>
    <n v="59"/>
    <x v="0"/>
  </r>
  <r>
    <n v="429"/>
    <s v="Darren Martin"/>
    <s v="Male"/>
    <n v="91"/>
    <n v="18"/>
    <n v="65"/>
    <n v="1"/>
    <x v="2"/>
    <n v="72"/>
    <n v="0.5"/>
    <n v="73"/>
    <x v="1"/>
  </r>
  <r>
    <n v="430"/>
    <s v="Katelyn Morgan"/>
    <s v="Male"/>
    <n v="82"/>
    <n v="10"/>
    <n v="77"/>
    <n v="0"/>
    <x v="3"/>
    <n v="88"/>
    <n v="4.7"/>
    <n v="92"/>
    <x v="1"/>
  </r>
  <r>
    <n v="431"/>
    <s v="Dennis Elliott"/>
    <s v="Unknown"/>
    <n v="85"/>
    <n v="25"/>
    <n v="77"/>
    <n v="3"/>
    <x v="0"/>
    <n v="85"/>
    <n v="1.8"/>
    <n v="52"/>
    <x v="1"/>
  </r>
  <r>
    <n v="432"/>
    <s v="Jesus Henson"/>
    <s v="Female"/>
    <n v="70"/>
    <n v="17"/>
    <n v="77"/>
    <n v="1"/>
    <x v="0"/>
    <n v="90"/>
    <n v="0.5"/>
    <n v="83"/>
    <x v="0"/>
  </r>
  <r>
    <n v="433"/>
    <s v="Robin Stewart"/>
    <s v="Male"/>
    <n v="70"/>
    <n v="8"/>
    <n v="88"/>
    <n v="3"/>
    <x v="2"/>
    <n v="87"/>
    <n v="2.6"/>
    <n v="74"/>
    <x v="1"/>
  </r>
  <r>
    <n v="434"/>
    <s v="Lawrence Miller"/>
    <s v="Female"/>
    <n v="95"/>
    <n v="30"/>
    <n v="77"/>
    <n v="1"/>
    <x v="2"/>
    <n v="80"/>
    <n v="2.5"/>
    <m/>
    <x v="0"/>
  </r>
  <r>
    <n v="435"/>
    <s v="Ronnie White"/>
    <s v="Male"/>
    <n v="90"/>
    <n v="12"/>
    <n v="82"/>
    <n v="3"/>
    <x v="0"/>
    <n v="68"/>
    <n v="0.8"/>
    <n v="88"/>
    <x v="1"/>
  </r>
  <r>
    <n v="436"/>
    <s v="John Fox"/>
    <s v="Female"/>
    <n v="95"/>
    <n v="20"/>
    <n v="77"/>
    <n v="1"/>
    <x v="1"/>
    <n v="92"/>
    <n v="3"/>
    <n v="91"/>
    <x v="0"/>
  </r>
  <r>
    <n v="437"/>
    <m/>
    <s v="Male"/>
    <n v="85"/>
    <n v="10"/>
    <n v="86"/>
    <n v="3"/>
    <x v="0"/>
    <n v="68"/>
    <n v="3.1"/>
    <n v="52"/>
    <x v="1"/>
  </r>
  <r>
    <n v="438"/>
    <s v="Daniel Scott"/>
    <s v="Male"/>
    <n v="88"/>
    <n v="10"/>
    <n v="70"/>
    <n v="0"/>
    <x v="2"/>
    <n v="88"/>
    <n v="3.2"/>
    <n v="96"/>
    <x v="0"/>
  </r>
  <r>
    <n v="439"/>
    <m/>
    <s v="Male"/>
    <n v="85"/>
    <n v="22"/>
    <n v="77"/>
    <n v="1"/>
    <x v="0"/>
    <n v="92"/>
    <n v="4.2"/>
    <n v="88"/>
    <x v="1"/>
  </r>
  <r>
    <n v="440"/>
    <s v="Jonathan Mann"/>
    <s v="Female"/>
    <n v="78"/>
    <n v="17.630526315789474"/>
    <n v="77"/>
    <n v="3"/>
    <x v="2"/>
    <n v="87"/>
    <n v="1.1000000000000001"/>
    <m/>
    <x v="2"/>
  </r>
  <r>
    <n v="441"/>
    <s v="Bethany Andersen"/>
    <s v="Male"/>
    <n v="92"/>
    <n v="17.630526315789474"/>
    <n v="70"/>
    <n v="0"/>
    <x v="0"/>
    <n v="88"/>
    <n v="0.5"/>
    <n v="80"/>
    <x v="1"/>
  </r>
  <r>
    <n v="442"/>
    <s v="Tiffany Moore"/>
    <s v="Male"/>
    <n v="90"/>
    <n v="17"/>
    <n v="65"/>
    <n v="3"/>
    <x v="2"/>
    <n v="80"/>
    <n v="4.5"/>
    <n v="99"/>
    <x v="0"/>
  </r>
  <r>
    <n v="443"/>
    <s v="Sylvia Chavez"/>
    <s v="Female"/>
    <n v="95"/>
    <n v="15"/>
    <n v="70"/>
    <n v="0"/>
    <x v="0"/>
    <n v="78"/>
    <n v="3.9"/>
    <n v="74"/>
    <x v="0"/>
  </r>
  <r>
    <n v="444"/>
    <s v="Gerald Reilly"/>
    <s v="Female"/>
    <n v="78"/>
    <n v="18"/>
    <n v="77"/>
    <n v="3"/>
    <x v="0"/>
    <n v="85"/>
    <n v="3"/>
    <m/>
    <x v="0"/>
  </r>
  <r>
    <n v="445"/>
    <s v="Ashlee Wilcox"/>
    <s v="Male"/>
    <n v="85"/>
    <n v="15"/>
    <n v="86"/>
    <n v="2"/>
    <x v="0"/>
    <n v="72"/>
    <n v="0"/>
    <n v="91"/>
    <x v="1"/>
  </r>
  <r>
    <n v="446"/>
    <s v="Lance Johnson"/>
    <s v="Female"/>
    <n v="95"/>
    <n v="20"/>
    <n v="65"/>
    <n v="0"/>
    <x v="2"/>
    <n v="88"/>
    <n v="1.3"/>
    <n v="84"/>
    <x v="0"/>
  </r>
  <r>
    <n v="447"/>
    <m/>
    <s v="Female"/>
    <n v="70"/>
    <n v="25"/>
    <n v="60"/>
    <n v="2"/>
    <x v="2"/>
    <n v="78"/>
    <m/>
    <n v="85"/>
    <x v="0"/>
  </r>
  <r>
    <n v="448"/>
    <m/>
    <s v="Female"/>
    <n v="91"/>
    <n v="17.630526315789474"/>
    <n v="60"/>
    <n v="0"/>
    <x v="2"/>
    <n v="87"/>
    <n v="3.7"/>
    <n v="78"/>
    <x v="1"/>
  </r>
  <r>
    <n v="449"/>
    <s v="Patrick Gonzalez MD"/>
    <s v="Male"/>
    <n v="82"/>
    <n v="8"/>
    <n v="88"/>
    <n v="2"/>
    <x v="2"/>
    <n v="80"/>
    <n v="0.8"/>
    <n v="90"/>
    <x v="1"/>
  </r>
  <r>
    <n v="450"/>
    <s v="Cole Gomez"/>
    <s v="Male"/>
    <n v="85"/>
    <n v="22"/>
    <n v="60"/>
    <n v="2"/>
    <x v="0"/>
    <n v="85"/>
    <n v="1.1000000000000001"/>
    <n v="55"/>
    <x v="1"/>
  </r>
  <r>
    <n v="451"/>
    <s v="Alejandro Gutierrez"/>
    <s v="Female"/>
    <n v="91"/>
    <n v="12"/>
    <n v="82"/>
    <n v="3"/>
    <x v="0"/>
    <n v="68"/>
    <n v="3.2"/>
    <n v="78"/>
    <x v="1"/>
  </r>
  <r>
    <n v="452"/>
    <s v="Natalie Long"/>
    <s v="Female"/>
    <n v="92"/>
    <n v="15"/>
    <n v="86"/>
    <n v="2"/>
    <x v="2"/>
    <n v="92"/>
    <n v="3.1"/>
    <n v="93"/>
    <x v="1"/>
  </r>
  <r>
    <n v="453"/>
    <s v="Abigail Ingram"/>
    <s v="Male"/>
    <n v="85"/>
    <n v="10"/>
    <n v="85"/>
    <n v="2"/>
    <x v="1"/>
    <n v="90"/>
    <n v="3.3"/>
    <n v="75"/>
    <x v="1"/>
  </r>
  <r>
    <n v="454"/>
    <s v="Eileen Lee"/>
    <s v="Male"/>
    <n v="90"/>
    <n v="20"/>
    <n v="70"/>
    <n v="2"/>
    <x v="2"/>
    <n v="72"/>
    <n v="4.5999999999999996"/>
    <n v="72"/>
    <x v="0"/>
  </r>
  <r>
    <n v="455"/>
    <s v="Nancy Moore"/>
    <s v="Unknown"/>
    <n v="91"/>
    <n v="25"/>
    <n v="77"/>
    <n v="0"/>
    <x v="2"/>
    <n v="80"/>
    <n v="1.3"/>
    <n v="76"/>
    <x v="1"/>
  </r>
  <r>
    <n v="456"/>
    <s v="Melanie Wilson"/>
    <s v="Female"/>
    <n v="95"/>
    <n v="20"/>
    <n v="70"/>
    <n v="2"/>
    <x v="2"/>
    <n v="88"/>
    <n v="1.3"/>
    <n v="78"/>
    <x v="0"/>
  </r>
  <r>
    <n v="457"/>
    <s v="Gloria Henderson"/>
    <s v="Male"/>
    <n v="95"/>
    <n v="17"/>
    <n v="77"/>
    <n v="3"/>
    <x v="0"/>
    <n v="78"/>
    <n v="0.6"/>
    <m/>
    <x v="0"/>
  </r>
  <r>
    <n v="458"/>
    <s v="Christopher Payne"/>
    <s v="Male"/>
    <n v="95"/>
    <n v="8"/>
    <n v="88"/>
    <n v="2"/>
    <x v="2"/>
    <n v="80"/>
    <n v="3.5"/>
    <n v="66"/>
    <x v="1"/>
  </r>
  <r>
    <n v="459"/>
    <s v="John Franklin"/>
    <s v="Male"/>
    <n v="70"/>
    <n v="30"/>
    <n v="85"/>
    <n v="2"/>
    <x v="0"/>
    <n v="78"/>
    <n v="1.6"/>
    <n v="63"/>
    <x v="0"/>
  </r>
  <r>
    <n v="460"/>
    <s v="Angel Stout"/>
    <s v="Male"/>
    <n v="85"/>
    <n v="25"/>
    <n v="90"/>
    <n v="3"/>
    <x v="1"/>
    <n v="92"/>
    <n v="1.1000000000000001"/>
    <n v="65"/>
    <x v="0"/>
  </r>
  <r>
    <n v="461"/>
    <s v="James Watkins"/>
    <s v="Male"/>
    <n v="90"/>
    <n v="20"/>
    <n v="77"/>
    <n v="3"/>
    <x v="0"/>
    <n v="72"/>
    <n v="4.8"/>
    <m/>
    <x v="0"/>
  </r>
  <r>
    <n v="462"/>
    <s v="Candace Kelly"/>
    <s v="Female"/>
    <n v="91"/>
    <n v="18"/>
    <n v="77"/>
    <n v="0"/>
    <x v="3"/>
    <n v="85"/>
    <n v="2"/>
    <n v="98"/>
    <x v="1"/>
  </r>
  <r>
    <n v="463"/>
    <s v="Zachary Daniel"/>
    <s v="Female"/>
    <n v="85"/>
    <n v="12"/>
    <n v="78"/>
    <n v="2"/>
    <x v="1"/>
    <n v="62"/>
    <n v="4.3"/>
    <n v="99"/>
    <x v="1"/>
  </r>
  <r>
    <n v="464"/>
    <s v="Angel Howard"/>
    <s v="Male"/>
    <n v="82"/>
    <n v="17"/>
    <n v="88"/>
    <n v="1"/>
    <x v="0"/>
    <n v="92"/>
    <n v="1.9"/>
    <n v="56"/>
    <x v="0"/>
  </r>
  <r>
    <n v="465"/>
    <s v="Heather Hill"/>
    <s v="Female"/>
    <n v="78"/>
    <n v="12"/>
    <n v="77.598759048603924"/>
    <n v="3"/>
    <x v="1"/>
    <n v="78"/>
    <n v="4.8"/>
    <n v="71"/>
    <x v="0"/>
  </r>
  <r>
    <n v="466"/>
    <s v="Heather Gamble"/>
    <s v="Unknown"/>
    <n v="70"/>
    <n v="25"/>
    <n v="60"/>
    <n v="1"/>
    <x v="1"/>
    <n v="62"/>
    <n v="1.4"/>
    <n v="61"/>
    <x v="1"/>
  </r>
  <r>
    <n v="467"/>
    <s v="Sean Levine"/>
    <s v="Male"/>
    <n v="88"/>
    <n v="25"/>
    <n v="70"/>
    <n v="0"/>
    <x v="1"/>
    <n v="92"/>
    <n v="0.7"/>
    <n v="97"/>
    <x v="1"/>
  </r>
  <r>
    <n v="468"/>
    <s v="Brian Diaz"/>
    <s v="Male"/>
    <n v="78"/>
    <n v="8"/>
    <n v="77"/>
    <n v="0"/>
    <x v="2"/>
    <n v="72"/>
    <n v="2.7"/>
    <n v="70"/>
    <x v="0"/>
  </r>
  <r>
    <n v="469"/>
    <s v="Catherine Koch"/>
    <s v="Female"/>
    <n v="82"/>
    <n v="22"/>
    <n v="78"/>
    <n v="0"/>
    <x v="0"/>
    <n v="68"/>
    <n v="0.3"/>
    <n v="66"/>
    <x v="0"/>
  </r>
  <r>
    <n v="470"/>
    <m/>
    <s v="Female"/>
    <n v="95"/>
    <n v="18"/>
    <n v="88"/>
    <n v="1"/>
    <x v="2"/>
    <n v="72"/>
    <n v="4.7"/>
    <n v="66"/>
    <x v="0"/>
  </r>
  <r>
    <n v="471"/>
    <s v="Anne Martin"/>
    <s v="Female"/>
    <n v="90"/>
    <n v="30"/>
    <n v="86"/>
    <n v="1"/>
    <x v="2"/>
    <n v="88"/>
    <n v="3.2"/>
    <n v="84"/>
    <x v="1"/>
  </r>
  <r>
    <n v="472"/>
    <s v="Mary Warren"/>
    <s v="Female"/>
    <n v="95"/>
    <n v="12"/>
    <n v="77"/>
    <n v="1"/>
    <x v="0"/>
    <n v="62"/>
    <n v="3.1"/>
    <n v="79"/>
    <x v="1"/>
  </r>
  <r>
    <n v="473"/>
    <s v="Amanda Bryant"/>
    <s v="Female"/>
    <n v="70"/>
    <n v="22"/>
    <n v="86"/>
    <n v="0"/>
    <x v="0"/>
    <n v="87"/>
    <n v="0.8"/>
    <n v="64"/>
    <x v="0"/>
  </r>
  <r>
    <n v="474"/>
    <s v="Joel Ford"/>
    <s v="Female"/>
    <n v="88"/>
    <n v="22"/>
    <n v="60"/>
    <n v="2"/>
    <x v="1"/>
    <n v="90"/>
    <n v="3.7"/>
    <n v="83"/>
    <x v="0"/>
  </r>
  <r>
    <n v="475"/>
    <s v="Mark Miller"/>
    <s v="Male"/>
    <n v="78"/>
    <n v="15"/>
    <n v="65"/>
    <n v="3"/>
    <x v="2"/>
    <n v="85"/>
    <n v="4.7"/>
    <n v="94"/>
    <x v="1"/>
  </r>
  <r>
    <n v="476"/>
    <s v="Sarah Russell"/>
    <s v="Unknown"/>
    <n v="70"/>
    <n v="20"/>
    <n v="85"/>
    <n v="2"/>
    <x v="1"/>
    <n v="72"/>
    <n v="0.3"/>
    <n v="99"/>
    <x v="0"/>
  </r>
  <r>
    <n v="477"/>
    <s v="Lisa Mitchell"/>
    <s v="Male"/>
    <n v="90"/>
    <n v="18"/>
    <n v="86"/>
    <n v="0"/>
    <x v="0"/>
    <n v="62"/>
    <n v="1.5"/>
    <n v="65"/>
    <x v="0"/>
  </r>
  <r>
    <n v="478"/>
    <s v="William White"/>
    <s v="Male"/>
    <n v="78"/>
    <n v="12"/>
    <n v="65"/>
    <n v="1"/>
    <x v="0"/>
    <n v="90"/>
    <n v="4.3"/>
    <n v="70"/>
    <x v="0"/>
  </r>
  <r>
    <n v="479"/>
    <s v="Jacqueline Garcia"/>
    <s v="Female"/>
    <n v="82"/>
    <n v="17"/>
    <n v="65"/>
    <n v="2"/>
    <x v="0"/>
    <n v="88"/>
    <m/>
    <n v="90"/>
    <x v="0"/>
  </r>
  <r>
    <n v="480"/>
    <s v="Elizabeth Wright"/>
    <s v="Female"/>
    <n v="95"/>
    <n v="17"/>
    <n v="70"/>
    <n v="3"/>
    <x v="0"/>
    <n v="78"/>
    <n v="1.5"/>
    <n v="76"/>
    <x v="0"/>
  </r>
  <r>
    <n v="481"/>
    <s v="Pamela Woods"/>
    <s v="Unknown"/>
    <n v="85"/>
    <n v="15"/>
    <n v="70"/>
    <n v="0"/>
    <x v="1"/>
    <n v="85"/>
    <n v="2.2999999999999998"/>
    <n v="50"/>
    <x v="0"/>
  </r>
  <r>
    <n v="482"/>
    <s v="Sydney Patterson"/>
    <s v="Female"/>
    <n v="85"/>
    <n v="8"/>
    <n v="82"/>
    <n v="3"/>
    <x v="0"/>
    <n v="80"/>
    <n v="2.7"/>
    <n v="62"/>
    <x v="0"/>
  </r>
  <r>
    <n v="483"/>
    <s v="Lisa Johnson"/>
    <s v="Female"/>
    <n v="92"/>
    <n v="10"/>
    <n v="60"/>
    <n v="0"/>
    <x v="0"/>
    <n v="85"/>
    <n v="0.4"/>
    <n v="90"/>
    <x v="1"/>
  </r>
  <r>
    <n v="484"/>
    <s v="Todd Jackson"/>
    <s v="Female"/>
    <n v="88"/>
    <n v="12"/>
    <n v="82"/>
    <n v="0"/>
    <x v="0"/>
    <n v="87"/>
    <n v="0.9"/>
    <n v="68"/>
    <x v="1"/>
  </r>
  <r>
    <n v="485"/>
    <s v="Shelby Richards"/>
    <s v="Female"/>
    <n v="88"/>
    <n v="22"/>
    <n v="77"/>
    <n v="3"/>
    <x v="1"/>
    <n v="80"/>
    <n v="0.8"/>
    <n v="84"/>
    <x v="1"/>
  </r>
  <r>
    <n v="486"/>
    <s v="Joseph Roberts"/>
    <s v="Male"/>
    <n v="88"/>
    <n v="18"/>
    <n v="65"/>
    <n v="1"/>
    <x v="2"/>
    <n v="80"/>
    <n v="1.2"/>
    <n v="59"/>
    <x v="1"/>
  </r>
  <r>
    <n v="487"/>
    <s v="Samantha Burton"/>
    <s v="Male"/>
    <n v="95"/>
    <n v="8"/>
    <n v="82"/>
    <n v="1"/>
    <x v="1"/>
    <n v="78"/>
    <n v="3.5"/>
    <n v="52"/>
    <x v="0"/>
  </r>
  <r>
    <n v="488"/>
    <s v="Cynthia Mcdonald"/>
    <s v="Male"/>
    <n v="85"/>
    <n v="18"/>
    <n v="60"/>
    <n v="2"/>
    <x v="2"/>
    <n v="78"/>
    <n v="0.9"/>
    <n v="66"/>
    <x v="0"/>
  </r>
  <r>
    <n v="489"/>
    <s v="Kimberly Petty"/>
    <s v="Male"/>
    <n v="92"/>
    <n v="8"/>
    <n v="77"/>
    <n v="3"/>
    <x v="2"/>
    <n v="80"/>
    <n v="1"/>
    <n v="97"/>
    <x v="1"/>
  </r>
  <r>
    <n v="490"/>
    <s v="Joshua Carpenter"/>
    <s v="Male"/>
    <n v="85"/>
    <n v="8"/>
    <n v="82"/>
    <n v="1"/>
    <x v="0"/>
    <n v="80"/>
    <n v="3.7"/>
    <n v="85"/>
    <x v="1"/>
  </r>
  <r>
    <n v="491"/>
    <s v="Jessica Fuller"/>
    <s v="Female"/>
    <n v="88"/>
    <n v="25"/>
    <n v="88"/>
    <n v="1"/>
    <x v="2"/>
    <n v="92"/>
    <n v="4.9000000000000004"/>
    <n v="65"/>
    <x v="0"/>
  </r>
  <r>
    <n v="492"/>
    <s v="Andrea Barber"/>
    <s v="Male"/>
    <n v="78"/>
    <n v="18"/>
    <n v="86"/>
    <n v="2"/>
    <x v="1"/>
    <n v="92"/>
    <n v="0"/>
    <n v="52"/>
    <x v="0"/>
  </r>
  <r>
    <n v="493"/>
    <s v="Brian Lyons"/>
    <s v="Female"/>
    <n v="90"/>
    <n v="25"/>
    <n v="65"/>
    <n v="1"/>
    <x v="0"/>
    <n v="88"/>
    <n v="1.7"/>
    <n v="98"/>
    <x v="1"/>
  </r>
  <r>
    <n v="494"/>
    <s v="Tammy Fuentes"/>
    <s v="Female"/>
    <n v="78"/>
    <n v="12"/>
    <n v="85"/>
    <n v="0"/>
    <x v="1"/>
    <n v="92"/>
    <m/>
    <n v="85"/>
    <x v="0"/>
  </r>
  <r>
    <n v="495"/>
    <s v="Robert Taylor"/>
    <s v="Male"/>
    <n v="85"/>
    <n v="8"/>
    <n v="88"/>
    <n v="0"/>
    <x v="1"/>
    <n v="80"/>
    <n v="2.4"/>
    <n v="78"/>
    <x v="0"/>
  </r>
  <r>
    <n v="496"/>
    <s v="David Gonzalez"/>
    <s v="Female"/>
    <n v="92"/>
    <n v="22"/>
    <n v="65"/>
    <n v="2"/>
    <x v="1"/>
    <m/>
    <n v="3.7"/>
    <n v="67"/>
    <x v="1"/>
  </r>
  <r>
    <n v="497"/>
    <s v="Steven Myers"/>
    <s v="Male"/>
    <n v="85"/>
    <n v="18"/>
    <n v="82"/>
    <n v="2"/>
    <x v="1"/>
    <n v="78"/>
    <n v="0"/>
    <n v="90"/>
    <x v="0"/>
  </r>
  <r>
    <n v="498"/>
    <s v="Cassandra Perez"/>
    <s v="Male"/>
    <n v="91"/>
    <n v="30"/>
    <n v="86"/>
    <n v="3"/>
    <x v="1"/>
    <n v="87"/>
    <n v="3.3"/>
    <n v="84"/>
    <x v="0"/>
  </r>
  <r>
    <n v="499"/>
    <s v="Jacqueline Eaton"/>
    <s v="Female"/>
    <n v="82"/>
    <n v="10"/>
    <n v="86"/>
    <n v="2"/>
    <x v="3"/>
    <n v="62"/>
    <n v="3.2"/>
    <n v="57"/>
    <x v="1"/>
  </r>
  <r>
    <n v="500"/>
    <s v="Carrie Mccoy"/>
    <s v="Male"/>
    <n v="85"/>
    <n v="10"/>
    <n v="65"/>
    <n v="1"/>
    <x v="0"/>
    <n v="87"/>
    <n v="2.4"/>
    <m/>
    <x v="1"/>
  </r>
  <r>
    <n v="501"/>
    <s v="Amy Fisher"/>
    <s v="Female"/>
    <n v="82"/>
    <n v="22"/>
    <n v="86"/>
    <n v="2"/>
    <x v="0"/>
    <n v="90"/>
    <n v="1.1000000000000001"/>
    <n v="95"/>
    <x v="1"/>
  </r>
  <r>
    <n v="502"/>
    <s v="Stephanie Reid"/>
    <s v="Male"/>
    <n v="85"/>
    <n v="20"/>
    <n v="77"/>
    <n v="1"/>
    <x v="1"/>
    <n v="72"/>
    <n v="3.7"/>
    <n v="76"/>
    <x v="0"/>
  </r>
  <r>
    <n v="503"/>
    <s v="Reginald Hoover"/>
    <s v="Female"/>
    <n v="82"/>
    <n v="15"/>
    <n v="85"/>
    <n v="1"/>
    <x v="0"/>
    <n v="92"/>
    <n v="4.8"/>
    <n v="56"/>
    <x v="1"/>
  </r>
  <r>
    <n v="504"/>
    <s v="Christina Russo"/>
    <s v="Female"/>
    <n v="92"/>
    <n v="25"/>
    <n v="70"/>
    <n v="3"/>
    <x v="2"/>
    <n v="68"/>
    <n v="2.8"/>
    <n v="85"/>
    <x v="0"/>
  </r>
  <r>
    <n v="505"/>
    <s v="Raymond Howell"/>
    <s v="Female"/>
    <n v="85"/>
    <n v="8"/>
    <n v="85"/>
    <n v="0"/>
    <x v="0"/>
    <n v="72"/>
    <n v="2"/>
    <n v="71"/>
    <x v="1"/>
  </r>
  <r>
    <n v="506"/>
    <s v="Angela Perez"/>
    <s v="Female"/>
    <n v="95"/>
    <n v="30"/>
    <n v="70"/>
    <n v="1"/>
    <x v="1"/>
    <n v="62"/>
    <n v="3.8"/>
    <n v="77"/>
    <x v="0"/>
  </r>
  <r>
    <n v="507"/>
    <s v="Charles Aguilar"/>
    <s v="Male"/>
    <n v="70"/>
    <n v="12"/>
    <n v="82"/>
    <n v="1"/>
    <x v="1"/>
    <n v="78"/>
    <n v="4.8"/>
    <n v="50"/>
    <x v="1"/>
  </r>
  <r>
    <n v="508"/>
    <s v="Caitlyn Green"/>
    <s v="Male"/>
    <n v="82"/>
    <n v="10"/>
    <n v="82"/>
    <n v="1"/>
    <x v="1"/>
    <n v="92"/>
    <m/>
    <n v="70"/>
    <x v="1"/>
  </r>
  <r>
    <n v="509"/>
    <s v="Ronald Davis"/>
    <s v="Unknown"/>
    <n v="90"/>
    <n v="15"/>
    <n v="77"/>
    <n v="1"/>
    <x v="0"/>
    <n v="68"/>
    <n v="1.3"/>
    <n v="87"/>
    <x v="1"/>
  </r>
  <r>
    <n v="510"/>
    <s v="Melissa Lucas"/>
    <s v="Female"/>
    <n v="88"/>
    <n v="20"/>
    <n v="86"/>
    <n v="0"/>
    <x v="2"/>
    <n v="92"/>
    <n v="3.7"/>
    <n v="96"/>
    <x v="0"/>
  </r>
  <r>
    <n v="511"/>
    <s v="Heidi Leonard"/>
    <s v="Male"/>
    <n v="85"/>
    <n v="22"/>
    <n v="85"/>
    <n v="3"/>
    <x v="2"/>
    <n v="85"/>
    <n v="0.2"/>
    <n v="86"/>
    <x v="0"/>
  </r>
  <r>
    <n v="512"/>
    <s v="Samantha Patton"/>
    <s v="Male"/>
    <n v="95"/>
    <n v="30"/>
    <n v="60"/>
    <n v="0"/>
    <x v="0"/>
    <n v="92"/>
    <n v="3.7"/>
    <n v="88"/>
    <x v="1"/>
  </r>
  <r>
    <n v="513"/>
    <s v="Richard Swanson"/>
    <s v="Male"/>
    <n v="88"/>
    <n v="12"/>
    <n v="78"/>
    <n v="1"/>
    <x v="2"/>
    <n v="88"/>
    <n v="0.7"/>
    <n v="82"/>
    <x v="1"/>
  </r>
  <r>
    <n v="514"/>
    <s v="Lauren Simpson"/>
    <s v="Male"/>
    <n v="70"/>
    <n v="17"/>
    <n v="86"/>
    <n v="3"/>
    <x v="2"/>
    <n v="87"/>
    <n v="1.1000000000000001"/>
    <n v="68"/>
    <x v="0"/>
  </r>
  <r>
    <n v="515"/>
    <s v="Kimberly Raymond"/>
    <s v="Male"/>
    <n v="95"/>
    <n v="20"/>
    <n v="77"/>
    <n v="3"/>
    <x v="2"/>
    <n v="80"/>
    <n v="2.7"/>
    <n v="66"/>
    <x v="1"/>
  </r>
  <r>
    <n v="516"/>
    <s v="Marissa Raymond"/>
    <s v="Unknown"/>
    <n v="78"/>
    <n v="10"/>
    <n v="77"/>
    <n v="2"/>
    <x v="0"/>
    <n v="78"/>
    <n v="2"/>
    <n v="86"/>
    <x v="1"/>
  </r>
  <r>
    <n v="517"/>
    <s v="Joyce Bishop"/>
    <s v="Male"/>
    <n v="92"/>
    <n v="17.630526315789474"/>
    <n v="82"/>
    <n v="0"/>
    <x v="1"/>
    <n v="88"/>
    <n v="0.4"/>
    <n v="92"/>
    <x v="0"/>
  </r>
  <r>
    <n v="518"/>
    <s v="Michael Kelly"/>
    <s v="Female"/>
    <n v="95"/>
    <n v="25"/>
    <n v="88"/>
    <n v="1"/>
    <x v="2"/>
    <n v="80"/>
    <n v="3.8"/>
    <n v="60"/>
    <x v="0"/>
  </r>
  <r>
    <n v="519"/>
    <s v="Peggy Hill"/>
    <s v="Male"/>
    <n v="85"/>
    <n v="15"/>
    <n v="90"/>
    <n v="3"/>
    <x v="2"/>
    <n v="90"/>
    <n v="0.8"/>
    <n v="96"/>
    <x v="1"/>
  </r>
  <r>
    <n v="520"/>
    <s v="Derrick Love"/>
    <s v="Male"/>
    <n v="85.510416666666671"/>
    <n v="22"/>
    <n v="65"/>
    <n v="2"/>
    <x v="0"/>
    <n v="90"/>
    <n v="3.5"/>
    <n v="57"/>
    <x v="0"/>
  </r>
  <r>
    <n v="521"/>
    <s v="Laura Stevens"/>
    <s v="Female"/>
    <n v="85"/>
    <n v="30"/>
    <n v="90"/>
    <n v="2"/>
    <x v="0"/>
    <n v="92"/>
    <n v="2.7"/>
    <n v="98"/>
    <x v="0"/>
  </r>
  <r>
    <n v="522"/>
    <s v="Terri Potter"/>
    <s v="Female"/>
    <n v="91"/>
    <n v="10"/>
    <n v="78"/>
    <n v="0"/>
    <x v="2"/>
    <n v="72"/>
    <n v="0.2"/>
    <n v="60"/>
    <x v="1"/>
  </r>
  <r>
    <n v="523"/>
    <s v="Veronica Saunders"/>
    <s v="Male"/>
    <n v="91"/>
    <n v="18"/>
    <n v="78"/>
    <n v="1"/>
    <x v="2"/>
    <n v="80"/>
    <n v="0.3"/>
    <n v="92"/>
    <x v="0"/>
  </r>
  <r>
    <n v="524"/>
    <s v="Emily Townsend"/>
    <s v="Male"/>
    <n v="85"/>
    <n v="18"/>
    <n v="60"/>
    <n v="3"/>
    <x v="1"/>
    <n v="72"/>
    <n v="4.9000000000000004"/>
    <n v="56"/>
    <x v="2"/>
  </r>
  <r>
    <n v="525"/>
    <s v="James Long"/>
    <s v="Male"/>
    <n v="78"/>
    <n v="25"/>
    <n v="70"/>
    <n v="1"/>
    <x v="2"/>
    <m/>
    <m/>
    <n v="83"/>
    <x v="0"/>
  </r>
  <r>
    <n v="526"/>
    <s v="Jennifer Dickson"/>
    <s v="Female"/>
    <n v="70"/>
    <n v="10"/>
    <n v="78"/>
    <n v="1"/>
    <x v="2"/>
    <n v="90"/>
    <n v="1.8"/>
    <n v="69"/>
    <x v="1"/>
  </r>
  <r>
    <n v="527"/>
    <s v="Alexa West"/>
    <s v="Female"/>
    <n v="85"/>
    <n v="18"/>
    <n v="60"/>
    <n v="1"/>
    <x v="2"/>
    <n v="85"/>
    <n v="1.1000000000000001"/>
    <n v="71"/>
    <x v="0"/>
  </r>
  <r>
    <n v="528"/>
    <s v="Phillip Donovan"/>
    <s v="Male"/>
    <n v="70"/>
    <n v="12"/>
    <n v="86"/>
    <n v="3"/>
    <x v="1"/>
    <n v="92"/>
    <n v="2.9"/>
    <n v="77"/>
    <x v="0"/>
  </r>
  <r>
    <n v="529"/>
    <s v="Monique King"/>
    <s v="Female"/>
    <n v="82"/>
    <n v="10"/>
    <n v="90"/>
    <n v="0"/>
    <x v="2"/>
    <n v="72"/>
    <n v="3.4"/>
    <n v="62"/>
    <x v="1"/>
  </r>
  <r>
    <n v="530"/>
    <s v="Karl Murray"/>
    <s v="Male"/>
    <n v="70"/>
    <n v="17.630526315789474"/>
    <n v="86"/>
    <n v="0"/>
    <x v="1"/>
    <n v="87"/>
    <n v="2.8"/>
    <n v="96"/>
    <x v="1"/>
  </r>
  <r>
    <n v="531"/>
    <s v="Julia Brooks"/>
    <s v="Female"/>
    <n v="78"/>
    <n v="15"/>
    <n v="88"/>
    <n v="0"/>
    <x v="1"/>
    <m/>
    <n v="2.2000000000000002"/>
    <n v="90"/>
    <x v="0"/>
  </r>
  <r>
    <n v="532"/>
    <s v="Lauren Montgomery"/>
    <s v="Male"/>
    <n v="85.510416666666671"/>
    <n v="10"/>
    <n v="65"/>
    <n v="1"/>
    <x v="2"/>
    <n v="88"/>
    <n v="1.3"/>
    <n v="86"/>
    <x v="1"/>
  </r>
  <r>
    <n v="533"/>
    <s v="Nathan Wall"/>
    <s v="Male"/>
    <n v="85"/>
    <n v="30"/>
    <n v="85"/>
    <n v="1"/>
    <x v="0"/>
    <n v="72"/>
    <n v="4.2"/>
    <n v="80"/>
    <x v="0"/>
  </r>
  <r>
    <n v="534"/>
    <s v="Kristin Macias"/>
    <s v="Female"/>
    <n v="85"/>
    <n v="17"/>
    <n v="65"/>
    <n v="0"/>
    <x v="0"/>
    <n v="92"/>
    <n v="0.2"/>
    <n v="98"/>
    <x v="1"/>
  </r>
  <r>
    <n v="535"/>
    <s v="Samuel Smith"/>
    <s v="Female"/>
    <n v="92"/>
    <n v="25"/>
    <n v="90"/>
    <n v="2"/>
    <x v="0"/>
    <m/>
    <n v="4.3"/>
    <n v="81"/>
    <x v="0"/>
  </r>
  <r>
    <n v="536"/>
    <m/>
    <s v="Male"/>
    <n v="70"/>
    <n v="8"/>
    <n v="78"/>
    <n v="3"/>
    <x v="2"/>
    <n v="62"/>
    <n v="3.6"/>
    <n v="75"/>
    <x v="1"/>
  </r>
  <r>
    <n v="537"/>
    <s v="Bradley Stevens"/>
    <s v="Male"/>
    <n v="85"/>
    <n v="17"/>
    <n v="78"/>
    <n v="3"/>
    <x v="2"/>
    <n v="72"/>
    <n v="2"/>
    <n v="97"/>
    <x v="1"/>
  </r>
  <r>
    <n v="538"/>
    <s v="Morgan Hampton"/>
    <s v="Male"/>
    <n v="92"/>
    <n v="18"/>
    <n v="77"/>
    <n v="0"/>
    <x v="1"/>
    <n v="85"/>
    <n v="2.2999999999999998"/>
    <n v="77"/>
    <x v="0"/>
  </r>
  <r>
    <n v="539"/>
    <s v="Lori Carrillo"/>
    <s v="Male"/>
    <n v="85"/>
    <n v="17"/>
    <n v="85"/>
    <n v="2"/>
    <x v="0"/>
    <n v="68"/>
    <n v="3.9"/>
    <n v="94"/>
    <x v="1"/>
  </r>
  <r>
    <n v="540"/>
    <s v="Samantha Novak"/>
    <s v="Female"/>
    <n v="95"/>
    <n v="17"/>
    <n v="78"/>
    <n v="0"/>
    <x v="1"/>
    <n v="88"/>
    <n v="4.5"/>
    <n v="62"/>
    <x v="0"/>
  </r>
  <r>
    <n v="541"/>
    <s v="Audrey Robinson"/>
    <s v="Female"/>
    <n v="95"/>
    <n v="10"/>
    <n v="85"/>
    <n v="2"/>
    <x v="0"/>
    <n v="78"/>
    <n v="3.2"/>
    <n v="55"/>
    <x v="0"/>
  </r>
  <r>
    <n v="542"/>
    <s v="Lindsey Kerr"/>
    <s v="Male"/>
    <n v="70"/>
    <n v="12"/>
    <n v="60"/>
    <n v="1"/>
    <x v="0"/>
    <n v="90"/>
    <n v="2.8"/>
    <n v="92"/>
    <x v="1"/>
  </r>
  <r>
    <n v="543"/>
    <s v="Cynthia Nguyen"/>
    <s v="Male"/>
    <n v="78"/>
    <n v="15"/>
    <n v="60"/>
    <n v="2"/>
    <x v="1"/>
    <n v="78"/>
    <n v="1.4"/>
    <n v="61"/>
    <x v="1"/>
  </r>
  <r>
    <n v="544"/>
    <s v="Ryan Hood"/>
    <s v="Male"/>
    <n v="85"/>
    <n v="22"/>
    <n v="82"/>
    <n v="1"/>
    <x v="1"/>
    <n v="78"/>
    <n v="4.3"/>
    <n v="84"/>
    <x v="2"/>
  </r>
  <r>
    <n v="545"/>
    <s v="Matthew Stevenson"/>
    <s v="Male"/>
    <n v="92"/>
    <n v="22"/>
    <n v="77"/>
    <n v="1"/>
    <x v="1"/>
    <n v="78"/>
    <n v="0.4"/>
    <n v="88"/>
    <x v="1"/>
  </r>
  <r>
    <n v="546"/>
    <s v="Rhonda White"/>
    <s v="Female"/>
    <n v="91"/>
    <n v="12"/>
    <n v="90"/>
    <n v="1"/>
    <x v="0"/>
    <n v="68"/>
    <n v="0.3"/>
    <n v="72"/>
    <x v="1"/>
  </r>
  <r>
    <n v="547"/>
    <s v="Larry Ramsey"/>
    <s v="Male"/>
    <n v="91"/>
    <n v="22"/>
    <n v="82"/>
    <n v="1"/>
    <x v="0"/>
    <n v="80"/>
    <n v="0.5"/>
    <n v="61"/>
    <x v="1"/>
  </r>
  <r>
    <n v="548"/>
    <s v="Kimberly Anderson"/>
    <s v="Male"/>
    <n v="85"/>
    <n v="22"/>
    <n v="88"/>
    <n v="1"/>
    <x v="0"/>
    <n v="85"/>
    <n v="1.6"/>
    <n v="74"/>
    <x v="1"/>
  </r>
  <r>
    <n v="549"/>
    <s v="Brian Miles"/>
    <s v="Male"/>
    <n v="88"/>
    <n v="17"/>
    <n v="77.598759048603924"/>
    <n v="2"/>
    <x v="2"/>
    <m/>
    <n v="1.6"/>
    <n v="76"/>
    <x v="1"/>
  </r>
  <r>
    <n v="550"/>
    <s v="Kelly Baker"/>
    <s v="Male"/>
    <n v="90"/>
    <n v="22"/>
    <n v="70"/>
    <n v="2"/>
    <x v="1"/>
    <n v="88"/>
    <n v="4.7"/>
    <n v="95"/>
    <x v="0"/>
  </r>
  <r>
    <n v="551"/>
    <s v="Wendy Miller"/>
    <s v="Female"/>
    <n v="88"/>
    <n v="12"/>
    <n v="86"/>
    <n v="3"/>
    <x v="1"/>
    <n v="68"/>
    <n v="3.1"/>
    <n v="81"/>
    <x v="0"/>
  </r>
  <r>
    <n v="552"/>
    <s v="Michael Webster"/>
    <s v="Male"/>
    <n v="91"/>
    <n v="25"/>
    <n v="82"/>
    <n v="3"/>
    <x v="0"/>
    <n v="87"/>
    <n v="0.1"/>
    <n v="90"/>
    <x v="1"/>
  </r>
  <r>
    <n v="553"/>
    <s v="Michelle Ryan"/>
    <s v="Female"/>
    <n v="70"/>
    <n v="15"/>
    <n v="88"/>
    <n v="1"/>
    <x v="2"/>
    <n v="92"/>
    <n v="0.1"/>
    <n v="62"/>
    <x v="0"/>
  </r>
  <r>
    <n v="554"/>
    <s v="Justin Jennings"/>
    <s v="Male"/>
    <n v="88"/>
    <n v="18"/>
    <n v="70"/>
    <n v="2"/>
    <x v="1"/>
    <n v="80"/>
    <n v="0.6"/>
    <n v="71"/>
    <x v="0"/>
  </r>
  <r>
    <n v="555"/>
    <s v="Norma Ward"/>
    <s v="Male"/>
    <n v="78"/>
    <n v="25"/>
    <n v="88"/>
    <n v="1"/>
    <x v="2"/>
    <n v="78"/>
    <n v="4.5999999999999996"/>
    <n v="52"/>
    <x v="1"/>
  </r>
  <r>
    <n v="556"/>
    <m/>
    <s v="Male"/>
    <n v="85"/>
    <n v="12"/>
    <n v="88"/>
    <n v="1"/>
    <x v="1"/>
    <n v="80"/>
    <n v="4.2"/>
    <n v="69"/>
    <x v="0"/>
  </r>
  <r>
    <n v="557"/>
    <s v="Vincent Johnson"/>
    <s v="Male"/>
    <n v="92"/>
    <n v="22"/>
    <n v="77.598759048603924"/>
    <n v="1"/>
    <x v="0"/>
    <n v="68"/>
    <n v="1.4"/>
    <n v="51"/>
    <x v="0"/>
  </r>
  <r>
    <n v="558"/>
    <s v="David Stone"/>
    <s v="Unknown"/>
    <n v="91"/>
    <n v="22"/>
    <n v="60"/>
    <n v="0"/>
    <x v="2"/>
    <n v="87"/>
    <n v="4.3"/>
    <n v="98"/>
    <x v="0"/>
  </r>
  <r>
    <n v="559"/>
    <s v="Amy Evans"/>
    <s v="Male"/>
    <n v="88"/>
    <n v="8"/>
    <n v="85"/>
    <n v="1"/>
    <x v="0"/>
    <n v="90"/>
    <n v="2.2999999999999998"/>
    <n v="69"/>
    <x v="1"/>
  </r>
  <r>
    <n v="560"/>
    <s v="Caleb Walker"/>
    <s v="Female"/>
    <n v="78"/>
    <n v="20"/>
    <n v="88"/>
    <n v="1"/>
    <x v="0"/>
    <m/>
    <n v="2.2000000000000002"/>
    <n v="51"/>
    <x v="0"/>
  </r>
  <r>
    <n v="561"/>
    <s v="Stephen Ramirez"/>
    <s v="Male"/>
    <n v="92"/>
    <n v="30"/>
    <n v="77"/>
    <n v="2"/>
    <x v="1"/>
    <n v="90"/>
    <n v="0.7"/>
    <n v="56"/>
    <x v="1"/>
  </r>
  <r>
    <n v="562"/>
    <s v="Nicholas Baxter"/>
    <s v="Male"/>
    <n v="85"/>
    <n v="8"/>
    <n v="70"/>
    <n v="2"/>
    <x v="0"/>
    <n v="85"/>
    <n v="4.7"/>
    <n v="93"/>
    <x v="1"/>
  </r>
  <r>
    <n v="563"/>
    <s v="Raymond Smith"/>
    <s v="Female"/>
    <n v="85"/>
    <n v="20"/>
    <n v="70"/>
    <n v="2"/>
    <x v="0"/>
    <n v="88"/>
    <n v="3.8"/>
    <n v="90"/>
    <x v="1"/>
  </r>
  <r>
    <n v="564"/>
    <s v="Roy Johnson"/>
    <s v="Male"/>
    <n v="92"/>
    <n v="18"/>
    <n v="82"/>
    <n v="2"/>
    <x v="1"/>
    <n v="78"/>
    <n v="3.4"/>
    <n v="67"/>
    <x v="1"/>
  </r>
  <r>
    <n v="565"/>
    <s v="Ryan Vasquez"/>
    <s v="Unknown"/>
    <n v="90"/>
    <n v="15"/>
    <n v="86"/>
    <n v="2"/>
    <x v="2"/>
    <n v="87"/>
    <m/>
    <n v="72"/>
    <x v="0"/>
  </r>
  <r>
    <n v="566"/>
    <s v="Justin Johnson"/>
    <s v="Male"/>
    <n v="88"/>
    <n v="22"/>
    <n v="90"/>
    <n v="0"/>
    <x v="0"/>
    <n v="85"/>
    <n v="3.1"/>
    <n v="71"/>
    <x v="0"/>
  </r>
  <r>
    <n v="567"/>
    <m/>
    <s v="Male"/>
    <n v="85"/>
    <n v="17.630526315789474"/>
    <n v="78"/>
    <n v="2"/>
    <x v="1"/>
    <n v="80"/>
    <n v="0.4"/>
    <n v="75"/>
    <x v="1"/>
  </r>
  <r>
    <n v="568"/>
    <s v="Kaylee Benjamin"/>
    <s v="Female"/>
    <n v="88"/>
    <n v="30"/>
    <n v="90"/>
    <n v="2"/>
    <x v="0"/>
    <n v="78"/>
    <n v="2.8"/>
    <n v="55"/>
    <x v="0"/>
  </r>
  <r>
    <n v="569"/>
    <s v="Charles Murphy"/>
    <s v="Female"/>
    <n v="88"/>
    <n v="17"/>
    <n v="77"/>
    <n v="3"/>
    <x v="0"/>
    <n v="68"/>
    <n v="4.3"/>
    <n v="89"/>
    <x v="0"/>
  </r>
  <r>
    <n v="570"/>
    <s v="Grant Henderson"/>
    <s v="Female"/>
    <n v="78"/>
    <n v="17.630526315789474"/>
    <n v="88"/>
    <n v="1"/>
    <x v="1"/>
    <n v="80"/>
    <n v="0.3"/>
    <n v="57"/>
    <x v="0"/>
  </r>
  <r>
    <n v="571"/>
    <s v="Michael Woods"/>
    <s v="Female"/>
    <n v="78"/>
    <n v="18"/>
    <n v="88"/>
    <n v="3"/>
    <x v="2"/>
    <n v="68"/>
    <n v="2.5"/>
    <n v="75"/>
    <x v="1"/>
  </r>
  <r>
    <n v="572"/>
    <s v="Michael Kane"/>
    <s v="Male"/>
    <n v="88"/>
    <n v="12"/>
    <n v="77"/>
    <n v="0"/>
    <x v="2"/>
    <n v="62"/>
    <n v="1.2"/>
    <n v="65"/>
    <x v="1"/>
  </r>
  <r>
    <n v="573"/>
    <s v="Susan Benson"/>
    <s v="Female"/>
    <n v="90"/>
    <n v="30"/>
    <n v="90"/>
    <n v="3"/>
    <x v="1"/>
    <n v="62"/>
    <n v="2.8"/>
    <n v="71"/>
    <x v="1"/>
  </r>
  <r>
    <n v="574"/>
    <s v="Timothy Armstrong"/>
    <s v="Male"/>
    <n v="91"/>
    <n v="17"/>
    <n v="85"/>
    <n v="3"/>
    <x v="2"/>
    <n v="78"/>
    <n v="1.6"/>
    <n v="56"/>
    <x v="0"/>
  </r>
  <r>
    <n v="575"/>
    <s v="Cindy Harvey"/>
    <s v="Female"/>
    <n v="70"/>
    <n v="20"/>
    <n v="86"/>
    <n v="2"/>
    <x v="2"/>
    <n v="88"/>
    <n v="3.9"/>
    <n v="74"/>
    <x v="0"/>
  </r>
  <r>
    <n v="576"/>
    <s v="Caitlin Carter"/>
    <s v="Male"/>
    <n v="90"/>
    <n v="25"/>
    <n v="65"/>
    <n v="3"/>
    <x v="2"/>
    <n v="80"/>
    <n v="3.8"/>
    <n v="92"/>
    <x v="1"/>
  </r>
  <r>
    <n v="577"/>
    <s v="Ricky Johnson"/>
    <s v="Female"/>
    <n v="70"/>
    <n v="22"/>
    <n v="86"/>
    <n v="1"/>
    <x v="0"/>
    <n v="92"/>
    <n v="3.4"/>
    <n v="70"/>
    <x v="0"/>
  </r>
  <r>
    <n v="578"/>
    <s v="Bryan Hoover"/>
    <s v="Female"/>
    <n v="95"/>
    <n v="20"/>
    <n v="86"/>
    <n v="1"/>
    <x v="2"/>
    <n v="72"/>
    <n v="2"/>
    <n v="58"/>
    <x v="0"/>
  </r>
  <r>
    <n v="579"/>
    <s v="Elijah Wagner"/>
    <s v="Female"/>
    <n v="82"/>
    <n v="15"/>
    <n v="78"/>
    <n v="2"/>
    <x v="1"/>
    <n v="87"/>
    <n v="4.3"/>
    <n v="51"/>
    <x v="1"/>
  </r>
  <r>
    <n v="580"/>
    <s v="Felicia Davis"/>
    <s v="Female"/>
    <n v="95"/>
    <n v="8"/>
    <n v="60"/>
    <n v="0"/>
    <x v="1"/>
    <n v="72"/>
    <n v="1.1000000000000001"/>
    <n v="61"/>
    <x v="0"/>
  </r>
  <r>
    <n v="581"/>
    <s v="Jonathan Hess"/>
    <s v="Male"/>
    <n v="82"/>
    <n v="8"/>
    <n v="88"/>
    <n v="0"/>
    <x v="3"/>
    <n v="85"/>
    <n v="5"/>
    <m/>
    <x v="1"/>
  </r>
  <r>
    <n v="582"/>
    <s v="Michael Yoder"/>
    <s v="Male"/>
    <n v="90"/>
    <n v="15"/>
    <n v="65"/>
    <n v="1"/>
    <x v="2"/>
    <n v="62"/>
    <n v="4.9000000000000004"/>
    <n v="58"/>
    <x v="1"/>
  </r>
  <r>
    <n v="583"/>
    <s v="Samantha York"/>
    <s v="Female"/>
    <n v="85"/>
    <n v="22"/>
    <n v="60"/>
    <n v="3"/>
    <x v="0"/>
    <n v="78"/>
    <n v="2.5"/>
    <n v="85"/>
    <x v="0"/>
  </r>
  <r>
    <n v="584"/>
    <s v="Joanna Martinez"/>
    <s v="Female"/>
    <n v="92"/>
    <n v="10"/>
    <n v="60"/>
    <n v="3"/>
    <x v="0"/>
    <n v="88"/>
    <n v="2.5"/>
    <n v="96"/>
    <x v="1"/>
  </r>
  <r>
    <n v="585"/>
    <s v="Penny Hopkins"/>
    <s v="Female"/>
    <n v="70"/>
    <n v="12"/>
    <n v="86"/>
    <n v="1"/>
    <x v="0"/>
    <n v="80"/>
    <n v="2.8"/>
    <n v="95"/>
    <x v="0"/>
  </r>
  <r>
    <n v="586"/>
    <s v="Justin Foster"/>
    <s v="Female"/>
    <n v="90"/>
    <n v="17.630526315789474"/>
    <n v="77.598759048603924"/>
    <n v="2"/>
    <x v="1"/>
    <n v="72"/>
    <n v="0.4"/>
    <n v="89"/>
    <x v="1"/>
  </r>
  <r>
    <n v="587"/>
    <s v="Jennifer Morgan"/>
    <s v="Female"/>
    <n v="90"/>
    <n v="12"/>
    <n v="86"/>
    <n v="2"/>
    <x v="2"/>
    <n v="80"/>
    <n v="4.5"/>
    <n v="84"/>
    <x v="1"/>
  </r>
  <r>
    <n v="588"/>
    <s v="Dalton Chen"/>
    <s v="Female"/>
    <n v="82"/>
    <n v="17"/>
    <n v="86"/>
    <n v="1"/>
    <x v="1"/>
    <n v="90"/>
    <n v="4.8"/>
    <n v="68"/>
    <x v="0"/>
  </r>
  <r>
    <n v="589"/>
    <s v="Mrs. Amy Carney MD"/>
    <s v="Male"/>
    <n v="91"/>
    <n v="18"/>
    <n v="86"/>
    <n v="2"/>
    <x v="0"/>
    <n v="78"/>
    <n v="2.9"/>
    <n v="86"/>
    <x v="1"/>
  </r>
  <r>
    <n v="590"/>
    <s v="Melissa Wang"/>
    <s v="Male"/>
    <n v="88"/>
    <n v="17"/>
    <n v="85"/>
    <n v="0"/>
    <x v="2"/>
    <n v="87"/>
    <n v="4.3"/>
    <n v="67"/>
    <x v="0"/>
  </r>
  <r>
    <n v="591"/>
    <s v="Chelsea Porter"/>
    <s v="Female"/>
    <n v="88"/>
    <n v="17.630526315789474"/>
    <n v="78"/>
    <n v="2"/>
    <x v="2"/>
    <n v="68"/>
    <n v="4.5999999999999996"/>
    <n v="97"/>
    <x v="1"/>
  </r>
  <r>
    <n v="592"/>
    <s v="Cameron Bender"/>
    <s v="Female"/>
    <n v="78"/>
    <n v="17.630526315789474"/>
    <n v="90"/>
    <n v="1"/>
    <x v="0"/>
    <n v="72"/>
    <n v="4.3"/>
    <n v="71"/>
    <x v="1"/>
  </r>
  <r>
    <n v="593"/>
    <s v="Vanessa Hall"/>
    <s v="Male"/>
    <n v="85"/>
    <n v="8"/>
    <n v="60"/>
    <n v="3"/>
    <x v="2"/>
    <n v="78"/>
    <n v="3.6"/>
    <n v="60"/>
    <x v="1"/>
  </r>
  <r>
    <n v="594"/>
    <s v="Daniel Solomon"/>
    <s v="Male"/>
    <n v="88"/>
    <n v="20"/>
    <n v="78"/>
    <n v="1"/>
    <x v="1"/>
    <n v="62"/>
    <n v="2.4"/>
    <n v="80"/>
    <x v="1"/>
  </r>
  <r>
    <n v="595"/>
    <s v="Deanna Jones"/>
    <s v="Female"/>
    <n v="85"/>
    <n v="18"/>
    <n v="65"/>
    <n v="2"/>
    <x v="1"/>
    <n v="80"/>
    <n v="1.4"/>
    <n v="78"/>
    <x v="0"/>
  </r>
  <r>
    <n v="596"/>
    <s v="Alicia Young"/>
    <s v="Unknown"/>
    <n v="90"/>
    <n v="12"/>
    <n v="88"/>
    <n v="0"/>
    <x v="2"/>
    <n v="85"/>
    <n v="1.7"/>
    <n v="67"/>
    <x v="1"/>
  </r>
  <r>
    <n v="597"/>
    <s v="Peter Figueroa"/>
    <s v="Female"/>
    <n v="85"/>
    <n v="25"/>
    <n v="86"/>
    <n v="3"/>
    <x v="2"/>
    <n v="90"/>
    <n v="3.4"/>
    <n v="61"/>
    <x v="0"/>
  </r>
  <r>
    <n v="598"/>
    <s v="Jacob Thompson"/>
    <s v="Male"/>
    <n v="85"/>
    <n v="20"/>
    <n v="78"/>
    <n v="0"/>
    <x v="0"/>
    <n v="72"/>
    <n v="0.5"/>
    <m/>
    <x v="0"/>
  </r>
  <r>
    <n v="599"/>
    <s v="Jonathon Woodward"/>
    <s v="Female"/>
    <n v="88"/>
    <n v="25"/>
    <n v="78"/>
    <n v="1"/>
    <x v="2"/>
    <n v="87"/>
    <n v="0.3"/>
    <n v="88"/>
    <x v="1"/>
  </r>
  <r>
    <n v="600"/>
    <s v="Brian Hayes"/>
    <s v="Male"/>
    <n v="90"/>
    <n v="22"/>
    <n v="65"/>
    <n v="0"/>
    <x v="2"/>
    <n v="88"/>
    <n v="4"/>
    <n v="61"/>
    <x v="1"/>
  </r>
  <r>
    <n v="601"/>
    <s v="Lisa Carroll"/>
    <s v="Female"/>
    <n v="88"/>
    <n v="17"/>
    <n v="85"/>
    <n v="1"/>
    <x v="1"/>
    <n v="62"/>
    <n v="3.5"/>
    <n v="92"/>
    <x v="2"/>
  </r>
  <r>
    <n v="602"/>
    <s v="Cassandra Ryan"/>
    <s v="Male"/>
    <n v="90"/>
    <n v="18"/>
    <n v="78"/>
    <n v="0"/>
    <x v="1"/>
    <n v="90"/>
    <n v="5"/>
    <m/>
    <x v="0"/>
  </r>
  <r>
    <n v="603"/>
    <s v="Terri Hayden"/>
    <s v="Female"/>
    <n v="90"/>
    <n v="17"/>
    <n v="90"/>
    <n v="3"/>
    <x v="1"/>
    <n v="68"/>
    <n v="3.2"/>
    <n v="56"/>
    <x v="1"/>
  </r>
  <r>
    <n v="604"/>
    <s v="Taylor Burns"/>
    <s v="Female"/>
    <n v="92"/>
    <n v="22"/>
    <n v="85"/>
    <n v="1"/>
    <x v="2"/>
    <n v="85"/>
    <n v="0.5"/>
    <n v="54"/>
    <x v="1"/>
  </r>
  <r>
    <n v="605"/>
    <s v="Andrew Jimenez"/>
    <s v="Female"/>
    <n v="85"/>
    <n v="17"/>
    <n v="65"/>
    <n v="1"/>
    <x v="0"/>
    <n v="62"/>
    <n v="1.3"/>
    <n v="94"/>
    <x v="0"/>
  </r>
  <r>
    <n v="606"/>
    <s v="Wendy King"/>
    <s v="Male"/>
    <n v="82"/>
    <n v="17"/>
    <n v="77"/>
    <n v="0"/>
    <x v="1"/>
    <n v="87"/>
    <n v="2.7"/>
    <n v="50"/>
    <x v="0"/>
  </r>
  <r>
    <n v="607"/>
    <s v="Luis Carter"/>
    <s v="Male"/>
    <n v="91"/>
    <n v="12"/>
    <n v="88"/>
    <n v="1"/>
    <x v="2"/>
    <n v="85"/>
    <n v="2"/>
    <n v="90"/>
    <x v="1"/>
  </r>
  <r>
    <n v="608"/>
    <s v="Nicholas Jones"/>
    <s v="Female"/>
    <n v="90"/>
    <n v="17"/>
    <n v="77.598759048603924"/>
    <n v="3"/>
    <x v="0"/>
    <n v="72"/>
    <n v="0.2"/>
    <n v="74"/>
    <x v="1"/>
  </r>
  <r>
    <n v="609"/>
    <s v="Tiffany Sanders"/>
    <s v="Female"/>
    <n v="90"/>
    <n v="30"/>
    <n v="77"/>
    <n v="2"/>
    <x v="2"/>
    <n v="78"/>
    <n v="3.7"/>
    <n v="58"/>
    <x v="1"/>
  </r>
  <r>
    <n v="610"/>
    <m/>
    <s v="Male"/>
    <n v="91"/>
    <n v="25"/>
    <n v="77"/>
    <n v="0"/>
    <x v="0"/>
    <n v="72"/>
    <n v="3.2"/>
    <n v="81"/>
    <x v="0"/>
  </r>
  <r>
    <n v="611"/>
    <s v="Tina Knight"/>
    <s v="Male"/>
    <n v="95"/>
    <n v="15"/>
    <n v="88"/>
    <n v="1"/>
    <x v="1"/>
    <n v="87"/>
    <n v="1.1000000000000001"/>
    <m/>
    <x v="0"/>
  </r>
  <r>
    <n v="612"/>
    <s v="Brittany Andrews"/>
    <s v="Male"/>
    <n v="91"/>
    <n v="25"/>
    <n v="85"/>
    <n v="1"/>
    <x v="2"/>
    <n v="68"/>
    <n v="2.4"/>
    <n v="51"/>
    <x v="0"/>
  </r>
  <r>
    <n v="613"/>
    <s v="William Weber"/>
    <s v="Male"/>
    <n v="78"/>
    <n v="15"/>
    <n v="65"/>
    <n v="1"/>
    <x v="1"/>
    <n v="87"/>
    <n v="2.2999999999999998"/>
    <n v="60"/>
    <x v="1"/>
  </r>
  <r>
    <n v="614"/>
    <s v="Angela Ortiz"/>
    <s v="Male"/>
    <n v="85"/>
    <n v="22"/>
    <n v="86"/>
    <n v="3"/>
    <x v="0"/>
    <n v="92"/>
    <n v="2.1"/>
    <n v="97"/>
    <x v="0"/>
  </r>
  <r>
    <n v="615"/>
    <s v="David Meyer"/>
    <s v="Male"/>
    <n v="85.510416666666671"/>
    <n v="12"/>
    <n v="65"/>
    <n v="1"/>
    <x v="0"/>
    <m/>
    <n v="3"/>
    <n v="71"/>
    <x v="1"/>
  </r>
  <r>
    <n v="616"/>
    <s v="Michelle Aguilar"/>
    <s v="Female"/>
    <n v="78"/>
    <n v="8"/>
    <n v="65"/>
    <n v="1"/>
    <x v="2"/>
    <n v="68"/>
    <n v="2.2000000000000002"/>
    <n v="87"/>
    <x v="1"/>
  </r>
  <r>
    <n v="617"/>
    <s v="Travis Harrell"/>
    <s v="Male"/>
    <n v="91"/>
    <n v="8"/>
    <n v="65"/>
    <n v="1"/>
    <x v="1"/>
    <n v="87"/>
    <n v="0"/>
    <n v="61"/>
    <x v="1"/>
  </r>
  <r>
    <n v="618"/>
    <s v="Craig Mccann"/>
    <s v="Female"/>
    <n v="85"/>
    <n v="10"/>
    <n v="90"/>
    <n v="0"/>
    <x v="2"/>
    <n v="85"/>
    <n v="2.6"/>
    <n v="76"/>
    <x v="1"/>
  </r>
  <r>
    <n v="619"/>
    <s v="Scott Edwards"/>
    <s v="Male"/>
    <n v="91"/>
    <n v="10"/>
    <n v="77"/>
    <n v="3"/>
    <x v="0"/>
    <n v="85"/>
    <n v="1.7"/>
    <n v="50"/>
    <x v="2"/>
  </r>
  <r>
    <n v="620"/>
    <s v="Kelly Cohen"/>
    <s v="Male"/>
    <n v="82"/>
    <n v="20"/>
    <n v="86"/>
    <n v="1"/>
    <x v="2"/>
    <n v="72"/>
    <n v="1.1000000000000001"/>
    <n v="99"/>
    <x v="1"/>
  </r>
  <r>
    <n v="621"/>
    <s v="David Diaz"/>
    <s v="Male"/>
    <n v="92"/>
    <n v="20"/>
    <n v="65"/>
    <n v="1"/>
    <x v="1"/>
    <m/>
    <n v="0.8"/>
    <n v="52"/>
    <x v="1"/>
  </r>
  <r>
    <n v="622"/>
    <s v="Joseph Green"/>
    <s v="Female"/>
    <n v="92"/>
    <n v="8"/>
    <n v="82"/>
    <n v="1"/>
    <x v="2"/>
    <m/>
    <n v="0.2"/>
    <m/>
    <x v="1"/>
  </r>
  <r>
    <n v="623"/>
    <s v="Henry Johnson"/>
    <s v="Male"/>
    <n v="78"/>
    <n v="15"/>
    <n v="77"/>
    <n v="2"/>
    <x v="0"/>
    <n v="87"/>
    <n v="4.5"/>
    <n v="96"/>
    <x v="0"/>
  </r>
  <r>
    <n v="624"/>
    <s v="Keith Wilson"/>
    <s v="Female"/>
    <n v="92"/>
    <n v="30"/>
    <n v="90"/>
    <n v="2"/>
    <x v="1"/>
    <n v="92"/>
    <n v="0.5"/>
    <n v="97"/>
    <x v="0"/>
  </r>
  <r>
    <n v="625"/>
    <s v="Jordan Chase"/>
    <s v="Female"/>
    <n v="92"/>
    <n v="20"/>
    <n v="77"/>
    <n v="3"/>
    <x v="1"/>
    <n v="80"/>
    <n v="4.5"/>
    <n v="59"/>
    <x v="1"/>
  </r>
  <r>
    <n v="626"/>
    <s v="Kayla Solomon"/>
    <s v="Male"/>
    <n v="70"/>
    <n v="30"/>
    <n v="65"/>
    <n v="1"/>
    <x v="2"/>
    <n v="92"/>
    <n v="3.2"/>
    <n v="67"/>
    <x v="1"/>
  </r>
  <r>
    <n v="627"/>
    <s v="Hayley Johnson"/>
    <s v="Male"/>
    <n v="85"/>
    <n v="22"/>
    <n v="78"/>
    <n v="2"/>
    <x v="0"/>
    <n v="87"/>
    <n v="4.3"/>
    <n v="79"/>
    <x v="0"/>
  </r>
  <r>
    <n v="628"/>
    <s v="John Bender"/>
    <s v="Female"/>
    <n v="92"/>
    <n v="18"/>
    <n v="86"/>
    <n v="0"/>
    <x v="2"/>
    <n v="88"/>
    <n v="4.5"/>
    <n v="86"/>
    <x v="1"/>
  </r>
  <r>
    <n v="629"/>
    <s v="William Christian"/>
    <s v="Female"/>
    <n v="82"/>
    <n v="17"/>
    <n v="90"/>
    <n v="3"/>
    <x v="1"/>
    <m/>
    <n v="1.4"/>
    <n v="96"/>
    <x v="0"/>
  </r>
  <r>
    <n v="630"/>
    <s v="Michael Willis"/>
    <s v="Male"/>
    <n v="95"/>
    <n v="8"/>
    <n v="86"/>
    <n v="3"/>
    <x v="2"/>
    <n v="68"/>
    <n v="4.5999999999999996"/>
    <n v="50"/>
    <x v="0"/>
  </r>
  <r>
    <n v="631"/>
    <s v="James Simmons"/>
    <s v="Male"/>
    <n v="85"/>
    <n v="12"/>
    <n v="78"/>
    <n v="0"/>
    <x v="2"/>
    <n v="62"/>
    <n v="2.4"/>
    <n v="94"/>
    <x v="1"/>
  </r>
  <r>
    <n v="632"/>
    <s v="Christopher Sullivan"/>
    <s v="Unknown"/>
    <n v="92"/>
    <n v="17.630526315789474"/>
    <n v="70"/>
    <n v="1"/>
    <x v="2"/>
    <n v="62"/>
    <n v="4.7"/>
    <n v="58"/>
    <x v="0"/>
  </r>
  <r>
    <n v="633"/>
    <s v="Michelle Santos"/>
    <s v="Male"/>
    <n v="90"/>
    <n v="15"/>
    <n v="77.598759048603924"/>
    <n v="2"/>
    <x v="0"/>
    <n v="78"/>
    <n v="4.3"/>
    <n v="97"/>
    <x v="1"/>
  </r>
  <r>
    <n v="634"/>
    <s v="Michael Walters"/>
    <s v="Female"/>
    <n v="78"/>
    <n v="8"/>
    <n v="65"/>
    <n v="1"/>
    <x v="2"/>
    <n v="78"/>
    <n v="3.5"/>
    <n v="50"/>
    <x v="1"/>
  </r>
  <r>
    <n v="635"/>
    <s v="Jason Anderson"/>
    <s v="Female"/>
    <n v="82"/>
    <n v="15"/>
    <n v="82"/>
    <n v="0"/>
    <x v="1"/>
    <n v="88"/>
    <n v="2.7"/>
    <n v="100"/>
    <x v="1"/>
  </r>
  <r>
    <n v="636"/>
    <m/>
    <s v="Female"/>
    <n v="85"/>
    <n v="12"/>
    <n v="88"/>
    <n v="1"/>
    <x v="0"/>
    <n v="62"/>
    <n v="1.8"/>
    <n v="89"/>
    <x v="1"/>
  </r>
  <r>
    <n v="637"/>
    <s v="James Hoover"/>
    <s v="Female"/>
    <n v="78"/>
    <n v="12"/>
    <n v="85"/>
    <n v="2"/>
    <x v="2"/>
    <n v="92"/>
    <n v="0.7"/>
    <n v="71"/>
    <x v="1"/>
  </r>
  <r>
    <n v="638"/>
    <s v="Julie Garza"/>
    <s v="Male"/>
    <n v="85"/>
    <n v="22"/>
    <n v="90"/>
    <n v="3"/>
    <x v="1"/>
    <n v="90"/>
    <n v="4.5"/>
    <m/>
    <x v="0"/>
  </r>
  <r>
    <n v="639"/>
    <s v="Lisa Williams"/>
    <s v="Unknown"/>
    <n v="90"/>
    <n v="30"/>
    <n v="88"/>
    <n v="1"/>
    <x v="1"/>
    <n v="72"/>
    <n v="2.6"/>
    <n v="57"/>
    <x v="0"/>
  </r>
  <r>
    <n v="640"/>
    <s v="Erica Thomas"/>
    <s v="Female"/>
    <n v="85"/>
    <n v="22"/>
    <n v="88"/>
    <n v="2"/>
    <x v="0"/>
    <n v="78"/>
    <n v="0.4"/>
    <n v="75"/>
    <x v="1"/>
  </r>
  <r>
    <n v="641"/>
    <s v="Calvin Vargas"/>
    <s v="Male"/>
    <n v="90"/>
    <n v="10"/>
    <n v="82"/>
    <n v="2"/>
    <x v="3"/>
    <n v="68"/>
    <n v="2.5"/>
    <n v="63"/>
    <x v="1"/>
  </r>
  <r>
    <n v="642"/>
    <s v="Molly Jones"/>
    <s v="Female"/>
    <n v="82"/>
    <n v="10"/>
    <n v="77"/>
    <n v="1"/>
    <x v="1"/>
    <n v="78"/>
    <n v="3.7"/>
    <n v="51"/>
    <x v="0"/>
  </r>
  <r>
    <n v="643"/>
    <s v="Shannon Hogan"/>
    <s v="Male"/>
    <n v="85"/>
    <n v="17.630526315789474"/>
    <n v="70"/>
    <n v="1"/>
    <x v="1"/>
    <n v="88"/>
    <n v="1.7"/>
    <n v="91"/>
    <x v="0"/>
  </r>
  <r>
    <n v="644"/>
    <s v="James Fields"/>
    <s v="Female"/>
    <n v="85"/>
    <n v="18"/>
    <n v="77.598759048603924"/>
    <n v="0"/>
    <x v="1"/>
    <n v="68"/>
    <n v="3.9"/>
    <n v="64"/>
    <x v="0"/>
  </r>
  <r>
    <n v="645"/>
    <s v="Arthur Johnson"/>
    <s v="Female"/>
    <n v="85"/>
    <n v="10"/>
    <n v="88"/>
    <n v="2"/>
    <x v="1"/>
    <n v="68"/>
    <n v="3.1"/>
    <n v="60"/>
    <x v="0"/>
  </r>
  <r>
    <n v="646"/>
    <s v="Collin Edwards"/>
    <s v="Male"/>
    <n v="78"/>
    <n v="10"/>
    <n v="90"/>
    <n v="2"/>
    <x v="0"/>
    <n v="90"/>
    <n v="2.9"/>
    <n v="78"/>
    <x v="0"/>
  </r>
  <r>
    <n v="647"/>
    <s v="Kimberly Smith"/>
    <s v="Male"/>
    <n v="92"/>
    <n v="17.630526315789474"/>
    <n v="77.598759048603924"/>
    <n v="1"/>
    <x v="1"/>
    <n v="68"/>
    <n v="1.9"/>
    <n v="84"/>
    <x v="1"/>
  </r>
  <r>
    <n v="648"/>
    <s v="Mr. Clinton Camacho"/>
    <s v="Female"/>
    <n v="90"/>
    <n v="15"/>
    <n v="60"/>
    <n v="1"/>
    <x v="0"/>
    <n v="78"/>
    <n v="4.5999999999999996"/>
    <m/>
    <x v="1"/>
  </r>
  <r>
    <n v="649"/>
    <s v="Taylor Moyer"/>
    <s v="Unknown"/>
    <n v="88"/>
    <n v="17"/>
    <n v="82"/>
    <n v="3"/>
    <x v="3"/>
    <n v="68"/>
    <n v="4"/>
    <n v="96"/>
    <x v="0"/>
  </r>
  <r>
    <n v="650"/>
    <m/>
    <s v="Male"/>
    <n v="85"/>
    <n v="15"/>
    <n v="77.598759048603924"/>
    <n v="2"/>
    <x v="0"/>
    <n v="85"/>
    <n v="0.1"/>
    <n v="89"/>
    <x v="1"/>
  </r>
  <r>
    <n v="651"/>
    <s v="David Jimenez"/>
    <s v="Female"/>
    <n v="90"/>
    <n v="30"/>
    <n v="78"/>
    <n v="3"/>
    <x v="2"/>
    <n v="92"/>
    <n v="2.9"/>
    <n v="64"/>
    <x v="0"/>
  </r>
  <r>
    <n v="652"/>
    <s v="Kyle Coleman"/>
    <s v="Male"/>
    <n v="90"/>
    <n v="17.630526315789474"/>
    <n v="77"/>
    <n v="2"/>
    <x v="2"/>
    <n v="62"/>
    <n v="1"/>
    <n v="70"/>
    <x v="1"/>
  </r>
  <r>
    <n v="653"/>
    <s v="Marvin Cardenas"/>
    <s v="Female"/>
    <n v="78"/>
    <n v="8"/>
    <n v="88"/>
    <n v="0"/>
    <x v="1"/>
    <n v="80"/>
    <n v="1.4"/>
    <n v="72"/>
    <x v="0"/>
  </r>
  <r>
    <n v="654"/>
    <s v="Eddie Robertson"/>
    <s v="Male"/>
    <n v="92"/>
    <n v="17"/>
    <n v="60"/>
    <n v="1"/>
    <x v="1"/>
    <n v="68"/>
    <n v="4"/>
    <n v="77"/>
    <x v="0"/>
  </r>
  <r>
    <n v="655"/>
    <s v="Christopher Diaz"/>
    <s v="Male"/>
    <n v="78"/>
    <n v="25"/>
    <n v="82"/>
    <n v="1"/>
    <x v="2"/>
    <n v="90"/>
    <n v="0.3"/>
    <n v="87"/>
    <x v="0"/>
  </r>
  <r>
    <n v="656"/>
    <s v="Christopher Taylor"/>
    <s v="Male"/>
    <n v="70"/>
    <n v="18"/>
    <n v="60"/>
    <n v="0"/>
    <x v="2"/>
    <n v="78"/>
    <n v="3.6"/>
    <n v="98"/>
    <x v="1"/>
  </r>
  <r>
    <n v="657"/>
    <s v="Brenda Bell"/>
    <s v="Male"/>
    <n v="70"/>
    <n v="18"/>
    <n v="70"/>
    <n v="1"/>
    <x v="0"/>
    <n v="85"/>
    <n v="4.2"/>
    <n v="69"/>
    <x v="0"/>
  </r>
  <r>
    <n v="658"/>
    <s v="Ashley Nguyen"/>
    <s v="Male"/>
    <n v="85"/>
    <n v="15"/>
    <n v="65"/>
    <n v="2"/>
    <x v="1"/>
    <n v="78"/>
    <n v="0.6"/>
    <n v="92"/>
    <x v="0"/>
  </r>
  <r>
    <n v="659"/>
    <s v="Michael Bailey"/>
    <s v="Male"/>
    <n v="85"/>
    <n v="25"/>
    <n v="78"/>
    <n v="2"/>
    <x v="1"/>
    <n v="78"/>
    <n v="5"/>
    <n v="54"/>
    <x v="0"/>
  </r>
  <r>
    <n v="660"/>
    <s v="Maria Scott"/>
    <s v="Female"/>
    <n v="88"/>
    <n v="17.630526315789474"/>
    <n v="85"/>
    <n v="1"/>
    <x v="2"/>
    <n v="88"/>
    <n v="0.1"/>
    <n v="66"/>
    <x v="1"/>
  </r>
  <r>
    <n v="661"/>
    <s v="Katherine Mclaughlin"/>
    <s v="Male"/>
    <n v="95"/>
    <n v="17"/>
    <n v="65"/>
    <n v="1"/>
    <x v="0"/>
    <n v="80"/>
    <n v="1.4"/>
    <n v="76"/>
    <x v="2"/>
  </r>
  <r>
    <n v="662"/>
    <s v="Karen Cruz"/>
    <s v="Female"/>
    <n v="88"/>
    <n v="12"/>
    <n v="85"/>
    <n v="2"/>
    <x v="0"/>
    <n v="68"/>
    <n v="3.8"/>
    <n v="88"/>
    <x v="1"/>
  </r>
  <r>
    <n v="663"/>
    <s v="Jodi Taylor"/>
    <s v="Female"/>
    <n v="95"/>
    <n v="18"/>
    <n v="82"/>
    <n v="1"/>
    <x v="0"/>
    <n v="72"/>
    <n v="2.9"/>
    <n v="59"/>
    <x v="1"/>
  </r>
  <r>
    <n v="664"/>
    <s v="Thomas Mcgrath"/>
    <s v="Female"/>
    <n v="95"/>
    <n v="17"/>
    <n v="60"/>
    <n v="1"/>
    <x v="0"/>
    <n v="87"/>
    <n v="1.1000000000000001"/>
    <n v="82"/>
    <x v="1"/>
  </r>
  <r>
    <n v="665"/>
    <s v="Alec Peterson"/>
    <s v="Male"/>
    <n v="70"/>
    <n v="17"/>
    <n v="85"/>
    <n v="2"/>
    <x v="0"/>
    <n v="80"/>
    <n v="2.4"/>
    <n v="69"/>
    <x v="0"/>
  </r>
  <r>
    <n v="666"/>
    <s v="Kathy Bailey"/>
    <s v="Unknown"/>
    <n v="91"/>
    <n v="12"/>
    <n v="88"/>
    <n v="0"/>
    <x v="2"/>
    <n v="85"/>
    <n v="0.1"/>
    <n v="57"/>
    <x v="1"/>
  </r>
  <r>
    <n v="667"/>
    <s v="Karen Wolf"/>
    <s v="Male"/>
    <n v="92"/>
    <n v="18"/>
    <n v="65"/>
    <n v="3"/>
    <x v="0"/>
    <n v="87"/>
    <n v="2.1"/>
    <n v="98"/>
    <x v="1"/>
  </r>
  <r>
    <n v="668"/>
    <s v="Mary Jones"/>
    <s v="Male"/>
    <n v="85"/>
    <n v="8"/>
    <n v="78"/>
    <n v="3"/>
    <x v="0"/>
    <n v="80"/>
    <m/>
    <n v="82"/>
    <x v="1"/>
  </r>
  <r>
    <n v="669"/>
    <s v="Lisa Houston"/>
    <s v="Male"/>
    <n v="88"/>
    <n v="15"/>
    <n v="77.598759048603924"/>
    <n v="2"/>
    <x v="2"/>
    <n v="80"/>
    <n v="3.8"/>
    <n v="100"/>
    <x v="1"/>
  </r>
  <r>
    <n v="670"/>
    <s v="Ashley Jordan"/>
    <s v="Male"/>
    <n v="78"/>
    <n v="30"/>
    <n v="78"/>
    <n v="2"/>
    <x v="0"/>
    <n v="85"/>
    <n v="4.7"/>
    <n v="72"/>
    <x v="0"/>
  </r>
  <r>
    <n v="671"/>
    <s v="Lonnie Williams"/>
    <s v="Male"/>
    <n v="82"/>
    <n v="22"/>
    <n v="85"/>
    <n v="2"/>
    <x v="2"/>
    <n v="80"/>
    <n v="2.6"/>
    <n v="95"/>
    <x v="1"/>
  </r>
  <r>
    <n v="672"/>
    <s v="Michael Poole"/>
    <s v="Male"/>
    <n v="82"/>
    <n v="15"/>
    <n v="85"/>
    <n v="3"/>
    <x v="2"/>
    <n v="78"/>
    <n v="1.8"/>
    <n v="87"/>
    <x v="1"/>
  </r>
  <r>
    <n v="673"/>
    <s v="David Martinez"/>
    <s v="Male"/>
    <n v="78"/>
    <n v="30"/>
    <n v="60"/>
    <n v="0"/>
    <x v="0"/>
    <n v="72"/>
    <n v="-5"/>
    <n v="200"/>
    <x v="0"/>
  </r>
  <r>
    <n v="674"/>
    <s v="Eduardo Miller"/>
    <s v="Female"/>
    <n v="90"/>
    <n v="12"/>
    <n v="65"/>
    <n v="1"/>
    <x v="1"/>
    <n v="85"/>
    <n v="2.8"/>
    <n v="52"/>
    <x v="1"/>
  </r>
  <r>
    <n v="675"/>
    <s v="Kristine Williams"/>
    <s v="Female"/>
    <n v="85.510416666666671"/>
    <n v="8"/>
    <n v="82"/>
    <n v="1"/>
    <x v="2"/>
    <n v="85"/>
    <n v="3.4"/>
    <n v="78"/>
    <x v="1"/>
  </r>
  <r>
    <n v="676"/>
    <m/>
    <s v="Female"/>
    <n v="70"/>
    <n v="25"/>
    <n v="85"/>
    <n v="1"/>
    <x v="3"/>
    <n v="90"/>
    <n v="0.9"/>
    <n v="93"/>
    <x v="0"/>
  </r>
  <r>
    <n v="677"/>
    <s v="Audrey Woods"/>
    <s v="Female"/>
    <n v="85"/>
    <n v="12"/>
    <n v="85"/>
    <n v="2"/>
    <x v="0"/>
    <n v="62"/>
    <n v="2"/>
    <n v="87"/>
    <x v="1"/>
  </r>
  <r>
    <n v="678"/>
    <s v="Lauren Brown"/>
    <s v="Male"/>
    <n v="95"/>
    <n v="25"/>
    <n v="88"/>
    <n v="3"/>
    <x v="2"/>
    <n v="62"/>
    <n v="0.6"/>
    <n v="77"/>
    <x v="0"/>
  </r>
  <r>
    <n v="679"/>
    <s v="Stephanie Merritt"/>
    <s v="Female"/>
    <n v="70"/>
    <n v="30"/>
    <n v="77"/>
    <n v="3"/>
    <x v="1"/>
    <n v="78"/>
    <n v="2.6"/>
    <n v="59"/>
    <x v="0"/>
  </r>
  <r>
    <n v="680"/>
    <s v="Rebecca Jones"/>
    <s v="Male"/>
    <n v="88"/>
    <n v="17"/>
    <n v="77"/>
    <n v="3"/>
    <x v="2"/>
    <n v="68"/>
    <n v="0.1"/>
    <n v="97"/>
    <x v="1"/>
  </r>
  <r>
    <n v="681"/>
    <s v="Isaiah Arnold"/>
    <s v="Female"/>
    <n v="85"/>
    <n v="10"/>
    <n v="60"/>
    <n v="3"/>
    <x v="2"/>
    <n v="90"/>
    <n v="0.8"/>
    <n v="89"/>
    <x v="1"/>
  </r>
  <r>
    <n v="682"/>
    <s v="Andrea Frey"/>
    <s v="Female"/>
    <n v="85"/>
    <n v="25"/>
    <n v="82"/>
    <n v="1"/>
    <x v="1"/>
    <n v="72"/>
    <n v="1.3"/>
    <n v="71"/>
    <x v="1"/>
  </r>
  <r>
    <n v="683"/>
    <s v="Andrew Dudley"/>
    <s v="Female"/>
    <n v="90"/>
    <n v="8"/>
    <n v="77"/>
    <n v="1"/>
    <x v="1"/>
    <n v="78"/>
    <n v="2.2999999999999998"/>
    <n v="52"/>
    <x v="1"/>
  </r>
  <r>
    <n v="684"/>
    <s v="Kenneth Jones"/>
    <s v="Unknown"/>
    <n v="85"/>
    <n v="8"/>
    <n v="65"/>
    <n v="2"/>
    <x v="2"/>
    <n v="62"/>
    <n v="2.4"/>
    <n v="57"/>
    <x v="0"/>
  </r>
  <r>
    <n v="685"/>
    <s v="Jane Griffith"/>
    <s v="Female"/>
    <n v="85"/>
    <n v="12"/>
    <n v="65"/>
    <n v="2"/>
    <x v="0"/>
    <n v="62"/>
    <n v="1.3"/>
    <n v="87"/>
    <x v="0"/>
  </r>
  <r>
    <n v="686"/>
    <s v="Jeff Phillips"/>
    <s v="Female"/>
    <n v="95"/>
    <n v="15"/>
    <n v="78"/>
    <n v="3"/>
    <x v="0"/>
    <n v="68"/>
    <n v="4.2"/>
    <n v="72"/>
    <x v="1"/>
  </r>
  <r>
    <n v="687"/>
    <s v="Dawn Edwards"/>
    <s v="Female"/>
    <n v="90"/>
    <n v="8"/>
    <n v="88"/>
    <n v="1"/>
    <x v="1"/>
    <n v="90"/>
    <n v="0.3"/>
    <n v="65"/>
    <x v="1"/>
  </r>
  <r>
    <n v="688"/>
    <s v="Paige Campbell"/>
    <s v="Female"/>
    <n v="91"/>
    <n v="20"/>
    <n v="85"/>
    <n v="2"/>
    <x v="0"/>
    <n v="90"/>
    <n v="0.8"/>
    <n v="84"/>
    <x v="0"/>
  </r>
  <r>
    <n v="689"/>
    <s v="Belinda Kim"/>
    <s v="Female"/>
    <n v="70"/>
    <n v="22"/>
    <n v="70"/>
    <n v="0"/>
    <x v="1"/>
    <n v="80"/>
    <n v="3.5"/>
    <n v="87"/>
    <x v="1"/>
  </r>
  <r>
    <n v="690"/>
    <s v="Christopher Cruz"/>
    <s v="Female"/>
    <n v="85.510416666666671"/>
    <n v="8"/>
    <n v="88"/>
    <n v="3"/>
    <x v="0"/>
    <n v="78"/>
    <n v="0.5"/>
    <n v="93"/>
    <x v="1"/>
  </r>
  <r>
    <n v="691"/>
    <s v="Ruben Steele"/>
    <s v="Female"/>
    <n v="82"/>
    <n v="30"/>
    <n v="65"/>
    <n v="3"/>
    <x v="1"/>
    <n v="90"/>
    <n v="4.8"/>
    <n v="62"/>
    <x v="0"/>
  </r>
  <r>
    <n v="692"/>
    <s v="Bradley Martinez"/>
    <s v="Male"/>
    <n v="88"/>
    <n v="18"/>
    <n v="78"/>
    <n v="2"/>
    <x v="2"/>
    <n v="62"/>
    <n v="4"/>
    <n v="89"/>
    <x v="1"/>
  </r>
  <r>
    <n v="693"/>
    <s v="Alison Williams"/>
    <s v="Female"/>
    <n v="88"/>
    <n v="20"/>
    <n v="86"/>
    <n v="2"/>
    <x v="1"/>
    <n v="62"/>
    <n v="1"/>
    <n v="100"/>
    <x v="1"/>
  </r>
  <r>
    <n v="694"/>
    <s v="Scott Ferguson"/>
    <s v="Female"/>
    <n v="70"/>
    <n v="12"/>
    <n v="88"/>
    <n v="3"/>
    <x v="1"/>
    <n v="62"/>
    <n v="1.3"/>
    <n v="82"/>
    <x v="0"/>
  </r>
  <r>
    <n v="695"/>
    <s v="David Brown"/>
    <s v="Male"/>
    <n v="85"/>
    <n v="12"/>
    <n v="65"/>
    <n v="3"/>
    <x v="1"/>
    <n v="92"/>
    <n v="3.3"/>
    <n v="97"/>
    <x v="0"/>
  </r>
  <r>
    <n v="696"/>
    <s v="Joseph Smith"/>
    <s v="Female"/>
    <n v="91"/>
    <n v="15"/>
    <n v="70"/>
    <n v="3"/>
    <x v="1"/>
    <n v="78"/>
    <n v="0.7"/>
    <n v="59"/>
    <x v="0"/>
  </r>
  <r>
    <n v="697"/>
    <m/>
    <s v="Female"/>
    <n v="95"/>
    <n v="20"/>
    <n v="90"/>
    <n v="0"/>
    <x v="1"/>
    <n v="85"/>
    <n v="3.2"/>
    <n v="66"/>
    <x v="1"/>
  </r>
  <r>
    <n v="698"/>
    <s v="Renee Scott"/>
    <s v="Male"/>
    <n v="90"/>
    <n v="10"/>
    <n v="90"/>
    <n v="1"/>
    <x v="0"/>
    <n v="85"/>
    <n v="2.2999999999999998"/>
    <n v="85"/>
    <x v="0"/>
  </r>
  <r>
    <n v="699"/>
    <s v="Aimee Green"/>
    <s v="Male"/>
    <n v="92"/>
    <n v="10"/>
    <n v="82"/>
    <n v="0"/>
    <x v="0"/>
    <n v="85"/>
    <n v="3.9"/>
    <n v="67"/>
    <x v="1"/>
  </r>
  <r>
    <n v="700"/>
    <s v="Ricky Jenkins"/>
    <s v="Female"/>
    <n v="85"/>
    <n v="15"/>
    <n v="85"/>
    <n v="1"/>
    <x v="2"/>
    <n v="85"/>
    <n v="4.3"/>
    <n v="76"/>
    <x v="0"/>
  </r>
  <r>
    <n v="701"/>
    <s v="Kelly Allen MD"/>
    <s v="Female"/>
    <n v="78"/>
    <n v="25"/>
    <n v="85"/>
    <n v="3"/>
    <x v="2"/>
    <n v="72"/>
    <n v="4.7"/>
    <n v="83"/>
    <x v="0"/>
  </r>
  <r>
    <n v="702"/>
    <s v="Sean Smith"/>
    <s v="Male"/>
    <n v="92"/>
    <n v="22"/>
    <n v="85"/>
    <n v="1"/>
    <x v="1"/>
    <n v="88"/>
    <n v="3.7"/>
    <n v="97"/>
    <x v="1"/>
  </r>
  <r>
    <n v="703"/>
    <s v="Robert Johnson"/>
    <s v="Male"/>
    <n v="78"/>
    <n v="20"/>
    <n v="65"/>
    <n v="3"/>
    <x v="1"/>
    <n v="78"/>
    <n v="2"/>
    <n v="87"/>
    <x v="1"/>
  </r>
  <r>
    <n v="704"/>
    <s v="Susan Russell"/>
    <s v="Female"/>
    <n v="90"/>
    <n v="30"/>
    <n v="70"/>
    <n v="0"/>
    <x v="3"/>
    <n v="92"/>
    <n v="4.8"/>
    <n v="100"/>
    <x v="1"/>
  </r>
  <r>
    <n v="705"/>
    <s v="Ryan West"/>
    <s v="Female"/>
    <n v="95"/>
    <n v="18"/>
    <n v="78"/>
    <n v="3"/>
    <x v="0"/>
    <n v="80"/>
    <n v="3.5"/>
    <n v="100"/>
    <x v="1"/>
  </r>
  <r>
    <n v="706"/>
    <m/>
    <s v="Female"/>
    <n v="88"/>
    <n v="30"/>
    <n v="85"/>
    <n v="2"/>
    <x v="0"/>
    <n v="78"/>
    <n v="1.9"/>
    <n v="75"/>
    <x v="0"/>
  </r>
  <r>
    <n v="707"/>
    <s v="Christina Fitzgerald"/>
    <s v="Male"/>
    <n v="92"/>
    <n v="18"/>
    <n v="90"/>
    <n v="0"/>
    <x v="1"/>
    <n v="90"/>
    <n v="4.4000000000000004"/>
    <n v="99"/>
    <x v="0"/>
  </r>
  <r>
    <n v="708"/>
    <s v="Susan Roberson"/>
    <s v="Female"/>
    <n v="90"/>
    <n v="17"/>
    <n v="77"/>
    <n v="0"/>
    <x v="1"/>
    <n v="62"/>
    <n v="4.4000000000000004"/>
    <n v="56"/>
    <x v="1"/>
  </r>
  <r>
    <n v="709"/>
    <s v="Jessica Banks"/>
    <s v="Male"/>
    <n v="95"/>
    <n v="8"/>
    <n v="86"/>
    <n v="2"/>
    <x v="2"/>
    <m/>
    <n v="2.2999999999999998"/>
    <n v="51"/>
    <x v="1"/>
  </r>
  <r>
    <n v="710"/>
    <s v="Jodi Rogers"/>
    <s v="Female"/>
    <n v="78"/>
    <n v="15"/>
    <n v="60"/>
    <n v="3"/>
    <x v="2"/>
    <n v="85"/>
    <n v="1.6"/>
    <n v="55"/>
    <x v="1"/>
  </r>
  <r>
    <n v="711"/>
    <s v="Michelle Clay"/>
    <s v="Male"/>
    <n v="82"/>
    <n v="10"/>
    <n v="86"/>
    <n v="0"/>
    <x v="1"/>
    <n v="78"/>
    <n v="2.4"/>
    <n v="97"/>
    <x v="1"/>
  </r>
  <r>
    <n v="712"/>
    <s v="Jacob Bean"/>
    <s v="Male"/>
    <n v="91"/>
    <n v="30"/>
    <n v="82"/>
    <n v="3"/>
    <x v="0"/>
    <n v="62"/>
    <n v="1.8"/>
    <n v="75"/>
    <x v="0"/>
  </r>
  <r>
    <n v="713"/>
    <s v="Robert Harper"/>
    <s v="Male"/>
    <n v="85"/>
    <n v="12"/>
    <n v="86"/>
    <n v="3"/>
    <x v="0"/>
    <n v="78"/>
    <n v="1"/>
    <n v="94"/>
    <x v="1"/>
  </r>
  <r>
    <n v="714"/>
    <s v="Valerie Gibson"/>
    <s v="Female"/>
    <n v="91"/>
    <n v="8"/>
    <n v="86"/>
    <n v="2"/>
    <x v="0"/>
    <n v="87"/>
    <n v="4.8"/>
    <n v="60"/>
    <x v="1"/>
  </r>
  <r>
    <n v="715"/>
    <s v="Michelle Graham"/>
    <s v="Female"/>
    <n v="85"/>
    <n v="17"/>
    <n v="85"/>
    <n v="3"/>
    <x v="2"/>
    <n v="92"/>
    <n v="1"/>
    <n v="100"/>
    <x v="0"/>
  </r>
  <r>
    <n v="716"/>
    <s v="Seth Johnson"/>
    <s v="Female"/>
    <n v="70"/>
    <n v="10"/>
    <n v="60"/>
    <n v="3"/>
    <x v="2"/>
    <n v="92"/>
    <n v="5"/>
    <n v="68"/>
    <x v="1"/>
  </r>
  <r>
    <n v="717"/>
    <s v="John Jones"/>
    <s v="Male"/>
    <n v="70"/>
    <n v="10"/>
    <n v="78"/>
    <n v="2"/>
    <x v="1"/>
    <n v="92"/>
    <n v="3.1"/>
    <n v="65"/>
    <x v="0"/>
  </r>
  <r>
    <n v="718"/>
    <s v="Julia Sanchez"/>
    <s v="Male"/>
    <n v="85"/>
    <n v="17"/>
    <n v="65"/>
    <n v="1"/>
    <x v="2"/>
    <n v="62"/>
    <n v="3.4"/>
    <n v="95"/>
    <x v="0"/>
  </r>
  <r>
    <n v="719"/>
    <m/>
    <s v="Female"/>
    <n v="90"/>
    <n v="20"/>
    <n v="70"/>
    <n v="1"/>
    <x v="0"/>
    <n v="90"/>
    <n v="4.7"/>
    <n v="80"/>
    <x v="0"/>
  </r>
  <r>
    <n v="720"/>
    <s v="Justin Sharp"/>
    <s v="Male"/>
    <n v="88"/>
    <n v="12"/>
    <n v="86"/>
    <n v="0"/>
    <x v="1"/>
    <n v="62"/>
    <n v="3.4"/>
    <n v="58"/>
    <x v="1"/>
  </r>
  <r>
    <n v="721"/>
    <s v="Thomas Yoder"/>
    <s v="Female"/>
    <n v="85.510416666666671"/>
    <n v="12"/>
    <n v="77"/>
    <n v="1"/>
    <x v="1"/>
    <n v="68"/>
    <n v="0.4"/>
    <n v="95"/>
    <x v="0"/>
  </r>
  <r>
    <n v="722"/>
    <s v="Christine Mullins"/>
    <s v="Female"/>
    <n v="90"/>
    <n v="30"/>
    <n v="78"/>
    <n v="0"/>
    <x v="1"/>
    <n v="85"/>
    <n v="3.7"/>
    <n v="77"/>
    <x v="0"/>
  </r>
  <r>
    <n v="723"/>
    <s v="Timothy Mcbride"/>
    <s v="Female"/>
    <n v="82"/>
    <n v="30"/>
    <n v="60"/>
    <n v="0"/>
    <x v="1"/>
    <n v="78"/>
    <n v="3.8"/>
    <n v="59"/>
    <x v="0"/>
  </r>
  <r>
    <n v="724"/>
    <s v="Deborah Reyes"/>
    <s v="Male"/>
    <n v="78"/>
    <n v="15"/>
    <n v="90"/>
    <n v="0"/>
    <x v="0"/>
    <n v="78"/>
    <n v="1.3"/>
    <n v="95"/>
    <x v="0"/>
  </r>
  <r>
    <n v="725"/>
    <s v="Chad Downs"/>
    <s v="Male"/>
    <n v="85"/>
    <n v="15"/>
    <n v="77.598759048603924"/>
    <n v="1"/>
    <x v="2"/>
    <n v="72"/>
    <n v="2.4"/>
    <n v="81"/>
    <x v="1"/>
  </r>
  <r>
    <n v="726"/>
    <s v="William Hill"/>
    <s v="Male"/>
    <n v="95"/>
    <n v="20"/>
    <n v="90"/>
    <n v="2"/>
    <x v="0"/>
    <n v="68"/>
    <m/>
    <n v="67"/>
    <x v="1"/>
  </r>
  <r>
    <n v="727"/>
    <s v="Makayla Rhodes"/>
    <s v="Male"/>
    <n v="70"/>
    <n v="20"/>
    <n v="90"/>
    <n v="1"/>
    <x v="2"/>
    <n v="87"/>
    <n v="4.4000000000000004"/>
    <n v="51"/>
    <x v="0"/>
  </r>
  <r>
    <n v="728"/>
    <s v="Clayton Jones"/>
    <s v="Female"/>
    <n v="95"/>
    <n v="17.630526315789474"/>
    <n v="85"/>
    <n v="1"/>
    <x v="0"/>
    <n v="80"/>
    <n v="0.4"/>
    <n v="95"/>
    <x v="0"/>
  </r>
  <r>
    <n v="729"/>
    <s v="Sean Hernandez"/>
    <s v="Female"/>
    <n v="91"/>
    <n v="15"/>
    <n v="88"/>
    <n v="1"/>
    <x v="2"/>
    <n v="88"/>
    <n v="4.8"/>
    <n v="70"/>
    <x v="1"/>
  </r>
  <r>
    <n v="730"/>
    <s v="Christine Young"/>
    <s v="Male"/>
    <n v="88"/>
    <n v="30"/>
    <n v="78"/>
    <n v="2"/>
    <x v="2"/>
    <n v="88"/>
    <n v="1.9"/>
    <n v="75"/>
    <x v="0"/>
  </r>
  <r>
    <n v="731"/>
    <s v="Brian Hale"/>
    <s v="Male"/>
    <n v="70"/>
    <n v="20"/>
    <n v="78"/>
    <n v="3"/>
    <x v="0"/>
    <n v="62"/>
    <n v="3.9"/>
    <n v="68"/>
    <x v="1"/>
  </r>
  <r>
    <n v="732"/>
    <s v="Sandra Hart"/>
    <s v="Female"/>
    <n v="85"/>
    <n v="8"/>
    <n v="82"/>
    <n v="3"/>
    <x v="0"/>
    <n v="90"/>
    <n v="3.3"/>
    <n v="73"/>
    <x v="1"/>
  </r>
  <r>
    <n v="733"/>
    <s v="Christine Curtis"/>
    <s v="Female"/>
    <n v="70"/>
    <n v="17"/>
    <n v="82"/>
    <n v="3"/>
    <x v="2"/>
    <n v="62"/>
    <n v="0.5"/>
    <n v="77"/>
    <x v="0"/>
  </r>
  <r>
    <n v="734"/>
    <s v="Tara Johnson"/>
    <s v="Female"/>
    <n v="70"/>
    <n v="20"/>
    <n v="78"/>
    <n v="2"/>
    <x v="1"/>
    <n v="78"/>
    <n v="3.4"/>
    <n v="91"/>
    <x v="1"/>
  </r>
  <r>
    <n v="735"/>
    <s v="Stephanie Snyder"/>
    <s v="Male"/>
    <n v="88"/>
    <n v="17"/>
    <n v="60"/>
    <n v="2"/>
    <x v="1"/>
    <n v="85"/>
    <n v="0.7"/>
    <m/>
    <x v="0"/>
  </r>
  <r>
    <n v="736"/>
    <s v="Miguel Leblanc"/>
    <s v="Female"/>
    <n v="88"/>
    <n v="22"/>
    <n v="78"/>
    <n v="2"/>
    <x v="0"/>
    <n v="80"/>
    <n v="2.6"/>
    <n v="82"/>
    <x v="0"/>
  </r>
  <r>
    <n v="737"/>
    <s v="Christina Mcintyre"/>
    <s v="Male"/>
    <n v="85"/>
    <n v="22"/>
    <n v="82"/>
    <n v="1"/>
    <x v="1"/>
    <n v="88"/>
    <n v="0.4"/>
    <n v="82"/>
    <x v="1"/>
  </r>
  <r>
    <n v="738"/>
    <s v="John Weber"/>
    <s v="Female"/>
    <n v="78"/>
    <n v="10"/>
    <n v="60"/>
    <n v="1"/>
    <x v="0"/>
    <n v="62"/>
    <n v="4.4000000000000004"/>
    <n v="69"/>
    <x v="0"/>
  </r>
  <r>
    <n v="739"/>
    <s v="Timothy Austin"/>
    <s v="Female"/>
    <n v="91"/>
    <n v="18"/>
    <n v="88"/>
    <n v="0"/>
    <x v="0"/>
    <n v="68"/>
    <n v="0.4"/>
    <n v="88"/>
    <x v="0"/>
  </r>
  <r>
    <n v="740"/>
    <s v="Jeffrey Sullivan"/>
    <s v="Female"/>
    <n v="82"/>
    <n v="15"/>
    <n v="78"/>
    <n v="0"/>
    <x v="0"/>
    <n v="80"/>
    <n v="0.9"/>
    <m/>
    <x v="0"/>
  </r>
  <r>
    <n v="741"/>
    <s v="Michael Noble"/>
    <s v="Female"/>
    <n v="88"/>
    <n v="22"/>
    <n v="86"/>
    <n v="1"/>
    <x v="2"/>
    <n v="62"/>
    <n v="4"/>
    <n v="55"/>
    <x v="1"/>
  </r>
  <r>
    <n v="742"/>
    <s v="Christine Shah"/>
    <s v="Male"/>
    <n v="92"/>
    <n v="20"/>
    <n v="78"/>
    <n v="3"/>
    <x v="0"/>
    <n v="92"/>
    <n v="2.4"/>
    <n v="59"/>
    <x v="1"/>
  </r>
  <r>
    <n v="743"/>
    <s v="Lisa Maynard"/>
    <s v="Male"/>
    <n v="90"/>
    <n v="18"/>
    <n v="77"/>
    <n v="0"/>
    <x v="1"/>
    <n v="62"/>
    <n v="0.1"/>
    <n v="60"/>
    <x v="1"/>
  </r>
  <r>
    <n v="744"/>
    <s v="Lisa Lynch"/>
    <s v="Female"/>
    <n v="85"/>
    <n v="15"/>
    <n v="77"/>
    <n v="3"/>
    <x v="0"/>
    <n v="92"/>
    <n v="1.5"/>
    <n v="75"/>
    <x v="1"/>
  </r>
  <r>
    <n v="745"/>
    <s v="Angela Warren"/>
    <s v="Male"/>
    <n v="90"/>
    <n v="8"/>
    <n v="60"/>
    <n v="1"/>
    <x v="2"/>
    <n v="88"/>
    <n v="3"/>
    <n v="85"/>
    <x v="0"/>
  </r>
  <r>
    <n v="746"/>
    <s v="Mary Benson"/>
    <s v="Female"/>
    <n v="70"/>
    <n v="17.630526315789474"/>
    <n v="70"/>
    <n v="3"/>
    <x v="2"/>
    <m/>
    <n v="4.7"/>
    <n v="81"/>
    <x v="1"/>
  </r>
  <r>
    <n v="747"/>
    <s v="Yvonne Krueger"/>
    <s v="Male"/>
    <n v="70"/>
    <n v="22"/>
    <n v="88"/>
    <n v="2"/>
    <x v="0"/>
    <n v="85"/>
    <n v="4.5"/>
    <n v="76"/>
    <x v="0"/>
  </r>
  <r>
    <n v="748"/>
    <s v="Keith Bailey"/>
    <s v="Female"/>
    <n v="91"/>
    <n v="30"/>
    <n v="77"/>
    <n v="0"/>
    <x v="0"/>
    <n v="68"/>
    <n v="1.4"/>
    <n v="62"/>
    <x v="0"/>
  </r>
  <r>
    <n v="749"/>
    <s v="Barbara Case"/>
    <s v="Female"/>
    <n v="92"/>
    <n v="12"/>
    <n v="90"/>
    <n v="3"/>
    <x v="2"/>
    <n v="90"/>
    <n v="4.5999999999999996"/>
    <n v="95"/>
    <x v="0"/>
  </r>
  <r>
    <n v="750"/>
    <s v="Jamie Torres"/>
    <s v="Female"/>
    <n v="70"/>
    <n v="8"/>
    <n v="88"/>
    <n v="1"/>
    <x v="0"/>
    <n v="88"/>
    <n v="1"/>
    <n v="94"/>
    <x v="1"/>
  </r>
  <r>
    <n v="751"/>
    <s v="Justin Jacobs"/>
    <s v="Male"/>
    <n v="78"/>
    <n v="25"/>
    <n v="65"/>
    <n v="3"/>
    <x v="1"/>
    <n v="87"/>
    <n v="4"/>
    <n v="81"/>
    <x v="0"/>
  </r>
  <r>
    <n v="752"/>
    <s v="Kevin Reynolds"/>
    <s v="Male"/>
    <n v="82"/>
    <n v="15"/>
    <n v="77.598759048603924"/>
    <n v="1"/>
    <x v="1"/>
    <n v="90"/>
    <n v="3.4"/>
    <n v="61"/>
    <x v="1"/>
  </r>
  <r>
    <n v="753"/>
    <s v="Michelle Kelly"/>
    <s v="Female"/>
    <n v="70"/>
    <n v="20"/>
    <n v="86"/>
    <n v="3"/>
    <x v="0"/>
    <n v="72"/>
    <n v="1.1000000000000001"/>
    <n v="66"/>
    <x v="0"/>
  </r>
  <r>
    <n v="754"/>
    <s v="Terry Hernandez"/>
    <s v="Male"/>
    <n v="82"/>
    <n v="18"/>
    <n v="65"/>
    <n v="2"/>
    <x v="2"/>
    <n v="87"/>
    <n v="3.5"/>
    <n v="78"/>
    <x v="0"/>
  </r>
  <r>
    <n v="755"/>
    <s v="Aaron Duarte"/>
    <s v="Male"/>
    <n v="91"/>
    <n v="22"/>
    <n v="85"/>
    <n v="2"/>
    <x v="0"/>
    <n v="72"/>
    <n v="0.5"/>
    <n v="90"/>
    <x v="1"/>
  </r>
  <r>
    <n v="756"/>
    <s v="Micheal Perez"/>
    <s v="Female"/>
    <n v="78"/>
    <n v="18"/>
    <n v="77"/>
    <n v="2"/>
    <x v="1"/>
    <n v="87"/>
    <n v="0.8"/>
    <n v="73"/>
    <x v="0"/>
  </r>
  <r>
    <n v="757"/>
    <s v="Troy Bradford"/>
    <s v="Male"/>
    <n v="92"/>
    <n v="17"/>
    <n v="60"/>
    <n v="1"/>
    <x v="0"/>
    <n v="78"/>
    <n v="1.7"/>
    <n v="82"/>
    <x v="1"/>
  </r>
  <r>
    <n v="758"/>
    <s v="Bobby Wilkinson"/>
    <s v="Female"/>
    <n v="95"/>
    <n v="8"/>
    <n v="88"/>
    <n v="3"/>
    <x v="0"/>
    <n v="72"/>
    <n v="2.1"/>
    <n v="64"/>
    <x v="1"/>
  </r>
  <r>
    <n v="759"/>
    <s v="Juan Lopez"/>
    <s v="Female"/>
    <n v="85.510416666666671"/>
    <n v="17"/>
    <n v="70"/>
    <n v="1"/>
    <x v="0"/>
    <n v="78"/>
    <n v="0.7"/>
    <n v="50"/>
    <x v="1"/>
  </r>
  <r>
    <n v="760"/>
    <s v="Virginia Medina"/>
    <s v="Female"/>
    <n v="85.510416666666671"/>
    <n v="8"/>
    <n v="65"/>
    <n v="0"/>
    <x v="0"/>
    <m/>
    <n v="3.8"/>
    <n v="92"/>
    <x v="1"/>
  </r>
  <r>
    <n v="761"/>
    <s v="Leah Holmes"/>
    <s v="Female"/>
    <n v="70"/>
    <n v="8"/>
    <n v="77.598759048603924"/>
    <n v="2"/>
    <x v="2"/>
    <n v="90"/>
    <n v="4.5"/>
    <n v="50"/>
    <x v="0"/>
  </r>
  <r>
    <n v="762"/>
    <s v="Todd Brooks"/>
    <s v="Male"/>
    <n v="70"/>
    <n v="17"/>
    <n v="90"/>
    <n v="2"/>
    <x v="2"/>
    <n v="88"/>
    <n v="3.3"/>
    <n v="94"/>
    <x v="0"/>
  </r>
  <r>
    <n v="763"/>
    <s v="Madeline Rush"/>
    <s v="Male"/>
    <n v="88"/>
    <n v="20"/>
    <n v="78"/>
    <n v="2"/>
    <x v="1"/>
    <n v="62"/>
    <n v="3.6"/>
    <n v="97"/>
    <x v="1"/>
  </r>
  <r>
    <n v="764"/>
    <s v="Ronnie Lee"/>
    <s v="Female"/>
    <n v="92"/>
    <n v="20"/>
    <n v="70"/>
    <n v="2"/>
    <x v="1"/>
    <n v="72"/>
    <m/>
    <n v="90"/>
    <x v="1"/>
  </r>
  <r>
    <n v="765"/>
    <s v="Nicole Frederick"/>
    <s v="Male"/>
    <n v="82"/>
    <n v="22"/>
    <n v="82"/>
    <n v="3"/>
    <x v="1"/>
    <n v="62"/>
    <n v="4.9000000000000004"/>
    <n v="57"/>
    <x v="1"/>
  </r>
  <r>
    <n v="766"/>
    <s v="Jason Adams"/>
    <s v="Female"/>
    <n v="82"/>
    <n v="30"/>
    <n v="85"/>
    <n v="1"/>
    <x v="2"/>
    <n v="87"/>
    <n v="2.2000000000000002"/>
    <m/>
    <x v="1"/>
  </r>
  <r>
    <n v="767"/>
    <s v="Mallory Fletcher"/>
    <s v="Female"/>
    <n v="92"/>
    <n v="22"/>
    <n v="86"/>
    <n v="2"/>
    <x v="2"/>
    <n v="92"/>
    <n v="1.8"/>
    <n v="68"/>
    <x v="1"/>
  </r>
  <r>
    <n v="768"/>
    <s v="David Cummings"/>
    <s v="Unknown"/>
    <n v="90"/>
    <n v="30"/>
    <n v="70"/>
    <n v="3"/>
    <x v="0"/>
    <n v="90"/>
    <n v="2.2999999999999998"/>
    <n v="59"/>
    <x v="0"/>
  </r>
  <r>
    <n v="769"/>
    <s v="Kelly Suarez"/>
    <s v="Male"/>
    <n v="90"/>
    <n v="15"/>
    <n v="60"/>
    <n v="0"/>
    <x v="1"/>
    <n v="92"/>
    <n v="2.2000000000000002"/>
    <n v="73"/>
    <x v="0"/>
  </r>
  <r>
    <n v="770"/>
    <s v="Drew Morse"/>
    <s v="Unknown"/>
    <n v="88"/>
    <n v="22"/>
    <n v="77"/>
    <n v="0"/>
    <x v="1"/>
    <n v="78"/>
    <n v="3.7"/>
    <n v="76"/>
    <x v="1"/>
  </r>
  <r>
    <n v="771"/>
    <s v="Lauren Stephens"/>
    <s v="Male"/>
    <n v="85"/>
    <n v="17"/>
    <n v="65"/>
    <n v="2"/>
    <x v="2"/>
    <n v="87"/>
    <n v="3.5"/>
    <n v="79"/>
    <x v="0"/>
  </r>
  <r>
    <n v="772"/>
    <s v="Penny Miller"/>
    <s v="Male"/>
    <n v="82"/>
    <n v="30"/>
    <n v="85"/>
    <n v="3"/>
    <x v="1"/>
    <n v="87"/>
    <n v="0.6"/>
    <n v="86"/>
    <x v="0"/>
  </r>
  <r>
    <n v="773"/>
    <s v="Paula Stewart"/>
    <s v="Male"/>
    <n v="90"/>
    <n v="30"/>
    <n v="82"/>
    <n v="1"/>
    <x v="1"/>
    <n v="85"/>
    <n v="2.4"/>
    <n v="100"/>
    <x v="1"/>
  </r>
  <r>
    <n v="774"/>
    <s v="Jonathan Johnson"/>
    <s v="Female"/>
    <n v="85"/>
    <n v="18"/>
    <n v="82"/>
    <n v="3"/>
    <x v="0"/>
    <n v="78"/>
    <n v="0"/>
    <n v="85"/>
    <x v="0"/>
  </r>
  <r>
    <n v="775"/>
    <s v="Laura Ross"/>
    <s v="Male"/>
    <n v="70"/>
    <n v="17"/>
    <n v="86"/>
    <n v="2"/>
    <x v="2"/>
    <n v="78"/>
    <n v="4.5"/>
    <n v="100"/>
    <x v="0"/>
  </r>
  <r>
    <n v="776"/>
    <s v="Brandy Wilson"/>
    <s v="Male"/>
    <n v="78"/>
    <n v="12"/>
    <n v="77"/>
    <n v="1"/>
    <x v="2"/>
    <n v="78"/>
    <n v="0.7"/>
    <n v="96"/>
    <x v="0"/>
  </r>
  <r>
    <n v="777"/>
    <s v="Brittany Briggs"/>
    <s v="Female"/>
    <n v="70"/>
    <n v="25"/>
    <n v="60"/>
    <n v="1"/>
    <x v="2"/>
    <n v="80"/>
    <n v="4.8"/>
    <n v="78"/>
    <x v="0"/>
  </r>
  <r>
    <n v="778"/>
    <s v="Carl Coleman"/>
    <s v="Male"/>
    <n v="85"/>
    <n v="22"/>
    <n v="82"/>
    <n v="2"/>
    <x v="2"/>
    <n v="87"/>
    <n v="3.2"/>
    <n v="55"/>
    <x v="1"/>
  </r>
  <r>
    <n v="779"/>
    <s v="Crystal Chandler"/>
    <s v="Male"/>
    <n v="91"/>
    <n v="12"/>
    <n v="90"/>
    <n v="1"/>
    <x v="2"/>
    <n v="80"/>
    <n v="0.6"/>
    <n v="84"/>
    <x v="1"/>
  </r>
  <r>
    <n v="780"/>
    <s v="Elizabeth Nichols"/>
    <s v="Female"/>
    <n v="92"/>
    <n v="25"/>
    <n v="86"/>
    <n v="1"/>
    <x v="0"/>
    <m/>
    <n v="3"/>
    <n v="75"/>
    <x v="1"/>
  </r>
  <r>
    <n v="781"/>
    <s v="Jesse Barber"/>
    <s v="Male"/>
    <n v="95"/>
    <n v="17.630526315789474"/>
    <n v="65"/>
    <n v="0"/>
    <x v="0"/>
    <n v="72"/>
    <n v="1.6"/>
    <n v="66"/>
    <x v="1"/>
  </r>
  <r>
    <n v="782"/>
    <s v="Julie Jackson"/>
    <s v="Male"/>
    <n v="82"/>
    <n v="10"/>
    <n v="82"/>
    <n v="0"/>
    <x v="0"/>
    <n v="85"/>
    <n v="3.8"/>
    <n v="59"/>
    <x v="0"/>
  </r>
  <r>
    <n v="783"/>
    <s v="Cindy Morales"/>
    <s v="Male"/>
    <n v="85"/>
    <n v="22"/>
    <n v="88"/>
    <n v="0"/>
    <x v="0"/>
    <n v="80"/>
    <n v="1.5"/>
    <n v="56"/>
    <x v="0"/>
  </r>
  <r>
    <n v="784"/>
    <m/>
    <s v="Female"/>
    <n v="95"/>
    <n v="18"/>
    <n v="60"/>
    <n v="2"/>
    <x v="0"/>
    <n v="92"/>
    <n v="1.2"/>
    <n v="88"/>
    <x v="1"/>
  </r>
  <r>
    <n v="785"/>
    <s v="Ashley Franco"/>
    <s v="Female"/>
    <n v="90"/>
    <n v="18"/>
    <n v="78"/>
    <n v="1"/>
    <x v="1"/>
    <n v="72"/>
    <n v="2"/>
    <m/>
    <x v="1"/>
  </r>
  <r>
    <n v="786"/>
    <s v="Kimberly Calderon"/>
    <s v="Male"/>
    <n v="85"/>
    <n v="18"/>
    <n v="70"/>
    <n v="3"/>
    <x v="2"/>
    <n v="87"/>
    <n v="1.2"/>
    <n v="85"/>
    <x v="1"/>
  </r>
  <r>
    <n v="787"/>
    <s v="Lisa Brooks"/>
    <s v="Female"/>
    <n v="85"/>
    <n v="20"/>
    <n v="70"/>
    <n v="3"/>
    <x v="0"/>
    <n v="90"/>
    <n v="2.7"/>
    <n v="60"/>
    <x v="1"/>
  </r>
  <r>
    <n v="788"/>
    <s v="Destiny Todd"/>
    <s v="Female"/>
    <n v="82"/>
    <n v="17"/>
    <n v="78"/>
    <n v="1"/>
    <x v="1"/>
    <n v="88"/>
    <n v="1.4"/>
    <n v="60"/>
    <x v="1"/>
  </r>
  <r>
    <n v="789"/>
    <s v="Dawn Luna"/>
    <s v="Female"/>
    <n v="88"/>
    <n v="22"/>
    <n v="77.598759048603924"/>
    <n v="1"/>
    <x v="1"/>
    <n v="92"/>
    <n v="2.9"/>
    <n v="82"/>
    <x v="0"/>
  </r>
  <r>
    <n v="790"/>
    <s v="Jacob Yoder"/>
    <s v="Male"/>
    <n v="82"/>
    <n v="22"/>
    <n v="85"/>
    <n v="2"/>
    <x v="0"/>
    <n v="62"/>
    <n v="3.5"/>
    <n v="58"/>
    <x v="0"/>
  </r>
  <r>
    <n v="791"/>
    <s v="Martha Moody"/>
    <s v="Male"/>
    <n v="91"/>
    <n v="12"/>
    <n v="88"/>
    <n v="1"/>
    <x v="2"/>
    <n v="85"/>
    <n v="4.9000000000000004"/>
    <n v="95"/>
    <x v="0"/>
  </r>
  <r>
    <n v="792"/>
    <s v="James Torres"/>
    <s v="Male"/>
    <n v="95"/>
    <n v="30"/>
    <n v="90"/>
    <n v="1"/>
    <x v="2"/>
    <n v="90"/>
    <n v="0.1"/>
    <n v="94"/>
    <x v="1"/>
  </r>
  <r>
    <n v="793"/>
    <s v="Joshua Robertson"/>
    <s v="Female"/>
    <n v="85"/>
    <n v="15"/>
    <n v="65"/>
    <n v="0"/>
    <x v="2"/>
    <n v="78"/>
    <n v="3.8"/>
    <n v="84"/>
    <x v="1"/>
  </r>
  <r>
    <n v="794"/>
    <s v="Shelly Stuart"/>
    <s v="Male"/>
    <n v="85"/>
    <n v="20"/>
    <n v="88"/>
    <n v="0"/>
    <x v="2"/>
    <n v="90"/>
    <n v="1.9"/>
    <n v="99"/>
    <x v="1"/>
  </r>
  <r>
    <n v="795"/>
    <s v="Julie Williams"/>
    <s v="Female"/>
    <n v="95"/>
    <n v="25"/>
    <n v="77"/>
    <n v="1"/>
    <x v="0"/>
    <n v="80"/>
    <n v="3.8"/>
    <n v="93"/>
    <x v="0"/>
  </r>
  <r>
    <n v="796"/>
    <s v="Tamara Jones"/>
    <s v="Unknown"/>
    <n v="91"/>
    <n v="18"/>
    <n v="90"/>
    <n v="3"/>
    <x v="1"/>
    <n v="90"/>
    <n v="0.2"/>
    <n v="81"/>
    <x v="1"/>
  </r>
  <r>
    <n v="797"/>
    <s v="Todd Orozco"/>
    <s v="Male"/>
    <n v="70"/>
    <n v="20"/>
    <n v="77.598759048603924"/>
    <n v="3"/>
    <x v="2"/>
    <n v="78"/>
    <n v="0.9"/>
    <n v="62"/>
    <x v="1"/>
  </r>
  <r>
    <n v="798"/>
    <s v="Jeffrey Torres"/>
    <s v="Male"/>
    <n v="90"/>
    <n v="10"/>
    <n v="82"/>
    <n v="3"/>
    <x v="0"/>
    <n v="72"/>
    <n v="3.6"/>
    <n v="67"/>
    <x v="1"/>
  </r>
  <r>
    <n v="799"/>
    <s v="Chad Colon"/>
    <s v="Female"/>
    <n v="82"/>
    <n v="17"/>
    <n v="78"/>
    <n v="1"/>
    <x v="2"/>
    <n v="80"/>
    <n v="-5"/>
    <n v="200"/>
    <x v="0"/>
  </r>
  <r>
    <n v="800"/>
    <s v="Alan Williams"/>
    <s v="Female"/>
    <n v="90"/>
    <n v="12"/>
    <n v="77"/>
    <n v="1"/>
    <x v="1"/>
    <n v="72"/>
    <n v="3.8"/>
    <n v="96"/>
    <x v="1"/>
  </r>
  <r>
    <n v="801"/>
    <s v="Cameron Austin"/>
    <s v="Female"/>
    <n v="85.510416666666671"/>
    <n v="12"/>
    <n v="77"/>
    <n v="1"/>
    <x v="0"/>
    <n v="62"/>
    <n v="1"/>
    <n v="55"/>
    <x v="1"/>
  </r>
  <r>
    <n v="802"/>
    <s v="Dawn Nguyen"/>
    <s v="Female"/>
    <n v="90"/>
    <n v="25"/>
    <n v="90"/>
    <n v="0"/>
    <x v="1"/>
    <n v="85"/>
    <n v="0.3"/>
    <n v="90"/>
    <x v="1"/>
  </r>
  <r>
    <n v="803"/>
    <s v="Andrea Phillips"/>
    <s v="Female"/>
    <n v="70"/>
    <n v="15"/>
    <n v="86"/>
    <n v="1"/>
    <x v="1"/>
    <n v="92"/>
    <n v="0.5"/>
    <n v="65"/>
    <x v="0"/>
  </r>
  <r>
    <n v="804"/>
    <s v="Robert Bishop"/>
    <s v="Female"/>
    <n v="85.510416666666671"/>
    <n v="17.630526315789474"/>
    <n v="85"/>
    <n v="3"/>
    <x v="2"/>
    <n v="78"/>
    <n v="3.8"/>
    <n v="90"/>
    <x v="0"/>
  </r>
  <r>
    <n v="805"/>
    <s v="Melanie Mckinney"/>
    <s v="Male"/>
    <n v="85"/>
    <n v="15"/>
    <n v="60"/>
    <n v="1"/>
    <x v="2"/>
    <n v="87"/>
    <n v="3.9"/>
    <n v="53"/>
    <x v="0"/>
  </r>
  <r>
    <n v="806"/>
    <s v="Joseph Ellis"/>
    <s v="Female"/>
    <n v="91"/>
    <n v="8"/>
    <n v="85"/>
    <n v="2"/>
    <x v="2"/>
    <n v="80"/>
    <n v="2.8"/>
    <n v="68"/>
    <x v="0"/>
  </r>
  <r>
    <n v="807"/>
    <s v="Jennifer Smith"/>
    <s v="Male"/>
    <n v="91"/>
    <n v="8"/>
    <n v="90"/>
    <n v="3"/>
    <x v="2"/>
    <n v="88"/>
    <n v="0.1"/>
    <n v="74"/>
    <x v="0"/>
  </r>
  <r>
    <n v="808"/>
    <s v="Vickie Holloway"/>
    <s v="Male"/>
    <n v="95"/>
    <n v="15"/>
    <n v="77"/>
    <n v="2"/>
    <x v="1"/>
    <n v="88"/>
    <n v="1"/>
    <n v="56"/>
    <x v="1"/>
  </r>
  <r>
    <n v="809"/>
    <s v="Nancy Munoz"/>
    <s v="Male"/>
    <n v="91"/>
    <n v="10"/>
    <n v="70"/>
    <n v="2"/>
    <x v="1"/>
    <n v="62"/>
    <n v="2.4"/>
    <n v="89"/>
    <x v="0"/>
  </r>
  <r>
    <n v="810"/>
    <s v="David Taylor"/>
    <s v="Male"/>
    <n v="85.510416666666671"/>
    <n v="15"/>
    <n v="78"/>
    <n v="0"/>
    <x v="1"/>
    <n v="88"/>
    <n v="2.2000000000000002"/>
    <n v="91"/>
    <x v="2"/>
  </r>
  <r>
    <n v="811"/>
    <s v="Amber Gray"/>
    <s v="Male"/>
    <n v="78"/>
    <n v="17"/>
    <n v="82"/>
    <n v="3"/>
    <x v="1"/>
    <n v="85"/>
    <n v="1.8"/>
    <n v="50"/>
    <x v="1"/>
  </r>
  <r>
    <n v="812"/>
    <s v="Christian Barr"/>
    <s v="Male"/>
    <n v="82"/>
    <n v="12"/>
    <n v="78"/>
    <n v="0"/>
    <x v="1"/>
    <n v="92"/>
    <n v="4.9000000000000004"/>
    <n v="90"/>
    <x v="1"/>
  </r>
  <r>
    <n v="813"/>
    <s v="Kimberly Harrison"/>
    <s v="Unknown"/>
    <n v="92"/>
    <n v="17"/>
    <n v="77"/>
    <n v="3"/>
    <x v="2"/>
    <n v="90"/>
    <n v="4.3"/>
    <m/>
    <x v="0"/>
  </r>
  <r>
    <n v="814"/>
    <s v="Mark Fleming"/>
    <s v="Female"/>
    <n v="95"/>
    <n v="10"/>
    <n v="85"/>
    <n v="1"/>
    <x v="0"/>
    <n v="78"/>
    <n v="1.1000000000000001"/>
    <m/>
    <x v="1"/>
  </r>
  <r>
    <n v="815"/>
    <s v="Felicia Carpenter"/>
    <s v="Female"/>
    <n v="85.510416666666671"/>
    <n v="25"/>
    <n v="90"/>
    <n v="1"/>
    <x v="2"/>
    <n v="90"/>
    <n v="4"/>
    <n v="74"/>
    <x v="1"/>
  </r>
  <r>
    <n v="816"/>
    <s v="Rebecca Kelly"/>
    <s v="Male"/>
    <n v="85"/>
    <n v="30"/>
    <n v="78"/>
    <n v="2"/>
    <x v="1"/>
    <n v="80"/>
    <n v="2.8"/>
    <n v="59"/>
    <x v="0"/>
  </r>
  <r>
    <n v="817"/>
    <s v="Aaron Walls"/>
    <s v="Male"/>
    <n v="91"/>
    <n v="30"/>
    <n v="78"/>
    <n v="1"/>
    <x v="0"/>
    <n v="92"/>
    <n v="1.4"/>
    <n v="64"/>
    <x v="0"/>
  </r>
  <r>
    <n v="818"/>
    <s v="Mark King"/>
    <s v="Female"/>
    <n v="82"/>
    <n v="25"/>
    <n v="65"/>
    <n v="3"/>
    <x v="0"/>
    <n v="68"/>
    <n v="4.2"/>
    <n v="56"/>
    <x v="1"/>
  </r>
  <r>
    <n v="819"/>
    <s v="James Macdonald"/>
    <s v="Female"/>
    <n v="90"/>
    <n v="30"/>
    <n v="90"/>
    <n v="2"/>
    <x v="1"/>
    <n v="92"/>
    <n v="1.8"/>
    <n v="73"/>
    <x v="1"/>
  </r>
  <r>
    <n v="820"/>
    <s v="Alexander Thompson"/>
    <s v="Female"/>
    <n v="90"/>
    <n v="20"/>
    <n v="65"/>
    <n v="0"/>
    <x v="0"/>
    <n v="92"/>
    <n v="2.7"/>
    <n v="94"/>
    <x v="0"/>
  </r>
  <r>
    <n v="821"/>
    <s v="Kaitlin Walton"/>
    <s v="Female"/>
    <n v="92"/>
    <n v="17.630526315789474"/>
    <n v="86"/>
    <n v="3"/>
    <x v="0"/>
    <n v="72"/>
    <n v="1.5"/>
    <n v="59"/>
    <x v="0"/>
  </r>
  <r>
    <n v="822"/>
    <s v="Ashley Kaufman"/>
    <s v="Male"/>
    <n v="88"/>
    <n v="10"/>
    <n v="70"/>
    <n v="3"/>
    <x v="1"/>
    <n v="92"/>
    <n v="3.6"/>
    <n v="100"/>
    <x v="0"/>
  </r>
  <r>
    <n v="823"/>
    <s v="Megan Bernard"/>
    <s v="Male"/>
    <n v="82"/>
    <n v="8"/>
    <n v="70"/>
    <n v="1"/>
    <x v="1"/>
    <n v="72"/>
    <n v="2.2999999999999998"/>
    <n v="70"/>
    <x v="0"/>
  </r>
  <r>
    <n v="824"/>
    <s v="Kelly Harper"/>
    <s v="Female"/>
    <n v="85"/>
    <n v="17"/>
    <n v="82"/>
    <n v="3"/>
    <x v="1"/>
    <n v="88"/>
    <n v="3.2"/>
    <n v="63"/>
    <x v="1"/>
  </r>
  <r>
    <n v="825"/>
    <s v="Daniel White"/>
    <s v="Female"/>
    <n v="92"/>
    <n v="8"/>
    <n v="90"/>
    <n v="2"/>
    <x v="1"/>
    <n v="62"/>
    <n v="2.9"/>
    <n v="73"/>
    <x v="0"/>
  </r>
  <r>
    <n v="826"/>
    <s v="Justin Castro"/>
    <s v="Unknown"/>
    <n v="90"/>
    <n v="18"/>
    <n v="77"/>
    <n v="2"/>
    <x v="1"/>
    <n v="92"/>
    <n v="2.9"/>
    <n v="79"/>
    <x v="0"/>
  </r>
  <r>
    <n v="827"/>
    <s v="John Odonnell"/>
    <s v="Female"/>
    <n v="85"/>
    <n v="8"/>
    <n v="60"/>
    <n v="1"/>
    <x v="1"/>
    <n v="90"/>
    <n v="1.4"/>
    <n v="51"/>
    <x v="1"/>
  </r>
  <r>
    <n v="828"/>
    <s v="Whitney Tapia"/>
    <s v="Male"/>
    <n v="88"/>
    <n v="20"/>
    <n v="88"/>
    <n v="2"/>
    <x v="3"/>
    <n v="72"/>
    <n v="2.6"/>
    <n v="91"/>
    <x v="1"/>
  </r>
  <r>
    <n v="829"/>
    <s v="Jeff Lawrence"/>
    <s v="Male"/>
    <n v="90"/>
    <n v="20"/>
    <n v="85"/>
    <n v="1"/>
    <x v="0"/>
    <n v="72"/>
    <m/>
    <n v="62"/>
    <x v="2"/>
  </r>
  <r>
    <n v="830"/>
    <s v="Jeremy Shields"/>
    <s v="Female"/>
    <n v="88"/>
    <n v="25"/>
    <n v="86"/>
    <n v="0"/>
    <x v="2"/>
    <n v="72"/>
    <n v="4.5999999999999996"/>
    <n v="50"/>
    <x v="0"/>
  </r>
  <r>
    <n v="831"/>
    <s v="Matthew Davies"/>
    <s v="Female"/>
    <n v="70"/>
    <n v="8"/>
    <n v="86"/>
    <n v="1"/>
    <x v="1"/>
    <n v="72"/>
    <n v="4.9000000000000004"/>
    <n v="59"/>
    <x v="0"/>
  </r>
  <r>
    <n v="832"/>
    <s v="Christine Hamilton"/>
    <s v="Male"/>
    <n v="92"/>
    <n v="17"/>
    <n v="90"/>
    <n v="2"/>
    <x v="2"/>
    <n v="72"/>
    <n v="3.8"/>
    <n v="96"/>
    <x v="0"/>
  </r>
  <r>
    <n v="833"/>
    <s v="Crystal Proctor"/>
    <s v="Male"/>
    <n v="95"/>
    <n v="25"/>
    <n v="60"/>
    <n v="0"/>
    <x v="0"/>
    <n v="78"/>
    <n v="2.2000000000000002"/>
    <n v="85"/>
    <x v="1"/>
  </r>
  <r>
    <n v="834"/>
    <s v="Tracy Kelley"/>
    <s v="Male"/>
    <n v="91"/>
    <n v="10"/>
    <n v="82"/>
    <n v="1"/>
    <x v="1"/>
    <n v="90"/>
    <n v="1.7"/>
    <n v="76"/>
    <x v="0"/>
  </r>
  <r>
    <n v="835"/>
    <s v="Victoria Mcbride"/>
    <s v="Female"/>
    <n v="95"/>
    <n v="22"/>
    <n v="78"/>
    <n v="3"/>
    <x v="0"/>
    <n v="68"/>
    <n v="0.8"/>
    <n v="71"/>
    <x v="0"/>
  </r>
  <r>
    <n v="836"/>
    <s v="Ellen Cross MD"/>
    <s v="Male"/>
    <n v="70"/>
    <n v="20"/>
    <n v="70"/>
    <n v="0"/>
    <x v="0"/>
    <n v="78"/>
    <n v="0.5"/>
    <m/>
    <x v="0"/>
  </r>
  <r>
    <n v="837"/>
    <s v="David Stevens"/>
    <s v="Male"/>
    <n v="85.510416666666671"/>
    <n v="20"/>
    <n v="70"/>
    <n v="0"/>
    <x v="0"/>
    <n v="88"/>
    <n v="2.4"/>
    <n v="61"/>
    <x v="1"/>
  </r>
  <r>
    <n v="838"/>
    <s v="Frank Brown DDS"/>
    <s v="Female"/>
    <n v="88"/>
    <n v="25"/>
    <n v="90"/>
    <n v="2"/>
    <x v="2"/>
    <n v="72"/>
    <n v="0.3"/>
    <n v="53"/>
    <x v="0"/>
  </r>
  <r>
    <n v="839"/>
    <s v="Jenna Price"/>
    <s v="Male"/>
    <n v="78"/>
    <n v="30"/>
    <n v="60"/>
    <n v="0"/>
    <x v="0"/>
    <n v="87"/>
    <n v="0.6"/>
    <n v="76"/>
    <x v="0"/>
  </r>
  <r>
    <n v="840"/>
    <s v="Deborah Barajas"/>
    <s v="Female"/>
    <n v="85.510416666666671"/>
    <n v="10"/>
    <n v="90"/>
    <n v="2"/>
    <x v="1"/>
    <n v="78"/>
    <n v="0.8"/>
    <m/>
    <x v="0"/>
  </r>
  <r>
    <n v="841"/>
    <s v="Richard Howard Jr."/>
    <s v="Unknown"/>
    <n v="88"/>
    <n v="25"/>
    <n v="78"/>
    <n v="0"/>
    <x v="1"/>
    <n v="87"/>
    <n v="4.0999999999999996"/>
    <n v="88"/>
    <x v="1"/>
  </r>
  <r>
    <n v="842"/>
    <s v="Anita Dougherty"/>
    <s v="Female"/>
    <n v="91"/>
    <n v="17"/>
    <n v="77"/>
    <n v="1"/>
    <x v="2"/>
    <n v="80"/>
    <n v="3.7"/>
    <n v="68"/>
    <x v="0"/>
  </r>
  <r>
    <n v="843"/>
    <s v="Alicia Watson"/>
    <s v="Female"/>
    <n v="70"/>
    <n v="22"/>
    <n v="65"/>
    <n v="0"/>
    <x v="0"/>
    <n v="68"/>
    <n v="4.5"/>
    <n v="96"/>
    <x v="0"/>
  </r>
  <r>
    <n v="844"/>
    <s v="Deborah Hunter"/>
    <s v="Female"/>
    <n v="78"/>
    <n v="22"/>
    <n v="85"/>
    <n v="0"/>
    <x v="2"/>
    <n v="80"/>
    <n v="1.2"/>
    <n v="60"/>
    <x v="0"/>
  </r>
  <r>
    <n v="845"/>
    <s v="Morgan Gilbert"/>
    <s v="Female"/>
    <n v="90"/>
    <n v="25"/>
    <n v="77"/>
    <n v="0"/>
    <x v="2"/>
    <n v="87"/>
    <n v="5"/>
    <n v="54"/>
    <x v="1"/>
  </r>
  <r>
    <n v="846"/>
    <s v="Taylor Crawford"/>
    <s v="Female"/>
    <n v="70"/>
    <n v="17"/>
    <n v="65"/>
    <n v="2"/>
    <x v="0"/>
    <n v="72"/>
    <n v="0.2"/>
    <n v="51"/>
    <x v="1"/>
  </r>
  <r>
    <n v="847"/>
    <s v="Danny Sanchez"/>
    <s v="Female"/>
    <n v="95"/>
    <n v="8"/>
    <n v="90"/>
    <n v="0"/>
    <x v="0"/>
    <n v="80"/>
    <n v="1.3"/>
    <n v="95"/>
    <x v="2"/>
  </r>
  <r>
    <n v="848"/>
    <s v="Cory Rosario DDS"/>
    <s v="Female"/>
    <n v="85"/>
    <n v="17"/>
    <n v="85"/>
    <n v="2"/>
    <x v="2"/>
    <n v="92"/>
    <n v="3.6"/>
    <n v="78"/>
    <x v="1"/>
  </r>
  <r>
    <n v="849"/>
    <m/>
    <s v="Female"/>
    <n v="78"/>
    <n v="17.630526315789474"/>
    <n v="78"/>
    <n v="3"/>
    <x v="0"/>
    <n v="68"/>
    <n v="1.5"/>
    <n v="84"/>
    <x v="0"/>
  </r>
  <r>
    <n v="850"/>
    <s v="Kyle Perez"/>
    <s v="Male"/>
    <n v="85"/>
    <n v="18"/>
    <n v="65"/>
    <n v="1"/>
    <x v="1"/>
    <n v="68"/>
    <n v="1.1000000000000001"/>
    <n v="52"/>
    <x v="1"/>
  </r>
  <r>
    <n v="851"/>
    <s v="Kelly Gibson MD"/>
    <s v="Male"/>
    <n v="82"/>
    <n v="20"/>
    <n v="60"/>
    <n v="2"/>
    <x v="1"/>
    <n v="80"/>
    <n v="3"/>
    <n v="53"/>
    <x v="0"/>
  </r>
  <r>
    <n v="852"/>
    <s v="Angela Garcia"/>
    <s v="Male"/>
    <n v="95"/>
    <n v="25"/>
    <n v="90"/>
    <n v="2"/>
    <x v="0"/>
    <n v="62"/>
    <n v="0.1"/>
    <n v="50"/>
    <x v="0"/>
  </r>
  <r>
    <n v="853"/>
    <s v="Dylan Vaughan"/>
    <s v="Male"/>
    <n v="92"/>
    <n v="20"/>
    <n v="65"/>
    <n v="0"/>
    <x v="0"/>
    <n v="62"/>
    <n v="2.6"/>
    <n v="70"/>
    <x v="0"/>
  </r>
  <r>
    <n v="854"/>
    <s v="Kevin Santiago"/>
    <s v="Male"/>
    <n v="82"/>
    <n v="8"/>
    <n v="60"/>
    <n v="2"/>
    <x v="0"/>
    <n v="92"/>
    <n v="0.5"/>
    <n v="70"/>
    <x v="1"/>
  </r>
  <r>
    <n v="855"/>
    <s v="Terry Rodriguez"/>
    <s v="Female"/>
    <n v="95"/>
    <n v="15"/>
    <n v="60"/>
    <n v="3"/>
    <x v="1"/>
    <n v="92"/>
    <n v="0.3"/>
    <n v="67"/>
    <x v="0"/>
  </r>
  <r>
    <n v="856"/>
    <s v="Chad Mason"/>
    <s v="Male"/>
    <n v="92"/>
    <n v="8"/>
    <n v="82"/>
    <n v="3"/>
    <x v="1"/>
    <n v="87"/>
    <n v="3.6"/>
    <n v="100"/>
    <x v="1"/>
  </r>
  <r>
    <n v="857"/>
    <s v="Jessica Ferguson"/>
    <s v="Male"/>
    <n v="91"/>
    <n v="30"/>
    <n v="60"/>
    <n v="0"/>
    <x v="1"/>
    <n v="68"/>
    <n v="3.2"/>
    <n v="94"/>
    <x v="0"/>
  </r>
  <r>
    <n v="858"/>
    <s v="Andrew Schroeder"/>
    <s v="Unknown"/>
    <n v="95"/>
    <n v="17.630526315789474"/>
    <n v="86"/>
    <n v="3"/>
    <x v="1"/>
    <n v="62"/>
    <n v="2.6"/>
    <n v="97"/>
    <x v="1"/>
  </r>
  <r>
    <n v="859"/>
    <s v="Jeffrey Garcia"/>
    <s v="Male"/>
    <n v="85.510416666666671"/>
    <n v="15"/>
    <n v="86"/>
    <n v="1"/>
    <x v="1"/>
    <n v="92"/>
    <n v="3.7"/>
    <n v="98"/>
    <x v="1"/>
  </r>
  <r>
    <n v="860"/>
    <s v="Jason Hood"/>
    <s v="Male"/>
    <n v="78"/>
    <n v="30"/>
    <n v="77"/>
    <n v="2"/>
    <x v="0"/>
    <n v="68"/>
    <n v="1.9"/>
    <n v="91"/>
    <x v="1"/>
  </r>
  <r>
    <n v="861"/>
    <s v="Sandra Leon"/>
    <s v="Female"/>
    <n v="85.510416666666671"/>
    <n v="10"/>
    <n v="77.598759048603924"/>
    <n v="1"/>
    <x v="2"/>
    <n v="80"/>
    <n v="2.6"/>
    <n v="76"/>
    <x v="0"/>
  </r>
  <r>
    <n v="862"/>
    <s v="Tyler Mccormick"/>
    <s v="Male"/>
    <n v="95"/>
    <n v="30"/>
    <n v="90"/>
    <n v="3"/>
    <x v="2"/>
    <n v="80"/>
    <n v="4.5"/>
    <n v="92"/>
    <x v="1"/>
  </r>
  <r>
    <n v="863"/>
    <s v="Megan Murphy"/>
    <s v="Female"/>
    <n v="82"/>
    <n v="30"/>
    <n v="65"/>
    <n v="1"/>
    <x v="2"/>
    <n v="80"/>
    <n v="0.3"/>
    <n v="81"/>
    <x v="1"/>
  </r>
  <r>
    <n v="864"/>
    <s v="Charles Vincent"/>
    <s v="Male"/>
    <n v="78"/>
    <n v="17.630526315789474"/>
    <n v="65"/>
    <n v="2"/>
    <x v="0"/>
    <n v="88"/>
    <n v="2.7"/>
    <n v="100"/>
    <x v="1"/>
  </r>
  <r>
    <n v="865"/>
    <s v="Mrs. Cindy Sharp DVM"/>
    <s v="Male"/>
    <n v="70"/>
    <n v="17"/>
    <n v="82"/>
    <n v="1"/>
    <x v="2"/>
    <n v="92"/>
    <n v="1.2"/>
    <n v="61"/>
    <x v="1"/>
  </r>
  <r>
    <n v="866"/>
    <m/>
    <s v="Female"/>
    <n v="91"/>
    <n v="17"/>
    <n v="90"/>
    <n v="2"/>
    <x v="1"/>
    <n v="87"/>
    <n v="4.8"/>
    <n v="73"/>
    <x v="0"/>
  </r>
  <r>
    <n v="867"/>
    <s v="Sarah Dixon"/>
    <s v="Male"/>
    <n v="85"/>
    <n v="17"/>
    <n v="60"/>
    <n v="2"/>
    <x v="2"/>
    <n v="62"/>
    <n v="3.8"/>
    <m/>
    <x v="0"/>
  </r>
  <r>
    <n v="868"/>
    <s v="Teresa Rodriguez"/>
    <s v="Female"/>
    <n v="70"/>
    <n v="20"/>
    <n v="82"/>
    <n v="3"/>
    <x v="2"/>
    <n v="68"/>
    <n v="2.8"/>
    <n v="61"/>
    <x v="0"/>
  </r>
  <r>
    <n v="869"/>
    <s v="Shannon Spencer"/>
    <s v="Female"/>
    <n v="88"/>
    <n v="17"/>
    <n v="82"/>
    <n v="0"/>
    <x v="2"/>
    <n v="88"/>
    <n v="2.4"/>
    <n v="71"/>
    <x v="1"/>
  </r>
  <r>
    <n v="870"/>
    <s v="Darlene Tapia"/>
    <s v="Male"/>
    <n v="78"/>
    <n v="25"/>
    <n v="78"/>
    <n v="1"/>
    <x v="2"/>
    <n v="90"/>
    <n v="2.5"/>
    <n v="76"/>
    <x v="0"/>
  </r>
  <r>
    <n v="871"/>
    <s v="Ryan Ball"/>
    <s v="Female"/>
    <n v="85"/>
    <n v="18"/>
    <n v="86"/>
    <n v="2"/>
    <x v="1"/>
    <n v="80"/>
    <n v="5"/>
    <n v="57"/>
    <x v="0"/>
  </r>
  <r>
    <n v="872"/>
    <s v="Anita Berger"/>
    <s v="Male"/>
    <n v="70"/>
    <n v="18"/>
    <n v="88"/>
    <n v="2"/>
    <x v="2"/>
    <n v="78"/>
    <n v="3.2"/>
    <n v="73"/>
    <x v="1"/>
  </r>
  <r>
    <n v="873"/>
    <s v="Tom Bradley"/>
    <s v="Unknown"/>
    <n v="92"/>
    <n v="25"/>
    <n v="77"/>
    <n v="1"/>
    <x v="1"/>
    <n v="80"/>
    <n v="3.5"/>
    <n v="91"/>
    <x v="1"/>
  </r>
  <r>
    <n v="874"/>
    <s v="Melinda Cummings"/>
    <s v="Female"/>
    <n v="78"/>
    <n v="18"/>
    <n v="90"/>
    <n v="3"/>
    <x v="2"/>
    <n v="68"/>
    <n v="0.1"/>
    <n v="99"/>
    <x v="1"/>
  </r>
  <r>
    <n v="875"/>
    <s v="Melissa Donaldson"/>
    <s v="Female"/>
    <n v="91"/>
    <n v="20"/>
    <n v="70"/>
    <n v="3"/>
    <x v="1"/>
    <n v="68"/>
    <n v="4.0999999999999996"/>
    <n v="66"/>
    <x v="0"/>
  </r>
  <r>
    <n v="876"/>
    <s v="Charles Pearson"/>
    <s v="Female"/>
    <n v="91"/>
    <n v="18"/>
    <n v="60"/>
    <n v="2"/>
    <x v="0"/>
    <m/>
    <n v="3.9"/>
    <n v="72"/>
    <x v="1"/>
  </r>
  <r>
    <n v="877"/>
    <s v="Isaiah Moore"/>
    <s v="Unknown"/>
    <n v="70"/>
    <n v="18"/>
    <n v="78"/>
    <n v="0"/>
    <x v="1"/>
    <n v="80"/>
    <n v="0.5"/>
    <n v="99"/>
    <x v="0"/>
  </r>
  <r>
    <n v="878"/>
    <s v="Jonathan Ramirez"/>
    <s v="Unknown"/>
    <n v="88"/>
    <n v="8"/>
    <n v="65"/>
    <n v="0"/>
    <x v="1"/>
    <n v="68"/>
    <n v="3.5"/>
    <n v="62"/>
    <x v="0"/>
  </r>
  <r>
    <n v="879"/>
    <s v="Mrs. Melanie Mueller"/>
    <s v="Male"/>
    <n v="85"/>
    <n v="22"/>
    <n v="90"/>
    <n v="0"/>
    <x v="0"/>
    <n v="80"/>
    <n v="3.7"/>
    <n v="98"/>
    <x v="1"/>
  </r>
  <r>
    <n v="880"/>
    <s v="Ms. Heather Dean"/>
    <s v="Female"/>
    <n v="85"/>
    <n v="22"/>
    <n v="85"/>
    <n v="0"/>
    <x v="0"/>
    <n v="85"/>
    <n v="0.4"/>
    <n v="57"/>
    <x v="0"/>
  </r>
  <r>
    <n v="881"/>
    <s v="David Malone"/>
    <s v="Female"/>
    <n v="85"/>
    <n v="22"/>
    <n v="90"/>
    <n v="1"/>
    <x v="1"/>
    <n v="87"/>
    <n v="0"/>
    <n v="67"/>
    <x v="1"/>
  </r>
  <r>
    <n v="882"/>
    <s v="Melissa Brown"/>
    <s v="Male"/>
    <n v="92"/>
    <n v="12"/>
    <n v="78"/>
    <n v="0"/>
    <x v="2"/>
    <n v="72"/>
    <n v="4.9000000000000004"/>
    <n v="98"/>
    <x v="0"/>
  </r>
  <r>
    <n v="883"/>
    <s v="Jason Woods"/>
    <s v="Female"/>
    <n v="95"/>
    <n v="22"/>
    <n v="60"/>
    <n v="1"/>
    <x v="1"/>
    <n v="90"/>
    <n v="5"/>
    <n v="65"/>
    <x v="0"/>
  </r>
  <r>
    <n v="884"/>
    <s v="Rachel Diaz"/>
    <s v="Female"/>
    <n v="91"/>
    <n v="15"/>
    <n v="88"/>
    <n v="1"/>
    <x v="0"/>
    <n v="80"/>
    <n v="2.2999999999999998"/>
    <n v="94"/>
    <x v="0"/>
  </r>
  <r>
    <n v="885"/>
    <s v="Michael Jones"/>
    <s v="Male"/>
    <n v="91"/>
    <n v="20"/>
    <n v="70"/>
    <n v="2"/>
    <x v="2"/>
    <n v="92"/>
    <n v="1.8"/>
    <n v="89"/>
    <x v="0"/>
  </r>
  <r>
    <n v="886"/>
    <s v="Taylor Mcgee"/>
    <s v="Female"/>
    <n v="92"/>
    <n v="15"/>
    <n v="88"/>
    <n v="1"/>
    <x v="2"/>
    <n v="90"/>
    <n v="4.4000000000000004"/>
    <n v="97"/>
    <x v="0"/>
  </r>
  <r>
    <n v="887"/>
    <s v="Christopher Ray"/>
    <s v="Male"/>
    <n v="91"/>
    <n v="17"/>
    <n v="60"/>
    <n v="3"/>
    <x v="0"/>
    <n v="90"/>
    <n v="2.1"/>
    <n v="80"/>
    <x v="1"/>
  </r>
  <r>
    <n v="888"/>
    <s v="Alyssa Berg MD"/>
    <s v="Female"/>
    <n v="91"/>
    <n v="25"/>
    <n v="65"/>
    <n v="1"/>
    <x v="2"/>
    <m/>
    <n v="0.2"/>
    <n v="81"/>
    <x v="1"/>
  </r>
  <r>
    <n v="889"/>
    <s v="Jordan Thornton"/>
    <s v="Female"/>
    <n v="78"/>
    <n v="17"/>
    <n v="85"/>
    <n v="1"/>
    <x v="2"/>
    <n v="72"/>
    <n v="1.2"/>
    <n v="63"/>
    <x v="1"/>
  </r>
  <r>
    <n v="890"/>
    <s v="Dr. James Henry DDS"/>
    <s v="Male"/>
    <n v="70"/>
    <n v="15"/>
    <n v="65"/>
    <n v="1"/>
    <x v="1"/>
    <n v="85"/>
    <n v="1.1000000000000001"/>
    <n v="66"/>
    <x v="0"/>
  </r>
  <r>
    <n v="891"/>
    <s v="James Stevens"/>
    <s v="Male"/>
    <n v="82"/>
    <n v="17"/>
    <n v="85"/>
    <n v="1"/>
    <x v="0"/>
    <n v="88"/>
    <n v="3.8"/>
    <n v="88"/>
    <x v="1"/>
  </r>
  <r>
    <n v="892"/>
    <s v="Kevin Marquez"/>
    <s v="Female"/>
    <n v="70"/>
    <n v="12"/>
    <n v="60"/>
    <n v="3"/>
    <x v="0"/>
    <n v="85"/>
    <n v="0.6"/>
    <n v="55"/>
    <x v="1"/>
  </r>
  <r>
    <n v="893"/>
    <s v="Colleen Porter"/>
    <s v="Female"/>
    <n v="91"/>
    <n v="25"/>
    <n v="85"/>
    <n v="3"/>
    <x v="1"/>
    <n v="68"/>
    <n v="4.3"/>
    <n v="74"/>
    <x v="1"/>
  </r>
  <r>
    <n v="894"/>
    <s v="Christian Odom"/>
    <s v="Male"/>
    <n v="91"/>
    <n v="12"/>
    <n v="90"/>
    <n v="0"/>
    <x v="1"/>
    <n v="90"/>
    <n v="3.9"/>
    <n v="93"/>
    <x v="1"/>
  </r>
  <r>
    <n v="895"/>
    <s v="Calvin Macias"/>
    <s v="Male"/>
    <n v="90"/>
    <n v="8"/>
    <n v="78"/>
    <n v="2"/>
    <x v="1"/>
    <n v="90"/>
    <n v="0.7"/>
    <n v="68"/>
    <x v="1"/>
  </r>
  <r>
    <n v="896"/>
    <s v="Kim Fischer"/>
    <s v="Female"/>
    <n v="78"/>
    <n v="22"/>
    <n v="82"/>
    <n v="0"/>
    <x v="2"/>
    <n v="80"/>
    <n v="3"/>
    <n v="69"/>
    <x v="1"/>
  </r>
  <r>
    <n v="897"/>
    <s v="Travis Schultz"/>
    <s v="Female"/>
    <n v="92"/>
    <n v="17"/>
    <n v="82"/>
    <n v="0"/>
    <x v="0"/>
    <n v="90"/>
    <n v="0.8"/>
    <n v="95"/>
    <x v="1"/>
  </r>
  <r>
    <n v="898"/>
    <s v="Bonnie Morris"/>
    <s v="Male"/>
    <n v="78"/>
    <n v="17"/>
    <n v="60"/>
    <n v="2"/>
    <x v="2"/>
    <n v="68"/>
    <n v="5"/>
    <n v="85"/>
    <x v="0"/>
  </r>
  <r>
    <n v="899"/>
    <s v="Tiffany Morris"/>
    <s v="Female"/>
    <n v="85"/>
    <n v="30"/>
    <n v="60"/>
    <n v="0"/>
    <x v="0"/>
    <n v="72"/>
    <n v="3.6"/>
    <n v="68"/>
    <x v="2"/>
  </r>
  <r>
    <n v="900"/>
    <s v="Paul Poole"/>
    <s v="Female"/>
    <n v="90"/>
    <n v="10"/>
    <n v="88"/>
    <n v="3"/>
    <x v="0"/>
    <n v="85"/>
    <n v="2.2999999999999998"/>
    <n v="60"/>
    <x v="1"/>
  </r>
  <r>
    <n v="901"/>
    <s v="Richard Perez"/>
    <s v="Female"/>
    <n v="85.510416666666671"/>
    <n v="10"/>
    <n v="90"/>
    <n v="3"/>
    <x v="2"/>
    <n v="92"/>
    <n v="3.7"/>
    <n v="50"/>
    <x v="0"/>
  </r>
  <r>
    <n v="902"/>
    <s v="Bernard Whitaker"/>
    <s v="Male"/>
    <n v="70"/>
    <n v="8"/>
    <n v="65"/>
    <n v="1"/>
    <x v="0"/>
    <n v="90"/>
    <n v="4.9000000000000004"/>
    <n v="61"/>
    <x v="1"/>
  </r>
  <r>
    <n v="903"/>
    <s v="Melinda Miller"/>
    <s v="Female"/>
    <n v="91"/>
    <n v="8"/>
    <n v="65"/>
    <n v="0"/>
    <x v="0"/>
    <n v="80"/>
    <n v="0.6"/>
    <n v="75"/>
    <x v="0"/>
  </r>
  <r>
    <n v="904"/>
    <s v="Christina Gonzales"/>
    <s v="Male"/>
    <n v="70"/>
    <n v="20"/>
    <n v="77"/>
    <n v="0"/>
    <x v="1"/>
    <n v="78"/>
    <n v="1.8"/>
    <n v="57"/>
    <x v="1"/>
  </r>
  <r>
    <n v="905"/>
    <s v="Maria Gray"/>
    <s v="Male"/>
    <n v="85"/>
    <n v="12"/>
    <n v="90"/>
    <n v="1"/>
    <x v="2"/>
    <n v="88"/>
    <n v="4.9000000000000004"/>
    <m/>
    <x v="0"/>
  </r>
  <r>
    <n v="906"/>
    <s v="Mary Bennett"/>
    <s v="Male"/>
    <n v="70"/>
    <n v="17"/>
    <n v="60"/>
    <n v="2"/>
    <x v="2"/>
    <n v="68"/>
    <n v="0.5"/>
    <n v="54"/>
    <x v="1"/>
  </r>
  <r>
    <n v="907"/>
    <s v="Dr. Erik Pineda"/>
    <s v="Male"/>
    <n v="70"/>
    <n v="12"/>
    <n v="70"/>
    <n v="2"/>
    <x v="1"/>
    <n v="87"/>
    <n v="2.6"/>
    <n v="87"/>
    <x v="1"/>
  </r>
  <r>
    <n v="908"/>
    <s v="Sandra Burns"/>
    <s v="Male"/>
    <n v="78"/>
    <n v="22"/>
    <n v="65"/>
    <n v="1"/>
    <x v="2"/>
    <n v="78"/>
    <n v="4"/>
    <n v="57"/>
    <x v="1"/>
  </r>
  <r>
    <n v="909"/>
    <s v="Patricia Hunt"/>
    <s v="Male"/>
    <n v="78"/>
    <n v="20"/>
    <n v="70"/>
    <n v="2"/>
    <x v="0"/>
    <n v="87"/>
    <n v="4.9000000000000004"/>
    <m/>
    <x v="0"/>
  </r>
  <r>
    <n v="910"/>
    <s v="Erika Kennedy"/>
    <s v="Male"/>
    <n v="70"/>
    <n v="15"/>
    <n v="90"/>
    <n v="2"/>
    <x v="0"/>
    <n v="72"/>
    <n v="4.5"/>
    <n v="68"/>
    <x v="0"/>
  </r>
  <r>
    <n v="911"/>
    <s v="Timothy Newman"/>
    <s v="Female"/>
    <n v="95"/>
    <n v="12"/>
    <n v="88"/>
    <n v="3"/>
    <x v="2"/>
    <n v="72"/>
    <n v="1"/>
    <n v="56"/>
    <x v="2"/>
  </r>
  <r>
    <n v="912"/>
    <s v="Tanya Bowen"/>
    <s v="Male"/>
    <n v="92"/>
    <n v="10"/>
    <n v="82"/>
    <n v="3"/>
    <x v="3"/>
    <n v="88"/>
    <n v="2.8"/>
    <n v="87"/>
    <x v="0"/>
  </r>
  <r>
    <n v="913"/>
    <s v="Rhonda Davenport"/>
    <s v="Male"/>
    <n v="91"/>
    <n v="8"/>
    <n v="85"/>
    <n v="2"/>
    <x v="1"/>
    <n v="85"/>
    <n v="1.9"/>
    <n v="60"/>
    <x v="0"/>
  </r>
  <r>
    <n v="914"/>
    <s v="Cheryl Brown"/>
    <s v="Male"/>
    <n v="88"/>
    <n v="8"/>
    <n v="65"/>
    <n v="2"/>
    <x v="0"/>
    <n v="87"/>
    <n v="3.1"/>
    <n v="67"/>
    <x v="1"/>
  </r>
  <r>
    <n v="915"/>
    <s v="Angela Bridges"/>
    <s v="Male"/>
    <n v="70"/>
    <n v="10"/>
    <n v="88"/>
    <n v="0"/>
    <x v="1"/>
    <n v="80"/>
    <n v="4.8"/>
    <n v="65"/>
    <x v="1"/>
  </r>
  <r>
    <n v="916"/>
    <s v="Brandon Rasmussen"/>
    <s v="Male"/>
    <n v="82"/>
    <n v="20"/>
    <n v="70"/>
    <n v="0"/>
    <x v="0"/>
    <n v="90"/>
    <n v="3.2"/>
    <n v="73"/>
    <x v="0"/>
  </r>
  <r>
    <n v="917"/>
    <s v="Ryan Beltran"/>
    <s v="Male"/>
    <n v="92"/>
    <n v="18"/>
    <n v="78"/>
    <n v="1"/>
    <x v="1"/>
    <n v="92"/>
    <n v="1.9"/>
    <n v="56"/>
    <x v="1"/>
  </r>
  <r>
    <n v="918"/>
    <s v="Allison Novak"/>
    <s v="Female"/>
    <n v="91"/>
    <n v="17"/>
    <n v="85"/>
    <n v="2"/>
    <x v="1"/>
    <n v="88"/>
    <n v="4.3"/>
    <n v="85"/>
    <x v="0"/>
  </r>
  <r>
    <n v="919"/>
    <s v="Matthew Winters"/>
    <s v="Male"/>
    <n v="78"/>
    <n v="30"/>
    <n v="60"/>
    <n v="0"/>
    <x v="1"/>
    <n v="72"/>
    <n v="2.8"/>
    <n v="75"/>
    <x v="0"/>
  </r>
  <r>
    <n v="920"/>
    <s v="Kirsten Davis"/>
    <s v="Female"/>
    <n v="85"/>
    <n v="12"/>
    <n v="77.598759048603924"/>
    <n v="0"/>
    <x v="0"/>
    <n v="62"/>
    <n v="2.8"/>
    <m/>
    <x v="1"/>
  </r>
  <r>
    <n v="921"/>
    <s v="Paige Turner"/>
    <s v="Male"/>
    <n v="91"/>
    <n v="8"/>
    <n v="77"/>
    <n v="0"/>
    <x v="1"/>
    <m/>
    <n v="4"/>
    <n v="82"/>
    <x v="0"/>
  </r>
  <r>
    <n v="922"/>
    <s v="Aimee Christensen"/>
    <s v="Female"/>
    <n v="85.510416666666671"/>
    <n v="25"/>
    <n v="82"/>
    <n v="2"/>
    <x v="1"/>
    <n v="62"/>
    <n v="3.9"/>
    <n v="55"/>
    <x v="1"/>
  </r>
  <r>
    <n v="923"/>
    <s v="Jessica Howard"/>
    <s v="Male"/>
    <n v="90"/>
    <n v="10"/>
    <n v="86"/>
    <n v="1"/>
    <x v="0"/>
    <n v="85"/>
    <n v="2.8"/>
    <n v="81"/>
    <x v="1"/>
  </r>
  <r>
    <n v="924"/>
    <s v="Lisa Zhang"/>
    <s v="Male"/>
    <n v="85"/>
    <n v="17"/>
    <n v="70"/>
    <n v="2"/>
    <x v="2"/>
    <n v="87"/>
    <n v="2"/>
    <n v="89"/>
    <x v="1"/>
  </r>
  <r>
    <n v="925"/>
    <s v="Jonathan Daniel"/>
    <s v="Female"/>
    <n v="85.510416666666671"/>
    <n v="30"/>
    <n v="90"/>
    <n v="2"/>
    <x v="2"/>
    <n v="88"/>
    <n v="0.2"/>
    <n v="78"/>
    <x v="1"/>
  </r>
  <r>
    <n v="926"/>
    <s v="Cheyenne Oliver"/>
    <s v="Male"/>
    <n v="78"/>
    <n v="17.630526315789474"/>
    <n v="88"/>
    <n v="0"/>
    <x v="3"/>
    <n v="90"/>
    <n v="4.8"/>
    <n v="77"/>
    <x v="0"/>
  </r>
  <r>
    <n v="927"/>
    <s v="Brianna Henderson"/>
    <s v="Male"/>
    <n v="95"/>
    <n v="20"/>
    <n v="88"/>
    <n v="3"/>
    <x v="2"/>
    <n v="87"/>
    <n v="1.5"/>
    <n v="80"/>
    <x v="0"/>
  </r>
  <r>
    <n v="928"/>
    <s v="Mark Sanchez"/>
    <s v="Male"/>
    <n v="85"/>
    <n v="22"/>
    <n v="60"/>
    <n v="3"/>
    <x v="1"/>
    <n v="72"/>
    <n v="4.0999999999999996"/>
    <n v="52"/>
    <x v="0"/>
  </r>
  <r>
    <n v="929"/>
    <s v="Melissa Nguyen"/>
    <s v="Male"/>
    <n v="95"/>
    <n v="15"/>
    <n v="86"/>
    <n v="1"/>
    <x v="1"/>
    <n v="85"/>
    <n v="1.8"/>
    <n v="50"/>
    <x v="0"/>
  </r>
  <r>
    <n v="930"/>
    <s v="Jeff Carney"/>
    <s v="Unknown"/>
    <n v="95"/>
    <n v="15"/>
    <n v="85"/>
    <n v="0"/>
    <x v="1"/>
    <n v="92"/>
    <n v="0.4"/>
    <n v="82"/>
    <x v="1"/>
  </r>
  <r>
    <n v="931"/>
    <s v="Tammy Tanner"/>
    <s v="Male"/>
    <n v="85.510416666666671"/>
    <n v="15"/>
    <n v="65"/>
    <n v="2"/>
    <x v="3"/>
    <n v="78"/>
    <n v="2"/>
    <n v="69"/>
    <x v="0"/>
  </r>
  <r>
    <n v="932"/>
    <s v="Donna Robinson"/>
    <s v="Male"/>
    <n v="85.510416666666671"/>
    <n v="18"/>
    <n v="85"/>
    <n v="1"/>
    <x v="2"/>
    <n v="78"/>
    <n v="0.8"/>
    <n v="72"/>
    <x v="0"/>
  </r>
  <r>
    <n v="933"/>
    <s v="Eric Wilson"/>
    <s v="Female"/>
    <n v="92"/>
    <n v="20"/>
    <n v="90"/>
    <n v="2"/>
    <x v="0"/>
    <n v="68"/>
    <n v="2"/>
    <n v="97"/>
    <x v="0"/>
  </r>
  <r>
    <n v="934"/>
    <s v="Linda Armstrong"/>
    <s v="Male"/>
    <n v="92"/>
    <n v="17"/>
    <n v="82"/>
    <n v="2"/>
    <x v="1"/>
    <n v="78"/>
    <n v="2.8"/>
    <n v="93"/>
    <x v="1"/>
  </r>
  <r>
    <n v="935"/>
    <s v="Russell Jones"/>
    <s v="Female"/>
    <n v="82"/>
    <n v="8"/>
    <n v="65"/>
    <n v="1"/>
    <x v="0"/>
    <n v="80"/>
    <n v="0.6"/>
    <n v="72"/>
    <x v="1"/>
  </r>
  <r>
    <n v="936"/>
    <s v="Darlene Burton"/>
    <s v="Unknown"/>
    <n v="95"/>
    <n v="8"/>
    <n v="86"/>
    <n v="1"/>
    <x v="1"/>
    <n v="78"/>
    <n v="1.4"/>
    <n v="81"/>
    <x v="1"/>
  </r>
  <r>
    <n v="937"/>
    <s v="Faith Johnson"/>
    <s v="Male"/>
    <n v="91"/>
    <n v="10"/>
    <n v="70"/>
    <n v="0"/>
    <x v="0"/>
    <n v="85"/>
    <n v="3.8"/>
    <n v="66"/>
    <x v="1"/>
  </r>
  <r>
    <n v="938"/>
    <s v="Nathan Miller"/>
    <s v="Male"/>
    <n v="85"/>
    <n v="20"/>
    <n v="70"/>
    <n v="3"/>
    <x v="0"/>
    <n v="92"/>
    <n v="5"/>
    <n v="87"/>
    <x v="1"/>
  </r>
  <r>
    <n v="939"/>
    <s v="Donna Fowler"/>
    <s v="Male"/>
    <n v="78"/>
    <n v="17.630526315789474"/>
    <n v="78"/>
    <n v="2"/>
    <x v="0"/>
    <n v="68"/>
    <n v="2.1"/>
    <n v="89"/>
    <x v="1"/>
  </r>
  <r>
    <n v="940"/>
    <s v="Whitney Jefferson"/>
    <s v="Male"/>
    <n v="70"/>
    <n v="8"/>
    <n v="70"/>
    <n v="2"/>
    <x v="2"/>
    <n v="92"/>
    <n v="1.1000000000000001"/>
    <n v="77"/>
    <x v="0"/>
  </r>
  <r>
    <n v="941"/>
    <s v="Shane Sanders"/>
    <s v="Female"/>
    <n v="85"/>
    <n v="18"/>
    <n v="85"/>
    <n v="2"/>
    <x v="1"/>
    <n v="85"/>
    <n v="4.7"/>
    <n v="95"/>
    <x v="0"/>
  </r>
  <r>
    <n v="942"/>
    <s v="Felicia Cline"/>
    <s v="Female"/>
    <n v="85"/>
    <n v="10"/>
    <n v="78"/>
    <n v="1"/>
    <x v="0"/>
    <n v="90"/>
    <n v="1.1000000000000001"/>
    <n v="80"/>
    <x v="0"/>
  </r>
  <r>
    <n v="943"/>
    <s v="Jennifer Clark"/>
    <s v="Female"/>
    <n v="78"/>
    <n v="18"/>
    <n v="77.598759048603924"/>
    <n v="1"/>
    <x v="1"/>
    <n v="85"/>
    <n v="0.6"/>
    <n v="92"/>
    <x v="1"/>
  </r>
  <r>
    <n v="944"/>
    <s v="Miss Carla Coleman MD"/>
    <s v="Female"/>
    <n v="95"/>
    <n v="30"/>
    <n v="86"/>
    <n v="2"/>
    <x v="2"/>
    <n v="90"/>
    <n v="1.2"/>
    <n v="67"/>
    <x v="1"/>
  </r>
  <r>
    <n v="945"/>
    <s v="William Nelson"/>
    <s v="Male"/>
    <n v="90"/>
    <n v="10"/>
    <n v="86"/>
    <n v="2"/>
    <x v="0"/>
    <n v="88"/>
    <m/>
    <n v="91"/>
    <x v="1"/>
  </r>
  <r>
    <n v="946"/>
    <s v="Crystal Brown"/>
    <s v="Female"/>
    <n v="90"/>
    <n v="20"/>
    <n v="70"/>
    <n v="3"/>
    <x v="1"/>
    <n v="85"/>
    <n v="3.6"/>
    <n v="98"/>
    <x v="1"/>
  </r>
  <r>
    <n v="947"/>
    <s v="Erica Miller"/>
    <s v="Male"/>
    <n v="85"/>
    <n v="10"/>
    <n v="90"/>
    <n v="0"/>
    <x v="2"/>
    <n v="85"/>
    <n v="4.5"/>
    <n v="98"/>
    <x v="0"/>
  </r>
  <r>
    <n v="948"/>
    <m/>
    <s v="Female"/>
    <n v="90"/>
    <n v="8"/>
    <n v="85"/>
    <n v="1"/>
    <x v="1"/>
    <n v="72"/>
    <n v="4.7"/>
    <n v="82"/>
    <x v="1"/>
  </r>
  <r>
    <n v="949"/>
    <m/>
    <s v="Female"/>
    <n v="78"/>
    <n v="18"/>
    <n v="78"/>
    <n v="3"/>
    <x v="0"/>
    <m/>
    <n v="3.7"/>
    <n v="75"/>
    <x v="0"/>
  </r>
  <r>
    <n v="950"/>
    <s v="Emily Martin"/>
    <s v="Unknown"/>
    <n v="78"/>
    <n v="17"/>
    <n v="70"/>
    <n v="1"/>
    <x v="2"/>
    <n v="62"/>
    <n v="2"/>
    <n v="67"/>
    <x v="1"/>
  </r>
  <r>
    <n v="951"/>
    <s v="Erica Miller"/>
    <s v="Male"/>
    <n v="78"/>
    <n v="22"/>
    <n v="90"/>
    <n v="3"/>
    <x v="2"/>
    <n v="80"/>
    <n v="4.4000000000000004"/>
    <n v="100"/>
    <x v="0"/>
  </r>
  <r>
    <n v="952"/>
    <s v="Wesley May"/>
    <s v="Female"/>
    <n v="88"/>
    <n v="25"/>
    <n v="82"/>
    <n v="2"/>
    <x v="2"/>
    <n v="87"/>
    <n v="0.9"/>
    <n v="52"/>
    <x v="1"/>
  </r>
  <r>
    <n v="953"/>
    <s v="Christopher Atkinson"/>
    <s v="Male"/>
    <n v="78"/>
    <n v="18"/>
    <n v="65"/>
    <n v="2"/>
    <x v="0"/>
    <n v="92"/>
    <n v="4.9000000000000004"/>
    <n v="63"/>
    <x v="1"/>
  </r>
  <r>
    <n v="954"/>
    <s v="Blake Martinez"/>
    <s v="Female"/>
    <n v="91"/>
    <n v="30"/>
    <n v="88"/>
    <n v="2"/>
    <x v="2"/>
    <n v="72"/>
    <n v="1.3"/>
    <n v="58"/>
    <x v="0"/>
  </r>
  <r>
    <n v="955"/>
    <s v="Joy Henderson"/>
    <s v="Unknown"/>
    <n v="85"/>
    <n v="17.630526315789474"/>
    <n v="88"/>
    <n v="3"/>
    <x v="2"/>
    <n v="85"/>
    <n v="0.9"/>
    <n v="51"/>
    <x v="1"/>
  </r>
  <r>
    <n v="956"/>
    <s v="Mary Ramos"/>
    <s v="Female"/>
    <n v="91"/>
    <n v="12"/>
    <n v="90"/>
    <n v="1"/>
    <x v="0"/>
    <n v="90"/>
    <n v="1.3"/>
    <n v="87"/>
    <x v="0"/>
  </r>
  <r>
    <n v="957"/>
    <s v="Colleen Sanchez"/>
    <s v="Female"/>
    <n v="92"/>
    <n v="8"/>
    <n v="88"/>
    <n v="0"/>
    <x v="1"/>
    <n v="87"/>
    <n v="2.5"/>
    <n v="79"/>
    <x v="1"/>
  </r>
  <r>
    <n v="958"/>
    <s v="David Cruz"/>
    <s v="Male"/>
    <n v="91"/>
    <n v="17"/>
    <n v="65"/>
    <n v="1"/>
    <x v="0"/>
    <n v="85"/>
    <n v="0.8"/>
    <n v="61"/>
    <x v="0"/>
  </r>
  <r>
    <n v="959"/>
    <s v="Ralph Becker"/>
    <s v="Male"/>
    <n v="78"/>
    <n v="20"/>
    <n v="60"/>
    <n v="3"/>
    <x v="1"/>
    <n v="62"/>
    <n v="0.5"/>
    <n v="83"/>
    <x v="1"/>
  </r>
  <r>
    <n v="960"/>
    <s v="Denise Coleman"/>
    <s v="Male"/>
    <n v="70"/>
    <n v="8"/>
    <n v="78"/>
    <n v="2"/>
    <x v="0"/>
    <n v="80"/>
    <n v="0.7"/>
    <n v="99"/>
    <x v="1"/>
  </r>
  <r>
    <n v="961"/>
    <m/>
    <s v="Male"/>
    <n v="91"/>
    <n v="15"/>
    <n v="78"/>
    <n v="2"/>
    <x v="2"/>
    <n v="90"/>
    <n v="4.3"/>
    <n v="55"/>
    <x v="1"/>
  </r>
  <r>
    <n v="962"/>
    <s v="Samantha Mendoza"/>
    <s v="Female"/>
    <n v="91"/>
    <n v="17.630526315789474"/>
    <n v="65"/>
    <n v="2"/>
    <x v="1"/>
    <n v="78"/>
    <n v="0.8"/>
    <n v="53"/>
    <x v="0"/>
  </r>
  <r>
    <n v="963"/>
    <s v="Sean Lyons"/>
    <s v="Male"/>
    <n v="85.510416666666671"/>
    <n v="15"/>
    <n v="85"/>
    <n v="2"/>
    <x v="1"/>
    <m/>
    <n v="2.6"/>
    <n v="76"/>
    <x v="1"/>
  </r>
  <r>
    <n v="964"/>
    <s v="Anthony Smith"/>
    <s v="Male"/>
    <n v="85"/>
    <n v="25"/>
    <n v="60"/>
    <n v="0"/>
    <x v="0"/>
    <n v="90"/>
    <n v="3.3"/>
    <n v="64"/>
    <x v="0"/>
  </r>
  <r>
    <n v="965"/>
    <s v="Deborah Hernandez"/>
    <s v="Female"/>
    <n v="78"/>
    <n v="20"/>
    <n v="90"/>
    <n v="2"/>
    <x v="1"/>
    <n v="90"/>
    <n v="0.4"/>
    <n v="71"/>
    <x v="1"/>
  </r>
  <r>
    <n v="966"/>
    <s v="Kristi Price"/>
    <s v="Male"/>
    <n v="85"/>
    <n v="22"/>
    <n v="65"/>
    <n v="0"/>
    <x v="1"/>
    <n v="72"/>
    <n v="1.7"/>
    <n v="61"/>
    <x v="0"/>
  </r>
  <r>
    <n v="967"/>
    <s v="Alex Douglas"/>
    <s v="Female"/>
    <n v="91"/>
    <n v="18"/>
    <n v="88"/>
    <n v="2"/>
    <x v="1"/>
    <n v="78"/>
    <n v="3.3"/>
    <n v="66"/>
    <x v="1"/>
  </r>
  <r>
    <n v="968"/>
    <s v="Ian Mcdonald"/>
    <s v="Male"/>
    <n v="78"/>
    <n v="30"/>
    <n v="65"/>
    <n v="0"/>
    <x v="1"/>
    <n v="78"/>
    <n v="4.0999999999999996"/>
    <n v="57"/>
    <x v="0"/>
  </r>
  <r>
    <n v="969"/>
    <s v="David Bauer"/>
    <s v="Male"/>
    <n v="90"/>
    <n v="30"/>
    <n v="65"/>
    <n v="0"/>
    <x v="1"/>
    <n v="90"/>
    <n v="1.6"/>
    <n v="77"/>
    <x v="0"/>
  </r>
  <r>
    <n v="970"/>
    <s v="Steven Hill"/>
    <s v="Female"/>
    <n v="78"/>
    <n v="25"/>
    <n v="60"/>
    <n v="0"/>
    <x v="2"/>
    <n v="78"/>
    <m/>
    <n v="81"/>
    <x v="1"/>
  </r>
  <r>
    <n v="971"/>
    <s v="Linda Beasley"/>
    <s v="Male"/>
    <n v="91"/>
    <n v="8"/>
    <n v="70"/>
    <n v="3"/>
    <x v="2"/>
    <n v="92"/>
    <n v="3.5"/>
    <n v="65"/>
    <x v="0"/>
  </r>
  <r>
    <n v="972"/>
    <s v="Maria Edwards"/>
    <s v="Male"/>
    <n v="85"/>
    <n v="17.630526315789474"/>
    <n v="70"/>
    <n v="1"/>
    <x v="0"/>
    <n v="87"/>
    <n v="0.3"/>
    <n v="72"/>
    <x v="0"/>
  </r>
  <r>
    <n v="973"/>
    <s v="Megan Hutchinson"/>
    <s v="Female"/>
    <n v="85"/>
    <n v="10"/>
    <n v="70"/>
    <n v="0"/>
    <x v="0"/>
    <n v="92"/>
    <n v="4.0999999999999996"/>
    <n v="53"/>
    <x v="1"/>
  </r>
  <r>
    <n v="974"/>
    <s v="Jaime Simon"/>
    <s v="Unknown"/>
    <n v="70"/>
    <n v="15"/>
    <n v="60"/>
    <n v="1"/>
    <x v="0"/>
    <n v="87"/>
    <n v="3.3"/>
    <n v="54"/>
    <x v="2"/>
  </r>
  <r>
    <n v="975"/>
    <s v="Thomas Freeman"/>
    <s v="Male"/>
    <n v="78"/>
    <n v="30"/>
    <n v="65"/>
    <n v="2"/>
    <x v="0"/>
    <n v="87"/>
    <n v="0.1"/>
    <n v="76"/>
    <x v="1"/>
  </r>
  <r>
    <n v="976"/>
    <s v="Nancy Gibson"/>
    <s v="Female"/>
    <n v="78"/>
    <n v="12"/>
    <n v="82"/>
    <n v="1"/>
    <x v="1"/>
    <n v="90"/>
    <n v="2.2000000000000002"/>
    <n v="91"/>
    <x v="1"/>
  </r>
  <r>
    <n v="977"/>
    <s v="Holly Leon"/>
    <s v="Male"/>
    <n v="78"/>
    <n v="15"/>
    <n v="78"/>
    <n v="3"/>
    <x v="0"/>
    <n v="72"/>
    <m/>
    <m/>
    <x v="0"/>
  </r>
  <r>
    <n v="978"/>
    <s v="Travis Pierce"/>
    <s v="Female"/>
    <n v="91"/>
    <n v="12"/>
    <n v="82"/>
    <n v="3"/>
    <x v="1"/>
    <n v="68"/>
    <n v="1.4"/>
    <n v="55"/>
    <x v="0"/>
  </r>
  <r>
    <n v="979"/>
    <s v="Nina Fowler"/>
    <s v="Male"/>
    <n v="70"/>
    <n v="22"/>
    <n v="78"/>
    <n v="3"/>
    <x v="1"/>
    <n v="68"/>
    <n v="4.0999999999999996"/>
    <n v="85"/>
    <x v="1"/>
  </r>
  <r>
    <n v="980"/>
    <s v="Kristen Galloway"/>
    <s v="Female"/>
    <n v="95"/>
    <n v="8"/>
    <n v="60"/>
    <n v="0"/>
    <x v="0"/>
    <n v="90"/>
    <n v="3.2"/>
    <n v="62"/>
    <x v="0"/>
  </r>
  <r>
    <n v="981"/>
    <s v="Raven Taylor"/>
    <s v="Male"/>
    <n v="90"/>
    <n v="30"/>
    <n v="86"/>
    <n v="1"/>
    <x v="0"/>
    <n v="92"/>
    <n v="1.4"/>
    <n v="84"/>
    <x v="1"/>
  </r>
  <r>
    <n v="982"/>
    <s v="Samuel Robinson"/>
    <s v="Male"/>
    <n v="91"/>
    <n v="15"/>
    <n v="82"/>
    <n v="3"/>
    <x v="2"/>
    <n v="92"/>
    <n v="3.2"/>
    <n v="52"/>
    <x v="2"/>
  </r>
  <r>
    <n v="983"/>
    <s v="Christina Johnson"/>
    <s v="Male"/>
    <n v="91"/>
    <n v="22"/>
    <n v="78"/>
    <n v="3"/>
    <x v="3"/>
    <n v="80"/>
    <n v="0.2"/>
    <n v="55"/>
    <x v="0"/>
  </r>
  <r>
    <n v="984"/>
    <s v="Holly Spencer"/>
    <s v="Female"/>
    <n v="88"/>
    <n v="8"/>
    <n v="70"/>
    <n v="3"/>
    <x v="1"/>
    <n v="62"/>
    <n v="3.6"/>
    <n v="58"/>
    <x v="1"/>
  </r>
  <r>
    <n v="985"/>
    <s v="Jessica Davies"/>
    <s v="Female"/>
    <n v="82"/>
    <n v="20"/>
    <n v="70"/>
    <n v="0"/>
    <x v="0"/>
    <n v="88"/>
    <n v="4"/>
    <m/>
    <x v="1"/>
  </r>
  <r>
    <n v="986"/>
    <s v="Daniel Sullivan"/>
    <s v="Male"/>
    <n v="78"/>
    <n v="17"/>
    <n v="85"/>
    <n v="2"/>
    <x v="2"/>
    <n v="92"/>
    <n v="4.4000000000000004"/>
    <n v="93"/>
    <x v="1"/>
  </r>
  <r>
    <n v="987"/>
    <s v="Richard Franklin"/>
    <s v="Female"/>
    <n v="85"/>
    <n v="10"/>
    <n v="88"/>
    <n v="2"/>
    <x v="1"/>
    <n v="88"/>
    <n v="4.3"/>
    <n v="77"/>
    <x v="1"/>
  </r>
  <r>
    <n v="988"/>
    <s v="Samantha Klein"/>
    <s v="Male"/>
    <n v="92"/>
    <n v="22"/>
    <n v="86"/>
    <n v="2"/>
    <x v="0"/>
    <n v="88"/>
    <n v="3.1"/>
    <n v="81"/>
    <x v="1"/>
  </r>
  <r>
    <n v="989"/>
    <s v="Becky Perkins"/>
    <s v="Male"/>
    <n v="88"/>
    <n v="12"/>
    <n v="85"/>
    <n v="1"/>
    <x v="0"/>
    <n v="78"/>
    <n v="1.6"/>
    <n v="68"/>
    <x v="2"/>
  </r>
  <r>
    <n v="990"/>
    <s v="Kimberly Pena"/>
    <s v="Female"/>
    <n v="91"/>
    <n v="30"/>
    <n v="88"/>
    <n v="2"/>
    <x v="0"/>
    <n v="68"/>
    <n v="3.6"/>
    <n v="79"/>
    <x v="0"/>
  </r>
  <r>
    <n v="991"/>
    <s v="Rebecca Burnett"/>
    <s v="Unknown"/>
    <n v="85"/>
    <n v="10"/>
    <n v="85"/>
    <n v="3"/>
    <x v="1"/>
    <n v="80"/>
    <n v="1.8"/>
    <n v="68"/>
    <x v="0"/>
  </r>
  <r>
    <n v="992"/>
    <s v="Anna Martinez"/>
    <s v="Male"/>
    <n v="85"/>
    <n v="30"/>
    <n v="70"/>
    <n v="3"/>
    <x v="1"/>
    <n v="90"/>
    <n v="0.4"/>
    <n v="76"/>
    <x v="0"/>
  </r>
  <r>
    <n v="993"/>
    <s v="James Garcia"/>
    <s v="Male"/>
    <n v="91"/>
    <n v="15"/>
    <n v="90"/>
    <n v="2"/>
    <x v="0"/>
    <n v="68"/>
    <n v="4.3"/>
    <n v="68"/>
    <x v="0"/>
  </r>
  <r>
    <n v="994"/>
    <s v="Monica Johnson"/>
    <s v="Female"/>
    <n v="90"/>
    <n v="25"/>
    <n v="60"/>
    <n v="1"/>
    <x v="2"/>
    <n v="87"/>
    <n v="1.7"/>
    <n v="79"/>
    <x v="0"/>
  </r>
  <r>
    <n v="995"/>
    <s v="Shannon Porter"/>
    <s v="Male"/>
    <n v="78"/>
    <n v="20"/>
    <n v="60"/>
    <n v="0"/>
    <x v="0"/>
    <n v="62"/>
    <n v="1.6"/>
    <n v="70"/>
    <x v="0"/>
  </r>
  <r>
    <n v="996"/>
    <s v="Kenneth Murray"/>
    <s v="Male"/>
    <n v="85"/>
    <n v="20"/>
    <n v="77.598759048603924"/>
    <n v="1"/>
    <x v="0"/>
    <n v="72"/>
    <n v="0.8"/>
    <n v="80"/>
    <x v="1"/>
  </r>
  <r>
    <n v="997"/>
    <s v="Amy Stout"/>
    <s v="Female"/>
    <n v="91"/>
    <n v="17.630526315789474"/>
    <n v="86"/>
    <n v="0"/>
    <x v="0"/>
    <n v="90"/>
    <n v="3.9"/>
    <n v="80"/>
    <x v="1"/>
  </r>
  <r>
    <n v="998"/>
    <m/>
    <s v="Male"/>
    <n v="85"/>
    <n v="8"/>
    <n v="82"/>
    <n v="2"/>
    <x v="2"/>
    <n v="68"/>
    <n v="0.4"/>
    <n v="54"/>
    <x v="0"/>
  </r>
  <r>
    <n v="999"/>
    <s v="Joseph Sherman"/>
    <s v="Male"/>
    <n v="88"/>
    <n v="17"/>
    <n v="60"/>
    <n v="2"/>
    <x v="0"/>
    <n v="85"/>
    <n v="0.9"/>
    <n v="53"/>
    <x v="1"/>
  </r>
  <r>
    <n v="1000"/>
    <s v="Maria Walls"/>
    <s v="Female"/>
    <n v="88"/>
    <n v="10"/>
    <n v="90"/>
    <n v="1"/>
    <x v="1"/>
    <m/>
    <n v="2.4"/>
    <n v="94"/>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80"/>
    <s v="B1"/>
    <x v="0"/>
    <s v="B1"/>
    <n v="85"/>
    <x v="0"/>
    <x v="0"/>
    <x v="0"/>
  </r>
  <r>
    <n v="87"/>
    <s v="A2"/>
    <x v="1"/>
    <s v="A2"/>
    <n v="90"/>
    <x v="0"/>
    <x v="0"/>
    <x v="1"/>
  </r>
  <r>
    <n v="68"/>
    <s v="B2"/>
    <x v="2"/>
    <s v="B2"/>
    <n v="78"/>
    <x v="1"/>
    <x v="1"/>
    <x v="0"/>
  </r>
  <r>
    <n v="92"/>
    <s v="A1"/>
    <x v="3"/>
    <s v="A2"/>
    <n v="92"/>
    <x v="2"/>
    <x v="0"/>
    <x v="0"/>
  </r>
  <r>
    <n v="85"/>
    <s v="A2"/>
    <x v="4"/>
    <s v="A2"/>
    <n v="85.510416666666671"/>
    <x v="0"/>
    <x v="0"/>
    <x v="1"/>
  </r>
  <r>
    <n v="80.030208333333334"/>
    <s v="A2"/>
    <x v="5"/>
    <s v="A2"/>
    <n v="95"/>
    <x v="0"/>
    <x v="0"/>
    <x v="1"/>
  </r>
  <r>
    <n v="62"/>
    <s v="B2"/>
    <x v="6"/>
    <s v="C1"/>
    <n v="70"/>
    <x v="1"/>
    <x v="2"/>
    <x v="0"/>
  </r>
  <r>
    <n v="78"/>
    <s v="B1"/>
    <x v="7"/>
    <s v="B1"/>
    <n v="85.510416666666671"/>
    <x v="0"/>
    <x v="0"/>
    <x v="1"/>
  </r>
  <r>
    <n v="72"/>
    <s v="B1"/>
    <x v="8"/>
    <s v="B2"/>
    <n v="82"/>
    <x v="1"/>
    <x v="1"/>
    <x v="0"/>
  </r>
  <r>
    <n v="88"/>
    <s v="A2"/>
    <x v="9"/>
    <s v="A2"/>
    <n v="91"/>
    <x v="0"/>
    <x v="0"/>
    <x v="1"/>
  </r>
  <r>
    <n v="87"/>
    <s v="A2"/>
    <x v="3"/>
    <s v="A2"/>
    <n v="88"/>
    <x v="0"/>
    <x v="0"/>
    <x v="0"/>
  </r>
  <r>
    <n v="88"/>
    <s v="A2"/>
    <x v="10"/>
    <s v="B1"/>
    <n v="85"/>
    <x v="0"/>
    <x v="0"/>
    <x v="0"/>
  </r>
  <r>
    <n v="62"/>
    <s v="B2"/>
    <x v="0"/>
    <s v="B1"/>
    <n v="91"/>
    <x v="1"/>
    <x v="0"/>
    <x v="1"/>
  </r>
  <r>
    <n v="88"/>
    <s v="A2"/>
    <x v="1"/>
    <s v="A2"/>
    <n v="90"/>
    <x v="0"/>
    <x v="0"/>
    <x v="0"/>
  </r>
  <r>
    <n v="88"/>
    <s v="A2"/>
    <x v="8"/>
    <s v="B2"/>
    <n v="70"/>
    <x v="0"/>
    <x v="1"/>
    <x v="0"/>
  </r>
  <r>
    <n v="62"/>
    <s v="B2"/>
    <x v="1"/>
    <s v="A2"/>
    <n v="85.510416666666671"/>
    <x v="1"/>
    <x v="0"/>
    <x v="0"/>
  </r>
  <r>
    <n v="68"/>
    <s v="B2"/>
    <x v="4"/>
    <s v="A2"/>
    <n v="95"/>
    <x v="1"/>
    <x v="0"/>
    <x v="2"/>
  </r>
  <r>
    <n v="92"/>
    <s v="A1"/>
    <x v="3"/>
    <s v="A2"/>
    <n v="88"/>
    <x v="2"/>
    <x v="0"/>
    <x v="1"/>
  </r>
  <r>
    <n v="78"/>
    <s v="B1"/>
    <x v="5"/>
    <s v="A2"/>
    <n v="92"/>
    <x v="0"/>
    <x v="0"/>
    <x v="0"/>
  </r>
  <r>
    <n v="88"/>
    <s v="A2"/>
    <x v="8"/>
    <s v="B2"/>
    <n v="78"/>
    <x v="0"/>
    <x v="1"/>
    <x v="1"/>
  </r>
  <r>
    <n v="87"/>
    <s v="A2"/>
    <x v="7"/>
    <s v="B1"/>
    <n v="78"/>
    <x v="0"/>
    <x v="0"/>
    <x v="0"/>
  </r>
  <r>
    <n v="72"/>
    <s v="B1"/>
    <x v="7"/>
    <s v="B1"/>
    <n v="70"/>
    <x v="1"/>
    <x v="0"/>
    <x v="1"/>
  </r>
  <r>
    <n v="78"/>
    <s v="B1"/>
    <x v="4"/>
    <s v="A2"/>
    <n v="95"/>
    <x v="0"/>
    <x v="0"/>
    <x v="1"/>
  </r>
  <r>
    <n v="80.030208333333334"/>
    <s v="A2"/>
    <x v="4"/>
    <s v="A2"/>
    <n v="82"/>
    <x v="0"/>
    <x v="0"/>
    <x v="0"/>
  </r>
  <r>
    <n v="90"/>
    <s v="A2"/>
    <x v="7"/>
    <s v="B1"/>
    <n v="91"/>
    <x v="0"/>
    <x v="0"/>
    <x v="0"/>
  </r>
  <r>
    <n v="72"/>
    <s v="B1"/>
    <x v="10"/>
    <s v="B1"/>
    <n v="91"/>
    <x v="1"/>
    <x v="0"/>
    <x v="0"/>
  </r>
  <r>
    <n v="92"/>
    <s v="A1"/>
    <x v="6"/>
    <s v="C1"/>
    <n v="85.510416666666671"/>
    <x v="2"/>
    <x v="2"/>
    <x v="1"/>
  </r>
  <r>
    <n v="80"/>
    <s v="B1"/>
    <x v="3"/>
    <s v="A2"/>
    <n v="90"/>
    <x v="0"/>
    <x v="0"/>
    <x v="1"/>
  </r>
  <r>
    <n v="87"/>
    <s v="A2"/>
    <x v="10"/>
    <s v="B1"/>
    <n v="85"/>
    <x v="0"/>
    <x v="0"/>
    <x v="0"/>
  </r>
  <r>
    <n v="62"/>
    <s v="B2"/>
    <x v="7"/>
    <s v="B1"/>
    <n v="91"/>
    <x v="1"/>
    <x v="0"/>
    <x v="0"/>
  </r>
  <r>
    <n v="80.030208333333334"/>
    <s v="A2"/>
    <x v="0"/>
    <s v="B1"/>
    <n v="70"/>
    <x v="0"/>
    <x v="0"/>
    <x v="1"/>
  </r>
  <r>
    <n v="85"/>
    <s v="A2"/>
    <x v="2"/>
    <s v="B2"/>
    <n v="82"/>
    <x v="0"/>
    <x v="1"/>
    <x v="0"/>
  </r>
  <r>
    <n v="80.030208333333334"/>
    <s v="A2"/>
    <x v="1"/>
    <s v="A2"/>
    <n v="82"/>
    <x v="0"/>
    <x v="0"/>
    <x v="0"/>
  </r>
  <r>
    <n v="85"/>
    <s v="A2"/>
    <x v="6"/>
    <s v="C1"/>
    <n v="85.510416666666671"/>
    <x v="0"/>
    <x v="2"/>
    <x v="2"/>
  </r>
  <r>
    <n v="72"/>
    <s v="B1"/>
    <x v="0"/>
    <s v="B1"/>
    <n v="88"/>
    <x v="1"/>
    <x v="0"/>
    <x v="0"/>
  </r>
  <r>
    <n v="87"/>
    <s v="A2"/>
    <x v="2"/>
    <s v="B2"/>
    <n v="82"/>
    <x v="0"/>
    <x v="1"/>
    <x v="1"/>
  </r>
  <r>
    <n v="80"/>
    <s v="B1"/>
    <x v="3"/>
    <s v="A2"/>
    <n v="90"/>
    <x v="0"/>
    <x v="0"/>
    <x v="1"/>
  </r>
  <r>
    <n v="85"/>
    <s v="A2"/>
    <x v="4"/>
    <s v="A2"/>
    <n v="95"/>
    <x v="0"/>
    <x v="0"/>
    <x v="0"/>
  </r>
  <r>
    <n v="92"/>
    <s v="A1"/>
    <x v="1"/>
    <s v="A2"/>
    <n v="91"/>
    <x v="2"/>
    <x v="0"/>
    <x v="1"/>
  </r>
  <r>
    <n v="85"/>
    <s v="A2"/>
    <x v="2"/>
    <s v="B2"/>
    <n v="95"/>
    <x v="0"/>
    <x v="1"/>
    <x v="0"/>
  </r>
  <r>
    <n v="72"/>
    <s v="B1"/>
    <x v="1"/>
    <s v="A2"/>
    <n v="78"/>
    <x v="1"/>
    <x v="0"/>
    <x v="0"/>
  </r>
  <r>
    <n v="87"/>
    <s v="A2"/>
    <x v="7"/>
    <s v="B1"/>
    <n v="88"/>
    <x v="0"/>
    <x v="0"/>
    <x v="0"/>
  </r>
  <r>
    <n v="62"/>
    <s v="B2"/>
    <x v="2"/>
    <s v="B2"/>
    <n v="78"/>
    <x v="1"/>
    <x v="1"/>
    <x v="1"/>
  </r>
  <r>
    <n v="68"/>
    <s v="B2"/>
    <x v="8"/>
    <s v="B2"/>
    <n v="95"/>
    <x v="1"/>
    <x v="1"/>
    <x v="0"/>
  </r>
  <r>
    <n v="88"/>
    <s v="A2"/>
    <x v="5"/>
    <s v="A2"/>
    <n v="92"/>
    <x v="0"/>
    <x v="0"/>
    <x v="0"/>
  </r>
  <r>
    <n v="92"/>
    <s v="A1"/>
    <x v="5"/>
    <s v="A2"/>
    <n v="85"/>
    <x v="2"/>
    <x v="0"/>
    <x v="1"/>
  </r>
  <r>
    <n v="85"/>
    <s v="A2"/>
    <x v="3"/>
    <s v="A2"/>
    <n v="85"/>
    <x v="0"/>
    <x v="0"/>
    <x v="0"/>
  </r>
  <r>
    <n v="90"/>
    <s v="A2"/>
    <x v="4"/>
    <s v="A2"/>
    <n v="70"/>
    <x v="0"/>
    <x v="0"/>
    <x v="0"/>
  </r>
  <r>
    <n v="87"/>
    <s v="A2"/>
    <x v="9"/>
    <s v="A2"/>
    <n v="88"/>
    <x v="0"/>
    <x v="0"/>
    <x v="0"/>
  </r>
  <r>
    <n v="62"/>
    <s v="B2"/>
    <x v="3"/>
    <s v="A2"/>
    <n v="70"/>
    <x v="1"/>
    <x v="0"/>
    <x v="0"/>
  </r>
  <r>
    <n v="87"/>
    <s v="A2"/>
    <x v="9"/>
    <s v="A2"/>
    <n v="90"/>
    <x v="0"/>
    <x v="0"/>
    <x v="1"/>
  </r>
  <r>
    <n v="62"/>
    <s v="B2"/>
    <x v="8"/>
    <s v="B2"/>
    <n v="70"/>
    <x v="1"/>
    <x v="1"/>
    <x v="1"/>
  </r>
  <r>
    <n v="62"/>
    <s v="B2"/>
    <x v="4"/>
    <s v="A2"/>
    <n v="82"/>
    <x v="1"/>
    <x v="0"/>
    <x v="1"/>
  </r>
  <r>
    <n v="68"/>
    <s v="B2"/>
    <x v="8"/>
    <s v="B2"/>
    <n v="85"/>
    <x v="1"/>
    <x v="1"/>
    <x v="1"/>
  </r>
  <r>
    <n v="80"/>
    <s v="B1"/>
    <x v="3"/>
    <s v="A2"/>
    <n v="88"/>
    <x v="0"/>
    <x v="0"/>
    <x v="0"/>
  </r>
  <r>
    <n v="92"/>
    <s v="A1"/>
    <x v="6"/>
    <s v="C1"/>
    <n v="91"/>
    <x v="2"/>
    <x v="2"/>
    <x v="1"/>
  </r>
  <r>
    <n v="72"/>
    <s v="B1"/>
    <x v="8"/>
    <s v="B2"/>
    <n v="92"/>
    <x v="1"/>
    <x v="1"/>
    <x v="1"/>
  </r>
  <r>
    <n v="88"/>
    <s v="A2"/>
    <x v="9"/>
    <s v="A2"/>
    <n v="82"/>
    <x v="0"/>
    <x v="0"/>
    <x v="1"/>
  </r>
  <r>
    <n v="85"/>
    <s v="A2"/>
    <x v="7"/>
    <s v="B1"/>
    <n v="78"/>
    <x v="0"/>
    <x v="0"/>
    <x v="1"/>
  </r>
  <r>
    <n v="90"/>
    <s v="A2"/>
    <x v="4"/>
    <s v="A2"/>
    <n v="85"/>
    <x v="0"/>
    <x v="0"/>
    <x v="1"/>
  </r>
  <r>
    <n v="62"/>
    <s v="B2"/>
    <x v="2"/>
    <s v="B2"/>
    <n v="92"/>
    <x v="1"/>
    <x v="1"/>
    <x v="0"/>
  </r>
  <r>
    <n v="80"/>
    <s v="B1"/>
    <x v="6"/>
    <s v="C1"/>
    <n v="92"/>
    <x v="0"/>
    <x v="2"/>
    <x v="0"/>
  </r>
  <r>
    <n v="72"/>
    <s v="B1"/>
    <x v="6"/>
    <s v="C1"/>
    <n v="95"/>
    <x v="1"/>
    <x v="2"/>
    <x v="0"/>
  </r>
  <r>
    <n v="62"/>
    <s v="B2"/>
    <x v="0"/>
    <s v="B1"/>
    <n v="70"/>
    <x v="1"/>
    <x v="0"/>
    <x v="1"/>
  </r>
  <r>
    <n v="62"/>
    <s v="B2"/>
    <x v="9"/>
    <s v="A2"/>
    <n v="70"/>
    <x v="1"/>
    <x v="0"/>
    <x v="0"/>
  </r>
  <r>
    <n v="90"/>
    <s v="A2"/>
    <x v="3"/>
    <s v="A2"/>
    <n v="70"/>
    <x v="0"/>
    <x v="0"/>
    <x v="1"/>
  </r>
  <r>
    <n v="90"/>
    <s v="A2"/>
    <x v="0"/>
    <s v="B1"/>
    <n v="90"/>
    <x v="0"/>
    <x v="0"/>
    <x v="1"/>
  </r>
  <r>
    <n v="68"/>
    <s v="B2"/>
    <x v="9"/>
    <s v="A2"/>
    <n v="92"/>
    <x v="1"/>
    <x v="0"/>
    <x v="0"/>
  </r>
  <r>
    <n v="87"/>
    <s v="A2"/>
    <x v="9"/>
    <s v="A2"/>
    <n v="95"/>
    <x v="0"/>
    <x v="0"/>
    <x v="1"/>
  </r>
  <r>
    <n v="92"/>
    <s v="A1"/>
    <x v="6"/>
    <s v="C1"/>
    <n v="88"/>
    <x v="2"/>
    <x v="2"/>
    <x v="0"/>
  </r>
  <r>
    <n v="72"/>
    <s v="B1"/>
    <x v="9"/>
    <s v="A2"/>
    <n v="91"/>
    <x v="1"/>
    <x v="0"/>
    <x v="1"/>
  </r>
  <r>
    <n v="90"/>
    <s v="A2"/>
    <x v="7"/>
    <s v="B1"/>
    <n v="85"/>
    <x v="0"/>
    <x v="0"/>
    <x v="1"/>
  </r>
  <r>
    <n v="78"/>
    <s v="B1"/>
    <x v="9"/>
    <s v="A2"/>
    <n v="82"/>
    <x v="0"/>
    <x v="0"/>
    <x v="0"/>
  </r>
  <r>
    <n v="88"/>
    <s v="A2"/>
    <x v="7"/>
    <s v="B1"/>
    <n v="90"/>
    <x v="0"/>
    <x v="0"/>
    <x v="0"/>
  </r>
  <r>
    <n v="85"/>
    <s v="A2"/>
    <x v="7"/>
    <s v="B1"/>
    <n v="95"/>
    <x v="0"/>
    <x v="0"/>
    <x v="1"/>
  </r>
  <r>
    <n v="92"/>
    <s v="A1"/>
    <x v="6"/>
    <s v="C1"/>
    <n v="90"/>
    <x v="2"/>
    <x v="2"/>
    <x v="0"/>
  </r>
  <r>
    <n v="92"/>
    <s v="A1"/>
    <x v="3"/>
    <s v="A2"/>
    <n v="90"/>
    <x v="2"/>
    <x v="0"/>
    <x v="0"/>
  </r>
  <r>
    <n v="78"/>
    <s v="B1"/>
    <x v="5"/>
    <s v="A2"/>
    <n v="70"/>
    <x v="0"/>
    <x v="0"/>
    <x v="1"/>
  </r>
  <r>
    <n v="92"/>
    <s v="A1"/>
    <x v="8"/>
    <s v="B2"/>
    <n v="95"/>
    <x v="2"/>
    <x v="1"/>
    <x v="0"/>
  </r>
  <r>
    <n v="80"/>
    <s v="B1"/>
    <x v="5"/>
    <s v="A2"/>
    <n v="88"/>
    <x v="0"/>
    <x v="0"/>
    <x v="0"/>
  </r>
  <r>
    <n v="80"/>
    <s v="B1"/>
    <x v="10"/>
    <s v="B1"/>
    <n v="82"/>
    <x v="0"/>
    <x v="0"/>
    <x v="0"/>
  </r>
  <r>
    <n v="87"/>
    <s v="A2"/>
    <x v="4"/>
    <s v="A2"/>
    <n v="78"/>
    <x v="0"/>
    <x v="0"/>
    <x v="1"/>
  </r>
  <r>
    <n v="72"/>
    <s v="B1"/>
    <x v="1"/>
    <s v="A2"/>
    <n v="91"/>
    <x v="1"/>
    <x v="0"/>
    <x v="0"/>
  </r>
  <r>
    <n v="85"/>
    <s v="A2"/>
    <x v="4"/>
    <s v="A2"/>
    <n v="85"/>
    <x v="0"/>
    <x v="0"/>
    <x v="1"/>
  </r>
  <r>
    <n v="72"/>
    <s v="B1"/>
    <x v="2"/>
    <s v="B2"/>
    <n v="88"/>
    <x v="1"/>
    <x v="1"/>
    <x v="0"/>
  </r>
  <r>
    <n v="80.030208333333334"/>
    <s v="A2"/>
    <x v="3"/>
    <s v="A2"/>
    <n v="88"/>
    <x v="0"/>
    <x v="0"/>
    <x v="1"/>
  </r>
  <r>
    <n v="92"/>
    <s v="A1"/>
    <x v="6"/>
    <s v="C1"/>
    <n v="91"/>
    <x v="2"/>
    <x v="2"/>
    <x v="1"/>
  </r>
  <r>
    <n v="78"/>
    <s v="B1"/>
    <x v="9"/>
    <s v="A2"/>
    <n v="78"/>
    <x v="0"/>
    <x v="0"/>
    <x v="0"/>
  </r>
  <r>
    <n v="88"/>
    <s v="A2"/>
    <x v="7"/>
    <s v="B1"/>
    <n v="82"/>
    <x v="0"/>
    <x v="0"/>
    <x v="1"/>
  </r>
  <r>
    <n v="85"/>
    <s v="A2"/>
    <x v="9"/>
    <s v="A2"/>
    <n v="90"/>
    <x v="0"/>
    <x v="0"/>
    <x v="2"/>
  </r>
  <r>
    <n v="78"/>
    <s v="B1"/>
    <x v="9"/>
    <s v="A2"/>
    <n v="88"/>
    <x v="0"/>
    <x v="0"/>
    <x v="1"/>
  </r>
  <r>
    <n v="78"/>
    <s v="B1"/>
    <x v="2"/>
    <s v="B2"/>
    <n v="95"/>
    <x v="0"/>
    <x v="1"/>
    <x v="2"/>
  </r>
  <r>
    <n v="72"/>
    <s v="B1"/>
    <x v="5"/>
    <s v="A2"/>
    <n v="95"/>
    <x v="1"/>
    <x v="0"/>
    <x v="0"/>
  </r>
  <r>
    <n v="78"/>
    <s v="B1"/>
    <x v="5"/>
    <s v="A2"/>
    <n v="92"/>
    <x v="0"/>
    <x v="0"/>
    <x v="0"/>
  </r>
  <r>
    <n v="88"/>
    <s v="A2"/>
    <x v="7"/>
    <s v="B1"/>
    <n v="88"/>
    <x v="0"/>
    <x v="0"/>
    <x v="0"/>
  </r>
  <r>
    <n v="78"/>
    <s v="B1"/>
    <x v="1"/>
    <s v="A2"/>
    <n v="82"/>
    <x v="0"/>
    <x v="0"/>
    <x v="0"/>
  </r>
  <r>
    <n v="92"/>
    <s v="A1"/>
    <x v="6"/>
    <s v="C1"/>
    <n v="82"/>
    <x v="2"/>
    <x v="2"/>
    <x v="1"/>
  </r>
  <r>
    <n v="85"/>
    <s v="A2"/>
    <x v="6"/>
    <s v="C1"/>
    <n v="90"/>
    <x v="0"/>
    <x v="2"/>
    <x v="0"/>
  </r>
  <r>
    <n v="72"/>
    <s v="B1"/>
    <x v="7"/>
    <s v="B1"/>
    <n v="85"/>
    <x v="1"/>
    <x v="0"/>
    <x v="0"/>
  </r>
  <r>
    <n v="80"/>
    <s v="B1"/>
    <x v="6"/>
    <s v="C1"/>
    <n v="92"/>
    <x v="0"/>
    <x v="2"/>
    <x v="0"/>
  </r>
  <r>
    <n v="90"/>
    <s v="A2"/>
    <x v="2"/>
    <s v="B2"/>
    <n v="85"/>
    <x v="0"/>
    <x v="1"/>
    <x v="0"/>
  </r>
  <r>
    <n v="78"/>
    <s v="B1"/>
    <x v="6"/>
    <s v="C1"/>
    <n v="85"/>
    <x v="0"/>
    <x v="2"/>
    <x v="2"/>
  </r>
  <r>
    <n v="78"/>
    <s v="B1"/>
    <x v="6"/>
    <s v="C1"/>
    <n v="95"/>
    <x v="0"/>
    <x v="2"/>
    <x v="2"/>
  </r>
  <r>
    <n v="87"/>
    <s v="A2"/>
    <x v="6"/>
    <s v="C1"/>
    <n v="92"/>
    <x v="0"/>
    <x v="2"/>
    <x v="1"/>
  </r>
  <r>
    <n v="62"/>
    <s v="B2"/>
    <x v="4"/>
    <s v="A2"/>
    <n v="95"/>
    <x v="1"/>
    <x v="0"/>
    <x v="0"/>
  </r>
  <r>
    <n v="92"/>
    <s v="A1"/>
    <x v="9"/>
    <s v="A2"/>
    <n v="78"/>
    <x v="2"/>
    <x v="0"/>
    <x v="0"/>
  </r>
  <r>
    <n v="85"/>
    <s v="A2"/>
    <x v="4"/>
    <s v="A2"/>
    <n v="88"/>
    <x v="0"/>
    <x v="0"/>
    <x v="2"/>
  </r>
  <r>
    <n v="85"/>
    <s v="A2"/>
    <x v="6"/>
    <s v="C1"/>
    <n v="91"/>
    <x v="0"/>
    <x v="2"/>
    <x v="1"/>
  </r>
  <r>
    <n v="85"/>
    <s v="A2"/>
    <x v="5"/>
    <s v="A2"/>
    <n v="70"/>
    <x v="0"/>
    <x v="0"/>
    <x v="0"/>
  </r>
  <r>
    <n v="92"/>
    <s v="A1"/>
    <x v="9"/>
    <s v="A2"/>
    <n v="91"/>
    <x v="2"/>
    <x v="0"/>
    <x v="0"/>
  </r>
  <r>
    <n v="80"/>
    <s v="B1"/>
    <x v="0"/>
    <s v="B1"/>
    <n v="78"/>
    <x v="0"/>
    <x v="0"/>
    <x v="1"/>
  </r>
  <r>
    <n v="72"/>
    <s v="B1"/>
    <x v="2"/>
    <s v="B2"/>
    <n v="95"/>
    <x v="1"/>
    <x v="1"/>
    <x v="1"/>
  </r>
  <r>
    <n v="87"/>
    <s v="A2"/>
    <x v="5"/>
    <s v="A2"/>
    <n v="85"/>
    <x v="0"/>
    <x v="0"/>
    <x v="1"/>
  </r>
  <r>
    <n v="78"/>
    <s v="B1"/>
    <x v="4"/>
    <s v="A2"/>
    <n v="70"/>
    <x v="0"/>
    <x v="0"/>
    <x v="0"/>
  </r>
  <r>
    <n v="72"/>
    <s v="B1"/>
    <x v="7"/>
    <s v="B1"/>
    <n v="90"/>
    <x v="1"/>
    <x v="0"/>
    <x v="1"/>
  </r>
  <r>
    <n v="80"/>
    <s v="B1"/>
    <x v="1"/>
    <s v="A2"/>
    <n v="88"/>
    <x v="0"/>
    <x v="0"/>
    <x v="1"/>
  </r>
  <r>
    <n v="72"/>
    <s v="B1"/>
    <x v="6"/>
    <s v="C1"/>
    <n v="82"/>
    <x v="1"/>
    <x v="2"/>
    <x v="0"/>
  </r>
  <r>
    <n v="80.030208333333334"/>
    <s v="A2"/>
    <x v="6"/>
    <s v="C1"/>
    <n v="85"/>
    <x v="0"/>
    <x v="2"/>
    <x v="2"/>
  </r>
  <r>
    <n v="85"/>
    <s v="A2"/>
    <x v="5"/>
    <s v="A2"/>
    <n v="95"/>
    <x v="0"/>
    <x v="0"/>
    <x v="0"/>
  </r>
  <r>
    <n v="68"/>
    <s v="B2"/>
    <x v="0"/>
    <s v="B1"/>
    <n v="91"/>
    <x v="1"/>
    <x v="0"/>
    <x v="0"/>
  </r>
  <r>
    <n v="80.030208333333334"/>
    <s v="A2"/>
    <x v="2"/>
    <s v="B2"/>
    <n v="92"/>
    <x v="0"/>
    <x v="1"/>
    <x v="0"/>
  </r>
  <r>
    <n v="90"/>
    <s v="A2"/>
    <x v="0"/>
    <s v="B1"/>
    <n v="78"/>
    <x v="0"/>
    <x v="0"/>
    <x v="1"/>
  </r>
  <r>
    <n v="87"/>
    <s v="A2"/>
    <x v="2"/>
    <s v="B2"/>
    <n v="88"/>
    <x v="0"/>
    <x v="1"/>
    <x v="0"/>
  </r>
  <r>
    <n v="72"/>
    <s v="B1"/>
    <x v="3"/>
    <s v="A2"/>
    <n v="85"/>
    <x v="1"/>
    <x v="0"/>
    <x v="0"/>
  </r>
  <r>
    <n v="80.030208333333334"/>
    <s v="A2"/>
    <x v="1"/>
    <s v="A2"/>
    <n v="70"/>
    <x v="0"/>
    <x v="0"/>
    <x v="1"/>
  </r>
  <r>
    <n v="90"/>
    <s v="A2"/>
    <x v="9"/>
    <s v="A2"/>
    <n v="78"/>
    <x v="0"/>
    <x v="0"/>
    <x v="0"/>
  </r>
  <r>
    <n v="78"/>
    <s v="B1"/>
    <x v="8"/>
    <s v="B2"/>
    <n v="90"/>
    <x v="0"/>
    <x v="1"/>
    <x v="1"/>
  </r>
  <r>
    <n v="85"/>
    <s v="A2"/>
    <x v="5"/>
    <s v="A2"/>
    <n v="70"/>
    <x v="0"/>
    <x v="0"/>
    <x v="2"/>
  </r>
  <r>
    <n v="90"/>
    <s v="A2"/>
    <x v="6"/>
    <s v="C1"/>
    <n v="90"/>
    <x v="0"/>
    <x v="2"/>
    <x v="0"/>
  </r>
  <r>
    <n v="88"/>
    <s v="A2"/>
    <x v="6"/>
    <s v="C1"/>
    <n v="70"/>
    <x v="0"/>
    <x v="2"/>
    <x v="0"/>
  </r>
  <r>
    <n v="87"/>
    <s v="A2"/>
    <x v="5"/>
    <s v="A2"/>
    <n v="92"/>
    <x v="0"/>
    <x v="0"/>
    <x v="1"/>
  </r>
  <r>
    <n v="85"/>
    <s v="A2"/>
    <x v="0"/>
    <s v="B1"/>
    <n v="91"/>
    <x v="0"/>
    <x v="0"/>
    <x v="0"/>
  </r>
  <r>
    <n v="80"/>
    <s v="B1"/>
    <x v="1"/>
    <s v="A2"/>
    <n v="91"/>
    <x v="0"/>
    <x v="0"/>
    <x v="0"/>
  </r>
  <r>
    <n v="90"/>
    <s v="A2"/>
    <x v="10"/>
    <s v="B1"/>
    <n v="85"/>
    <x v="0"/>
    <x v="0"/>
    <x v="1"/>
  </r>
  <r>
    <n v="78"/>
    <s v="B1"/>
    <x v="0"/>
    <s v="B1"/>
    <n v="78"/>
    <x v="0"/>
    <x v="0"/>
    <x v="0"/>
  </r>
  <r>
    <n v="87"/>
    <s v="A2"/>
    <x v="1"/>
    <s v="A2"/>
    <n v="92"/>
    <x v="0"/>
    <x v="0"/>
    <x v="1"/>
  </r>
  <r>
    <n v="80"/>
    <s v="B1"/>
    <x v="6"/>
    <s v="C1"/>
    <n v="85"/>
    <x v="0"/>
    <x v="2"/>
    <x v="1"/>
  </r>
  <r>
    <n v="62"/>
    <s v="B2"/>
    <x v="0"/>
    <s v="B1"/>
    <n v="95"/>
    <x v="1"/>
    <x v="0"/>
    <x v="1"/>
  </r>
  <r>
    <n v="78"/>
    <s v="B1"/>
    <x v="0"/>
    <s v="B1"/>
    <n v="90"/>
    <x v="0"/>
    <x v="0"/>
    <x v="1"/>
  </r>
  <r>
    <n v="68"/>
    <s v="B2"/>
    <x v="6"/>
    <s v="C1"/>
    <n v="88"/>
    <x v="1"/>
    <x v="2"/>
    <x v="1"/>
  </r>
  <r>
    <n v="62"/>
    <s v="B2"/>
    <x v="3"/>
    <s v="A2"/>
    <n v="70"/>
    <x v="1"/>
    <x v="0"/>
    <x v="0"/>
  </r>
  <r>
    <n v="80.030208333333334"/>
    <s v="A2"/>
    <x v="1"/>
    <s v="A2"/>
    <n v="95"/>
    <x v="0"/>
    <x v="0"/>
    <x v="0"/>
  </r>
  <r>
    <n v="68"/>
    <s v="B2"/>
    <x v="2"/>
    <s v="B2"/>
    <n v="92"/>
    <x v="1"/>
    <x v="1"/>
    <x v="0"/>
  </r>
  <r>
    <n v="88"/>
    <s v="A2"/>
    <x v="9"/>
    <s v="A2"/>
    <n v="85"/>
    <x v="0"/>
    <x v="0"/>
    <x v="1"/>
  </r>
  <r>
    <n v="85"/>
    <s v="A2"/>
    <x v="7"/>
    <s v="B1"/>
    <n v="85"/>
    <x v="0"/>
    <x v="0"/>
    <x v="0"/>
  </r>
  <r>
    <n v="90"/>
    <s v="A2"/>
    <x v="7"/>
    <s v="B1"/>
    <n v="88"/>
    <x v="0"/>
    <x v="0"/>
    <x v="0"/>
  </r>
  <r>
    <n v="88"/>
    <s v="A2"/>
    <x v="8"/>
    <s v="B2"/>
    <n v="85"/>
    <x v="0"/>
    <x v="1"/>
    <x v="1"/>
  </r>
  <r>
    <n v="87"/>
    <s v="A2"/>
    <x v="1"/>
    <s v="A2"/>
    <n v="85"/>
    <x v="0"/>
    <x v="0"/>
    <x v="0"/>
  </r>
  <r>
    <n v="90"/>
    <s v="A2"/>
    <x v="8"/>
    <s v="B2"/>
    <n v="85"/>
    <x v="0"/>
    <x v="1"/>
    <x v="1"/>
  </r>
  <r>
    <n v="87"/>
    <s v="A2"/>
    <x v="5"/>
    <s v="A2"/>
    <n v="91"/>
    <x v="0"/>
    <x v="0"/>
    <x v="1"/>
  </r>
  <r>
    <n v="85"/>
    <s v="A2"/>
    <x v="9"/>
    <s v="A2"/>
    <n v="95"/>
    <x v="0"/>
    <x v="0"/>
    <x v="0"/>
  </r>
  <r>
    <n v="72"/>
    <s v="B1"/>
    <x v="6"/>
    <s v="C1"/>
    <n v="88"/>
    <x v="1"/>
    <x v="2"/>
    <x v="0"/>
  </r>
  <r>
    <n v="90"/>
    <s v="A2"/>
    <x v="4"/>
    <s v="A2"/>
    <n v="85"/>
    <x v="0"/>
    <x v="0"/>
    <x v="1"/>
  </r>
  <r>
    <n v="72"/>
    <s v="B1"/>
    <x v="4"/>
    <s v="A2"/>
    <n v="78"/>
    <x v="1"/>
    <x v="0"/>
    <x v="0"/>
  </r>
  <r>
    <n v="88"/>
    <s v="A2"/>
    <x v="2"/>
    <s v="B2"/>
    <n v="91"/>
    <x v="0"/>
    <x v="1"/>
    <x v="0"/>
  </r>
  <r>
    <n v="78"/>
    <s v="B1"/>
    <x v="7"/>
    <s v="B1"/>
    <n v="95"/>
    <x v="0"/>
    <x v="0"/>
    <x v="1"/>
  </r>
  <r>
    <n v="80.030208333333334"/>
    <s v="A2"/>
    <x v="10"/>
    <s v="B1"/>
    <n v="95"/>
    <x v="0"/>
    <x v="0"/>
    <x v="0"/>
  </r>
  <r>
    <n v="87"/>
    <s v="A2"/>
    <x v="7"/>
    <s v="B1"/>
    <n v="85.510416666666671"/>
    <x v="0"/>
    <x v="0"/>
    <x v="0"/>
  </r>
  <r>
    <n v="62"/>
    <s v="B2"/>
    <x v="7"/>
    <s v="B1"/>
    <n v="78"/>
    <x v="1"/>
    <x v="0"/>
    <x v="0"/>
  </r>
  <r>
    <n v="92"/>
    <s v="A1"/>
    <x v="6"/>
    <s v="C1"/>
    <n v="70"/>
    <x v="2"/>
    <x v="2"/>
    <x v="0"/>
  </r>
  <r>
    <n v="80"/>
    <s v="B1"/>
    <x v="5"/>
    <s v="A2"/>
    <n v="95"/>
    <x v="0"/>
    <x v="0"/>
    <x v="0"/>
  </r>
  <r>
    <n v="92"/>
    <s v="A1"/>
    <x v="1"/>
    <s v="A2"/>
    <n v="91"/>
    <x v="2"/>
    <x v="0"/>
    <x v="1"/>
  </r>
  <r>
    <n v="80.030208333333334"/>
    <s v="A2"/>
    <x v="1"/>
    <s v="A2"/>
    <n v="92"/>
    <x v="0"/>
    <x v="0"/>
    <x v="1"/>
  </r>
  <r>
    <n v="72"/>
    <s v="B1"/>
    <x v="8"/>
    <s v="B2"/>
    <n v="85"/>
    <x v="1"/>
    <x v="1"/>
    <x v="0"/>
  </r>
  <r>
    <n v="62"/>
    <s v="B2"/>
    <x v="5"/>
    <s v="A2"/>
    <n v="85"/>
    <x v="1"/>
    <x v="0"/>
    <x v="1"/>
  </r>
  <r>
    <n v="72"/>
    <s v="B1"/>
    <x v="8"/>
    <s v="B2"/>
    <n v="90"/>
    <x v="1"/>
    <x v="1"/>
    <x v="1"/>
  </r>
  <r>
    <n v="92"/>
    <s v="A1"/>
    <x v="5"/>
    <s v="A2"/>
    <n v="88"/>
    <x v="2"/>
    <x v="0"/>
    <x v="1"/>
  </r>
  <r>
    <n v="68"/>
    <s v="B2"/>
    <x v="8"/>
    <s v="B2"/>
    <n v="85"/>
    <x v="1"/>
    <x v="1"/>
    <x v="0"/>
  </r>
  <r>
    <n v="92"/>
    <s v="A1"/>
    <x v="7"/>
    <s v="B1"/>
    <n v="78"/>
    <x v="2"/>
    <x v="0"/>
    <x v="0"/>
  </r>
  <r>
    <n v="80"/>
    <s v="B1"/>
    <x v="8"/>
    <s v="B2"/>
    <n v="82"/>
    <x v="0"/>
    <x v="1"/>
    <x v="1"/>
  </r>
  <r>
    <n v="62"/>
    <s v="B2"/>
    <x v="1"/>
    <s v="A2"/>
    <n v="95"/>
    <x v="1"/>
    <x v="0"/>
    <x v="0"/>
  </r>
  <r>
    <n v="62"/>
    <s v="B2"/>
    <x v="8"/>
    <s v="B2"/>
    <n v="85"/>
    <x v="1"/>
    <x v="1"/>
    <x v="1"/>
  </r>
  <r>
    <n v="85"/>
    <s v="A2"/>
    <x v="1"/>
    <s v="A2"/>
    <n v="95"/>
    <x v="0"/>
    <x v="0"/>
    <x v="1"/>
  </r>
  <r>
    <n v="62"/>
    <s v="B2"/>
    <x v="0"/>
    <s v="B1"/>
    <n v="95"/>
    <x v="1"/>
    <x v="0"/>
    <x v="1"/>
  </r>
  <r>
    <n v="88"/>
    <s v="A2"/>
    <x v="2"/>
    <s v="B2"/>
    <n v="85.510416666666671"/>
    <x v="0"/>
    <x v="1"/>
    <x v="1"/>
  </r>
  <r>
    <n v="80"/>
    <s v="B1"/>
    <x v="5"/>
    <s v="A2"/>
    <n v="92"/>
    <x v="0"/>
    <x v="0"/>
    <x v="0"/>
  </r>
  <r>
    <n v="90"/>
    <s v="A2"/>
    <x v="9"/>
    <s v="A2"/>
    <n v="85"/>
    <x v="0"/>
    <x v="0"/>
    <x v="1"/>
  </r>
  <r>
    <n v="72"/>
    <s v="B1"/>
    <x v="7"/>
    <s v="B1"/>
    <n v="85"/>
    <x v="1"/>
    <x v="0"/>
    <x v="0"/>
  </r>
  <r>
    <n v="68"/>
    <s v="B2"/>
    <x v="7"/>
    <s v="B1"/>
    <n v="91"/>
    <x v="1"/>
    <x v="0"/>
    <x v="0"/>
  </r>
  <r>
    <n v="85"/>
    <s v="A2"/>
    <x v="1"/>
    <s v="A2"/>
    <n v="95"/>
    <x v="0"/>
    <x v="0"/>
    <x v="0"/>
  </r>
  <r>
    <n v="80"/>
    <s v="B1"/>
    <x v="2"/>
    <s v="B2"/>
    <n v="90"/>
    <x v="0"/>
    <x v="1"/>
    <x v="0"/>
  </r>
  <r>
    <n v="78"/>
    <s v="B1"/>
    <x v="1"/>
    <s v="A2"/>
    <n v="91"/>
    <x v="0"/>
    <x v="0"/>
    <x v="0"/>
  </r>
  <r>
    <n v="72"/>
    <s v="B1"/>
    <x v="7"/>
    <s v="B1"/>
    <n v="95"/>
    <x v="1"/>
    <x v="0"/>
    <x v="0"/>
  </r>
  <r>
    <n v="85"/>
    <s v="A2"/>
    <x v="1"/>
    <s v="A2"/>
    <n v="82"/>
    <x v="0"/>
    <x v="0"/>
    <x v="1"/>
  </r>
  <r>
    <n v="68"/>
    <s v="B2"/>
    <x v="3"/>
    <s v="A2"/>
    <n v="90"/>
    <x v="1"/>
    <x v="0"/>
    <x v="1"/>
  </r>
  <r>
    <n v="88"/>
    <s v="A2"/>
    <x v="2"/>
    <s v="B2"/>
    <n v="91"/>
    <x v="0"/>
    <x v="1"/>
    <x v="0"/>
  </r>
  <r>
    <n v="92"/>
    <s v="A1"/>
    <x v="9"/>
    <s v="A2"/>
    <n v="90"/>
    <x v="2"/>
    <x v="0"/>
    <x v="0"/>
  </r>
  <r>
    <n v="78"/>
    <s v="B1"/>
    <x v="3"/>
    <s v="A2"/>
    <n v="88"/>
    <x v="0"/>
    <x v="0"/>
    <x v="1"/>
  </r>
  <r>
    <n v="68"/>
    <s v="B2"/>
    <x v="3"/>
    <s v="A2"/>
    <n v="85"/>
    <x v="1"/>
    <x v="0"/>
    <x v="1"/>
  </r>
  <r>
    <n v="90"/>
    <s v="A2"/>
    <x v="8"/>
    <s v="B2"/>
    <n v="78"/>
    <x v="0"/>
    <x v="1"/>
    <x v="1"/>
  </r>
  <r>
    <n v="88"/>
    <s v="A2"/>
    <x v="0"/>
    <s v="B1"/>
    <n v="78"/>
    <x v="0"/>
    <x v="0"/>
    <x v="0"/>
  </r>
  <r>
    <n v="85"/>
    <s v="A2"/>
    <x v="10"/>
    <s v="B1"/>
    <n v="78"/>
    <x v="0"/>
    <x v="0"/>
    <x v="0"/>
  </r>
  <r>
    <n v="80"/>
    <s v="B1"/>
    <x v="9"/>
    <s v="A2"/>
    <n v="92"/>
    <x v="0"/>
    <x v="0"/>
    <x v="1"/>
  </r>
  <r>
    <n v="90"/>
    <s v="A2"/>
    <x v="2"/>
    <s v="B2"/>
    <n v="90"/>
    <x v="0"/>
    <x v="1"/>
    <x v="0"/>
  </r>
  <r>
    <n v="85"/>
    <s v="A2"/>
    <x v="3"/>
    <s v="A2"/>
    <n v="91"/>
    <x v="0"/>
    <x v="0"/>
    <x v="0"/>
  </r>
  <r>
    <n v="72"/>
    <s v="B1"/>
    <x v="6"/>
    <s v="C1"/>
    <n v="78"/>
    <x v="1"/>
    <x v="2"/>
    <x v="0"/>
  </r>
  <r>
    <n v="90"/>
    <s v="A2"/>
    <x v="0"/>
    <s v="B1"/>
    <n v="82"/>
    <x v="0"/>
    <x v="0"/>
    <x v="1"/>
  </r>
  <r>
    <n v="80.030208333333334"/>
    <s v="A2"/>
    <x v="5"/>
    <s v="A2"/>
    <n v="95"/>
    <x v="0"/>
    <x v="0"/>
    <x v="0"/>
  </r>
  <r>
    <n v="90"/>
    <s v="A2"/>
    <x v="10"/>
    <s v="B1"/>
    <n v="91"/>
    <x v="0"/>
    <x v="0"/>
    <x v="1"/>
  </r>
  <r>
    <n v="80"/>
    <s v="B1"/>
    <x v="9"/>
    <s v="A2"/>
    <n v="88"/>
    <x v="0"/>
    <x v="0"/>
    <x v="1"/>
  </r>
  <r>
    <n v="78"/>
    <s v="B1"/>
    <x v="1"/>
    <s v="A2"/>
    <n v="85"/>
    <x v="0"/>
    <x v="0"/>
    <x v="2"/>
  </r>
  <r>
    <n v="68"/>
    <s v="B2"/>
    <x v="7"/>
    <s v="B1"/>
    <n v="82"/>
    <x v="1"/>
    <x v="0"/>
    <x v="1"/>
  </r>
  <r>
    <n v="72"/>
    <s v="B1"/>
    <x v="7"/>
    <s v="B1"/>
    <n v="95"/>
    <x v="1"/>
    <x v="0"/>
    <x v="1"/>
  </r>
  <r>
    <n v="85"/>
    <s v="A2"/>
    <x v="8"/>
    <s v="B2"/>
    <n v="92"/>
    <x v="0"/>
    <x v="1"/>
    <x v="0"/>
  </r>
  <r>
    <n v="87"/>
    <s v="A2"/>
    <x v="8"/>
    <s v="B2"/>
    <n v="85"/>
    <x v="0"/>
    <x v="1"/>
    <x v="1"/>
  </r>
  <r>
    <n v="87"/>
    <s v="A2"/>
    <x v="0"/>
    <s v="B1"/>
    <n v="78"/>
    <x v="0"/>
    <x v="0"/>
    <x v="1"/>
  </r>
  <r>
    <n v="85"/>
    <s v="A2"/>
    <x v="4"/>
    <s v="A2"/>
    <n v="92"/>
    <x v="0"/>
    <x v="0"/>
    <x v="0"/>
  </r>
  <r>
    <n v="62"/>
    <s v="B2"/>
    <x v="3"/>
    <s v="A2"/>
    <n v="82"/>
    <x v="1"/>
    <x v="0"/>
    <x v="0"/>
  </r>
  <r>
    <n v="92"/>
    <s v="A1"/>
    <x v="6"/>
    <s v="C1"/>
    <n v="82"/>
    <x v="2"/>
    <x v="2"/>
    <x v="0"/>
  </r>
  <r>
    <n v="80"/>
    <s v="B1"/>
    <x v="3"/>
    <s v="A2"/>
    <n v="90"/>
    <x v="0"/>
    <x v="0"/>
    <x v="0"/>
  </r>
  <r>
    <n v="80"/>
    <s v="B1"/>
    <x v="2"/>
    <s v="B2"/>
    <n v="70"/>
    <x v="0"/>
    <x v="1"/>
    <x v="0"/>
  </r>
  <r>
    <n v="72"/>
    <s v="B1"/>
    <x v="8"/>
    <s v="B2"/>
    <n v="85"/>
    <x v="1"/>
    <x v="1"/>
    <x v="1"/>
  </r>
  <r>
    <n v="90"/>
    <s v="A2"/>
    <x v="2"/>
    <s v="B2"/>
    <n v="85"/>
    <x v="0"/>
    <x v="1"/>
    <x v="0"/>
  </r>
  <r>
    <n v="87"/>
    <s v="A2"/>
    <x v="5"/>
    <s v="A2"/>
    <n v="70"/>
    <x v="0"/>
    <x v="0"/>
    <x v="1"/>
  </r>
  <r>
    <n v="85"/>
    <s v="A2"/>
    <x v="6"/>
    <s v="C1"/>
    <n v="85"/>
    <x v="0"/>
    <x v="2"/>
    <x v="0"/>
  </r>
  <r>
    <n v="68"/>
    <s v="B2"/>
    <x v="1"/>
    <s v="A2"/>
    <n v="92"/>
    <x v="1"/>
    <x v="0"/>
    <x v="1"/>
  </r>
  <r>
    <n v="78"/>
    <s v="B1"/>
    <x v="3"/>
    <s v="A2"/>
    <n v="95"/>
    <x v="0"/>
    <x v="0"/>
    <x v="2"/>
  </r>
  <r>
    <n v="72"/>
    <s v="B1"/>
    <x v="3"/>
    <s v="A2"/>
    <n v="82"/>
    <x v="1"/>
    <x v="0"/>
    <x v="1"/>
  </r>
  <r>
    <n v="72"/>
    <s v="B1"/>
    <x v="8"/>
    <s v="B2"/>
    <n v="85"/>
    <x v="1"/>
    <x v="1"/>
    <x v="0"/>
  </r>
  <r>
    <n v="80"/>
    <s v="B1"/>
    <x v="1"/>
    <s v="A2"/>
    <n v="91"/>
    <x v="0"/>
    <x v="0"/>
    <x v="0"/>
  </r>
  <r>
    <n v="85"/>
    <s v="A2"/>
    <x v="4"/>
    <s v="A2"/>
    <n v="82"/>
    <x v="0"/>
    <x v="0"/>
    <x v="0"/>
  </r>
  <r>
    <n v="80.030208333333334"/>
    <s v="A2"/>
    <x v="1"/>
    <s v="A2"/>
    <n v="70"/>
    <x v="0"/>
    <x v="0"/>
    <x v="0"/>
  </r>
  <r>
    <n v="80.030208333333334"/>
    <s v="A2"/>
    <x v="6"/>
    <s v="C1"/>
    <n v="78"/>
    <x v="0"/>
    <x v="2"/>
    <x v="1"/>
  </r>
  <r>
    <n v="72"/>
    <s v="B1"/>
    <x v="2"/>
    <s v="B2"/>
    <n v="95"/>
    <x v="1"/>
    <x v="1"/>
    <x v="0"/>
  </r>
  <r>
    <n v="92"/>
    <s v="A1"/>
    <x v="6"/>
    <s v="C1"/>
    <n v="85"/>
    <x v="2"/>
    <x v="2"/>
    <x v="1"/>
  </r>
  <r>
    <n v="80.030208333333334"/>
    <s v="A2"/>
    <x v="6"/>
    <s v="C1"/>
    <n v="90"/>
    <x v="0"/>
    <x v="2"/>
    <x v="0"/>
  </r>
  <r>
    <n v="72"/>
    <s v="B1"/>
    <x v="6"/>
    <s v="C1"/>
    <n v="92"/>
    <x v="1"/>
    <x v="2"/>
    <x v="0"/>
  </r>
  <r>
    <n v="90"/>
    <s v="A2"/>
    <x v="10"/>
    <s v="B1"/>
    <n v="92"/>
    <x v="0"/>
    <x v="0"/>
    <x v="1"/>
  </r>
  <r>
    <n v="68"/>
    <s v="B2"/>
    <x v="8"/>
    <s v="B2"/>
    <n v="88"/>
    <x v="1"/>
    <x v="1"/>
    <x v="2"/>
  </r>
  <r>
    <n v="68"/>
    <s v="B2"/>
    <x v="5"/>
    <s v="A2"/>
    <n v="85.510416666666671"/>
    <x v="1"/>
    <x v="0"/>
    <x v="1"/>
  </r>
  <r>
    <n v="62"/>
    <s v="B2"/>
    <x v="7"/>
    <s v="B1"/>
    <n v="88"/>
    <x v="1"/>
    <x v="0"/>
    <x v="0"/>
  </r>
  <r>
    <n v="90"/>
    <s v="A2"/>
    <x v="5"/>
    <s v="A2"/>
    <n v="88"/>
    <x v="0"/>
    <x v="0"/>
    <x v="0"/>
  </r>
  <r>
    <n v="92"/>
    <s v="A1"/>
    <x v="9"/>
    <s v="A2"/>
    <n v="70"/>
    <x v="2"/>
    <x v="0"/>
    <x v="1"/>
  </r>
  <r>
    <n v="87"/>
    <s v="A2"/>
    <x v="0"/>
    <s v="B1"/>
    <n v="95"/>
    <x v="0"/>
    <x v="0"/>
    <x v="0"/>
  </r>
  <r>
    <n v="62"/>
    <s v="B2"/>
    <x v="8"/>
    <s v="B2"/>
    <n v="70"/>
    <x v="1"/>
    <x v="1"/>
    <x v="0"/>
  </r>
  <r>
    <n v="78"/>
    <s v="B1"/>
    <x v="7"/>
    <s v="B1"/>
    <n v="95"/>
    <x v="0"/>
    <x v="0"/>
    <x v="1"/>
  </r>
  <r>
    <n v="68"/>
    <s v="B2"/>
    <x v="9"/>
    <s v="A2"/>
    <n v="70"/>
    <x v="1"/>
    <x v="0"/>
    <x v="1"/>
  </r>
  <r>
    <n v="92"/>
    <s v="A1"/>
    <x v="3"/>
    <s v="A2"/>
    <n v="92"/>
    <x v="2"/>
    <x v="0"/>
    <x v="0"/>
  </r>
  <r>
    <n v="68"/>
    <s v="B2"/>
    <x v="2"/>
    <s v="B2"/>
    <n v="85"/>
    <x v="1"/>
    <x v="1"/>
    <x v="1"/>
  </r>
  <r>
    <n v="62"/>
    <s v="B2"/>
    <x v="1"/>
    <s v="A2"/>
    <n v="82"/>
    <x v="1"/>
    <x v="0"/>
    <x v="0"/>
  </r>
  <r>
    <n v="80"/>
    <s v="B1"/>
    <x v="8"/>
    <s v="B2"/>
    <n v="85"/>
    <x v="0"/>
    <x v="1"/>
    <x v="0"/>
  </r>
  <r>
    <n v="80"/>
    <s v="B1"/>
    <x v="8"/>
    <s v="B2"/>
    <n v="85"/>
    <x v="0"/>
    <x v="1"/>
    <x v="0"/>
  </r>
  <r>
    <n v="92"/>
    <s v="A1"/>
    <x v="1"/>
    <s v="A2"/>
    <n v="78"/>
    <x v="2"/>
    <x v="0"/>
    <x v="1"/>
  </r>
  <r>
    <n v="88"/>
    <s v="A2"/>
    <x v="5"/>
    <s v="A2"/>
    <n v="70"/>
    <x v="0"/>
    <x v="0"/>
    <x v="1"/>
  </r>
  <r>
    <n v="72"/>
    <s v="B1"/>
    <x v="6"/>
    <s v="C1"/>
    <n v="85"/>
    <x v="1"/>
    <x v="2"/>
    <x v="0"/>
  </r>
  <r>
    <n v="72"/>
    <s v="B1"/>
    <x v="10"/>
    <s v="B1"/>
    <n v="85"/>
    <x v="1"/>
    <x v="0"/>
    <x v="0"/>
  </r>
  <r>
    <n v="80"/>
    <s v="B1"/>
    <x v="4"/>
    <s v="A2"/>
    <n v="85"/>
    <x v="0"/>
    <x v="0"/>
    <x v="1"/>
  </r>
  <r>
    <n v="92"/>
    <s v="A1"/>
    <x v="4"/>
    <s v="A2"/>
    <n v="85.510416666666671"/>
    <x v="2"/>
    <x v="0"/>
    <x v="0"/>
  </r>
  <r>
    <n v="62"/>
    <s v="B2"/>
    <x v="5"/>
    <s v="A2"/>
    <n v="90"/>
    <x v="1"/>
    <x v="0"/>
    <x v="0"/>
  </r>
  <r>
    <n v="90"/>
    <s v="A2"/>
    <x v="7"/>
    <s v="B1"/>
    <n v="85"/>
    <x v="0"/>
    <x v="0"/>
    <x v="1"/>
  </r>
  <r>
    <n v="87"/>
    <s v="A2"/>
    <x v="4"/>
    <s v="A2"/>
    <n v="90"/>
    <x v="0"/>
    <x v="0"/>
    <x v="1"/>
  </r>
  <r>
    <n v="85"/>
    <s v="A2"/>
    <x v="10"/>
    <s v="B1"/>
    <n v="95"/>
    <x v="0"/>
    <x v="0"/>
    <x v="1"/>
  </r>
  <r>
    <n v="72"/>
    <s v="B1"/>
    <x v="6"/>
    <s v="C1"/>
    <n v="90"/>
    <x v="1"/>
    <x v="2"/>
    <x v="0"/>
  </r>
  <r>
    <n v="62"/>
    <s v="B2"/>
    <x v="9"/>
    <s v="A2"/>
    <n v="82"/>
    <x v="1"/>
    <x v="0"/>
    <x v="1"/>
  </r>
  <r>
    <n v="68"/>
    <s v="B2"/>
    <x v="2"/>
    <s v="B2"/>
    <n v="91"/>
    <x v="1"/>
    <x v="1"/>
    <x v="0"/>
  </r>
  <r>
    <n v="78"/>
    <s v="B1"/>
    <x v="4"/>
    <s v="A2"/>
    <n v="78"/>
    <x v="0"/>
    <x v="0"/>
    <x v="0"/>
  </r>
  <r>
    <n v="68"/>
    <s v="B2"/>
    <x v="3"/>
    <s v="A2"/>
    <n v="91"/>
    <x v="1"/>
    <x v="0"/>
    <x v="1"/>
  </r>
  <r>
    <n v="85"/>
    <s v="A2"/>
    <x v="6"/>
    <s v="C1"/>
    <n v="85"/>
    <x v="0"/>
    <x v="2"/>
    <x v="1"/>
  </r>
  <r>
    <n v="78"/>
    <s v="B1"/>
    <x v="5"/>
    <s v="A2"/>
    <n v="78"/>
    <x v="0"/>
    <x v="0"/>
    <x v="1"/>
  </r>
  <r>
    <n v="92"/>
    <s v="A1"/>
    <x v="5"/>
    <s v="A2"/>
    <n v="88"/>
    <x v="2"/>
    <x v="0"/>
    <x v="1"/>
  </r>
  <r>
    <n v="80.030208333333334"/>
    <s v="A2"/>
    <x v="4"/>
    <s v="A2"/>
    <n v="92"/>
    <x v="0"/>
    <x v="0"/>
    <x v="1"/>
  </r>
  <r>
    <n v="78"/>
    <s v="B1"/>
    <x v="1"/>
    <s v="A2"/>
    <n v="70"/>
    <x v="0"/>
    <x v="0"/>
    <x v="0"/>
  </r>
  <r>
    <n v="92"/>
    <s v="A1"/>
    <x v="9"/>
    <s v="A2"/>
    <n v="95"/>
    <x v="2"/>
    <x v="0"/>
    <x v="0"/>
  </r>
  <r>
    <n v="85"/>
    <s v="A2"/>
    <x v="1"/>
    <s v="A2"/>
    <n v="95"/>
    <x v="0"/>
    <x v="0"/>
    <x v="1"/>
  </r>
  <r>
    <n v="90"/>
    <s v="A2"/>
    <x v="9"/>
    <s v="A2"/>
    <n v="70"/>
    <x v="0"/>
    <x v="0"/>
    <x v="1"/>
  </r>
  <r>
    <n v="90"/>
    <s v="A2"/>
    <x v="2"/>
    <s v="B2"/>
    <n v="90"/>
    <x v="0"/>
    <x v="1"/>
    <x v="1"/>
  </r>
  <r>
    <n v="85"/>
    <s v="A2"/>
    <x v="7"/>
    <s v="B1"/>
    <n v="90"/>
    <x v="0"/>
    <x v="0"/>
    <x v="1"/>
  </r>
  <r>
    <n v="72"/>
    <s v="B1"/>
    <x v="3"/>
    <s v="A2"/>
    <n v="90"/>
    <x v="1"/>
    <x v="0"/>
    <x v="1"/>
  </r>
  <r>
    <n v="80"/>
    <s v="B1"/>
    <x v="2"/>
    <s v="B2"/>
    <n v="70"/>
    <x v="0"/>
    <x v="1"/>
    <x v="0"/>
  </r>
  <r>
    <n v="87"/>
    <s v="A2"/>
    <x v="3"/>
    <s v="A2"/>
    <n v="85"/>
    <x v="0"/>
    <x v="0"/>
    <x v="1"/>
  </r>
  <r>
    <n v="78"/>
    <s v="B1"/>
    <x v="1"/>
    <s v="A2"/>
    <n v="85.510416666666671"/>
    <x v="0"/>
    <x v="0"/>
    <x v="1"/>
  </r>
  <r>
    <n v="88"/>
    <s v="A2"/>
    <x v="5"/>
    <s v="A2"/>
    <n v="91"/>
    <x v="0"/>
    <x v="0"/>
    <x v="1"/>
  </r>
  <r>
    <n v="68"/>
    <s v="B2"/>
    <x v="3"/>
    <s v="A2"/>
    <n v="95"/>
    <x v="1"/>
    <x v="0"/>
    <x v="0"/>
  </r>
  <r>
    <n v="72"/>
    <s v="B1"/>
    <x v="6"/>
    <s v="C1"/>
    <n v="91"/>
    <x v="1"/>
    <x v="2"/>
    <x v="0"/>
  </r>
  <r>
    <n v="88"/>
    <s v="A2"/>
    <x v="2"/>
    <s v="B2"/>
    <n v="85.510416666666671"/>
    <x v="0"/>
    <x v="1"/>
    <x v="1"/>
  </r>
  <r>
    <n v="78"/>
    <s v="B1"/>
    <x v="8"/>
    <s v="B2"/>
    <n v="92"/>
    <x v="0"/>
    <x v="1"/>
    <x v="0"/>
  </r>
  <r>
    <n v="85"/>
    <s v="A2"/>
    <x v="9"/>
    <s v="A2"/>
    <n v="78"/>
    <x v="0"/>
    <x v="0"/>
    <x v="1"/>
  </r>
  <r>
    <n v="88"/>
    <s v="A2"/>
    <x v="8"/>
    <s v="B2"/>
    <n v="91"/>
    <x v="0"/>
    <x v="1"/>
    <x v="1"/>
  </r>
  <r>
    <n v="92"/>
    <s v="A1"/>
    <x v="3"/>
    <s v="A2"/>
    <n v="85"/>
    <x v="2"/>
    <x v="0"/>
    <x v="0"/>
  </r>
  <r>
    <n v="88"/>
    <s v="A2"/>
    <x v="1"/>
    <s v="A2"/>
    <n v="90"/>
    <x v="0"/>
    <x v="0"/>
    <x v="1"/>
  </r>
  <r>
    <n v="72"/>
    <s v="B1"/>
    <x v="0"/>
    <s v="B1"/>
    <n v="92"/>
    <x v="1"/>
    <x v="0"/>
    <x v="0"/>
  </r>
  <r>
    <n v="87"/>
    <s v="A2"/>
    <x v="4"/>
    <s v="A2"/>
    <n v="88"/>
    <x v="0"/>
    <x v="0"/>
    <x v="1"/>
  </r>
  <r>
    <n v="90"/>
    <s v="A2"/>
    <x v="3"/>
    <s v="A2"/>
    <n v="78"/>
    <x v="0"/>
    <x v="0"/>
    <x v="1"/>
  </r>
  <r>
    <n v="87"/>
    <s v="A2"/>
    <x v="6"/>
    <s v="C1"/>
    <n v="91"/>
    <x v="0"/>
    <x v="2"/>
    <x v="0"/>
  </r>
  <r>
    <n v="80"/>
    <s v="B1"/>
    <x v="7"/>
    <s v="B1"/>
    <n v="95"/>
    <x v="0"/>
    <x v="0"/>
    <x v="1"/>
  </r>
  <r>
    <n v="92"/>
    <s v="A1"/>
    <x v="6"/>
    <s v="C1"/>
    <n v="90"/>
    <x v="2"/>
    <x v="2"/>
    <x v="1"/>
  </r>
  <r>
    <n v="87"/>
    <s v="A2"/>
    <x v="5"/>
    <s v="A2"/>
    <n v="91"/>
    <x v="0"/>
    <x v="0"/>
    <x v="0"/>
  </r>
  <r>
    <n v="68"/>
    <s v="B2"/>
    <x v="0"/>
    <s v="B1"/>
    <n v="85"/>
    <x v="1"/>
    <x v="0"/>
    <x v="0"/>
  </r>
  <r>
    <n v="68"/>
    <s v="B2"/>
    <x v="1"/>
    <s v="A2"/>
    <n v="95"/>
    <x v="1"/>
    <x v="0"/>
    <x v="0"/>
  </r>
  <r>
    <n v="87"/>
    <s v="A2"/>
    <x v="0"/>
    <s v="B1"/>
    <n v="90"/>
    <x v="0"/>
    <x v="0"/>
    <x v="1"/>
  </r>
  <r>
    <n v="87"/>
    <s v="A2"/>
    <x v="6"/>
    <s v="C1"/>
    <n v="85.510416666666671"/>
    <x v="0"/>
    <x v="2"/>
    <x v="0"/>
  </r>
  <r>
    <n v="68"/>
    <s v="B2"/>
    <x v="2"/>
    <s v="B2"/>
    <n v="95"/>
    <x v="1"/>
    <x v="1"/>
    <x v="1"/>
  </r>
  <r>
    <n v="78"/>
    <s v="B1"/>
    <x v="2"/>
    <s v="B2"/>
    <n v="95"/>
    <x v="0"/>
    <x v="1"/>
    <x v="1"/>
  </r>
  <r>
    <n v="68"/>
    <s v="B2"/>
    <x v="5"/>
    <s v="A2"/>
    <n v="91"/>
    <x v="1"/>
    <x v="0"/>
    <x v="0"/>
  </r>
  <r>
    <n v="72"/>
    <s v="B1"/>
    <x v="3"/>
    <s v="A2"/>
    <n v="85"/>
    <x v="1"/>
    <x v="0"/>
    <x v="1"/>
  </r>
  <r>
    <n v="88"/>
    <s v="A2"/>
    <x v="1"/>
    <s v="A2"/>
    <n v="85"/>
    <x v="0"/>
    <x v="0"/>
    <x v="0"/>
  </r>
  <r>
    <n v="68"/>
    <s v="B2"/>
    <x v="6"/>
    <s v="C1"/>
    <n v="70"/>
    <x v="1"/>
    <x v="2"/>
    <x v="2"/>
  </r>
  <r>
    <n v="62"/>
    <s v="B2"/>
    <x v="3"/>
    <s v="A2"/>
    <n v="85"/>
    <x v="1"/>
    <x v="0"/>
    <x v="0"/>
  </r>
  <r>
    <n v="85"/>
    <s v="A2"/>
    <x v="8"/>
    <s v="B2"/>
    <n v="90"/>
    <x v="0"/>
    <x v="1"/>
    <x v="1"/>
  </r>
  <r>
    <n v="62"/>
    <s v="B2"/>
    <x v="1"/>
    <s v="A2"/>
    <n v="70"/>
    <x v="1"/>
    <x v="0"/>
    <x v="1"/>
  </r>
  <r>
    <n v="80"/>
    <s v="B1"/>
    <x v="7"/>
    <s v="B1"/>
    <n v="70"/>
    <x v="0"/>
    <x v="0"/>
    <x v="0"/>
  </r>
  <r>
    <n v="72"/>
    <s v="B1"/>
    <x v="2"/>
    <s v="B2"/>
    <n v="78"/>
    <x v="1"/>
    <x v="1"/>
    <x v="0"/>
  </r>
  <r>
    <n v="62"/>
    <s v="B2"/>
    <x v="1"/>
    <s v="A2"/>
    <n v="78"/>
    <x v="1"/>
    <x v="0"/>
    <x v="1"/>
  </r>
  <r>
    <n v="88"/>
    <s v="A2"/>
    <x v="5"/>
    <s v="A2"/>
    <n v="85"/>
    <x v="0"/>
    <x v="0"/>
    <x v="1"/>
  </r>
  <r>
    <n v="92"/>
    <s v="A1"/>
    <x v="10"/>
    <s v="B1"/>
    <n v="92"/>
    <x v="2"/>
    <x v="0"/>
    <x v="0"/>
  </r>
  <r>
    <n v="92"/>
    <s v="A1"/>
    <x v="6"/>
    <s v="C1"/>
    <n v="85"/>
    <x v="2"/>
    <x v="2"/>
    <x v="0"/>
  </r>
  <r>
    <n v="80"/>
    <s v="B1"/>
    <x v="1"/>
    <s v="A2"/>
    <n v="91"/>
    <x v="0"/>
    <x v="0"/>
    <x v="0"/>
  </r>
  <r>
    <n v="72"/>
    <s v="B1"/>
    <x v="4"/>
    <s v="A2"/>
    <n v="85"/>
    <x v="1"/>
    <x v="0"/>
    <x v="0"/>
  </r>
  <r>
    <n v="78"/>
    <s v="B1"/>
    <x v="7"/>
    <s v="B1"/>
    <n v="91"/>
    <x v="0"/>
    <x v="0"/>
    <x v="1"/>
  </r>
  <r>
    <n v="72"/>
    <s v="B1"/>
    <x v="6"/>
    <s v="C1"/>
    <n v="78"/>
    <x v="1"/>
    <x v="2"/>
    <x v="0"/>
  </r>
  <r>
    <n v="92"/>
    <s v="A1"/>
    <x v="1"/>
    <s v="A2"/>
    <n v="70"/>
    <x v="2"/>
    <x v="0"/>
    <x v="0"/>
  </r>
  <r>
    <n v="90"/>
    <s v="A2"/>
    <x v="8"/>
    <s v="B2"/>
    <n v="85"/>
    <x v="0"/>
    <x v="1"/>
    <x v="0"/>
  </r>
  <r>
    <n v="62"/>
    <s v="B2"/>
    <x v="9"/>
    <s v="A2"/>
    <n v="70"/>
    <x v="1"/>
    <x v="0"/>
    <x v="0"/>
  </r>
  <r>
    <n v="85"/>
    <s v="A2"/>
    <x v="5"/>
    <s v="A2"/>
    <n v="95"/>
    <x v="0"/>
    <x v="0"/>
    <x v="1"/>
  </r>
  <r>
    <n v="62"/>
    <s v="B2"/>
    <x v="7"/>
    <s v="B1"/>
    <n v="85.510416666666671"/>
    <x v="1"/>
    <x v="0"/>
    <x v="0"/>
  </r>
  <r>
    <n v="85"/>
    <s v="A2"/>
    <x v="1"/>
    <s v="A2"/>
    <n v="85"/>
    <x v="0"/>
    <x v="0"/>
    <x v="1"/>
  </r>
  <r>
    <n v="72"/>
    <s v="B1"/>
    <x v="3"/>
    <s v="A2"/>
    <n v="78"/>
    <x v="1"/>
    <x v="0"/>
    <x v="1"/>
  </r>
  <r>
    <n v="87"/>
    <s v="A2"/>
    <x v="8"/>
    <s v="B2"/>
    <n v="70"/>
    <x v="0"/>
    <x v="1"/>
    <x v="0"/>
  </r>
  <r>
    <n v="90"/>
    <s v="A2"/>
    <x v="2"/>
    <s v="B2"/>
    <n v="85"/>
    <x v="0"/>
    <x v="1"/>
    <x v="0"/>
  </r>
  <r>
    <n v="87"/>
    <s v="A2"/>
    <x v="3"/>
    <s v="A2"/>
    <n v="85"/>
    <x v="0"/>
    <x v="0"/>
    <x v="0"/>
  </r>
  <r>
    <n v="62"/>
    <s v="B2"/>
    <x v="9"/>
    <s v="A2"/>
    <n v="85"/>
    <x v="1"/>
    <x v="0"/>
    <x v="1"/>
  </r>
  <r>
    <n v="68"/>
    <s v="B2"/>
    <x v="4"/>
    <s v="A2"/>
    <n v="92"/>
    <x v="1"/>
    <x v="0"/>
    <x v="1"/>
  </r>
  <r>
    <n v="85"/>
    <s v="A2"/>
    <x v="7"/>
    <s v="B1"/>
    <n v="70"/>
    <x v="0"/>
    <x v="0"/>
    <x v="1"/>
  </r>
  <r>
    <n v="72"/>
    <s v="B1"/>
    <x v="6"/>
    <s v="C1"/>
    <n v="82"/>
    <x v="1"/>
    <x v="2"/>
    <x v="0"/>
  </r>
  <r>
    <n v="80"/>
    <s v="B1"/>
    <x v="5"/>
    <s v="A2"/>
    <n v="78"/>
    <x v="0"/>
    <x v="0"/>
    <x v="1"/>
  </r>
  <r>
    <n v="87"/>
    <s v="A2"/>
    <x v="9"/>
    <s v="A2"/>
    <n v="85.510416666666671"/>
    <x v="0"/>
    <x v="0"/>
    <x v="1"/>
  </r>
  <r>
    <n v="68"/>
    <s v="B2"/>
    <x v="6"/>
    <s v="C1"/>
    <n v="92"/>
    <x v="1"/>
    <x v="2"/>
    <x v="0"/>
  </r>
  <r>
    <n v="78"/>
    <s v="B1"/>
    <x v="2"/>
    <s v="B2"/>
    <n v="91"/>
    <x v="0"/>
    <x v="1"/>
    <x v="1"/>
  </r>
  <r>
    <n v="72"/>
    <s v="B1"/>
    <x v="9"/>
    <s v="A2"/>
    <n v="85"/>
    <x v="1"/>
    <x v="0"/>
    <x v="0"/>
  </r>
  <r>
    <n v="88"/>
    <s v="A2"/>
    <x v="0"/>
    <s v="B1"/>
    <n v="78"/>
    <x v="0"/>
    <x v="0"/>
    <x v="1"/>
  </r>
  <r>
    <n v="90"/>
    <s v="A2"/>
    <x v="6"/>
    <s v="C1"/>
    <n v="90"/>
    <x v="0"/>
    <x v="2"/>
    <x v="1"/>
  </r>
  <r>
    <n v="92"/>
    <s v="A1"/>
    <x v="8"/>
    <s v="B2"/>
    <n v="95"/>
    <x v="2"/>
    <x v="1"/>
    <x v="1"/>
  </r>
  <r>
    <n v="88"/>
    <s v="A2"/>
    <x v="0"/>
    <s v="B1"/>
    <n v="78"/>
    <x v="0"/>
    <x v="0"/>
    <x v="1"/>
  </r>
  <r>
    <n v="90"/>
    <s v="A2"/>
    <x v="5"/>
    <s v="A2"/>
    <n v="85"/>
    <x v="0"/>
    <x v="0"/>
    <x v="0"/>
  </r>
  <r>
    <n v="87"/>
    <s v="A2"/>
    <x v="3"/>
    <s v="A2"/>
    <n v="85"/>
    <x v="0"/>
    <x v="0"/>
    <x v="1"/>
  </r>
  <r>
    <n v="80.030208333333334"/>
    <s v="A2"/>
    <x v="6"/>
    <s v="C1"/>
    <n v="70"/>
    <x v="0"/>
    <x v="2"/>
    <x v="0"/>
  </r>
  <r>
    <n v="80"/>
    <s v="B1"/>
    <x v="2"/>
    <s v="B2"/>
    <n v="91"/>
    <x v="0"/>
    <x v="1"/>
    <x v="1"/>
  </r>
  <r>
    <n v="87"/>
    <s v="A2"/>
    <x v="6"/>
    <s v="C1"/>
    <n v="95"/>
    <x v="0"/>
    <x v="2"/>
    <x v="0"/>
  </r>
  <r>
    <n v="80"/>
    <s v="B1"/>
    <x v="9"/>
    <s v="A2"/>
    <n v="70"/>
    <x v="0"/>
    <x v="0"/>
    <x v="0"/>
  </r>
  <r>
    <n v="62"/>
    <s v="B2"/>
    <x v="3"/>
    <s v="A2"/>
    <n v="88"/>
    <x v="1"/>
    <x v="0"/>
    <x v="1"/>
  </r>
  <r>
    <n v="88"/>
    <s v="A2"/>
    <x v="1"/>
    <s v="A2"/>
    <n v="85"/>
    <x v="0"/>
    <x v="0"/>
    <x v="1"/>
  </r>
  <r>
    <n v="62"/>
    <s v="B2"/>
    <x v="7"/>
    <s v="B1"/>
    <n v="88"/>
    <x v="1"/>
    <x v="0"/>
    <x v="0"/>
  </r>
  <r>
    <n v="78"/>
    <s v="B1"/>
    <x v="6"/>
    <s v="C1"/>
    <n v="78"/>
    <x v="0"/>
    <x v="2"/>
    <x v="1"/>
  </r>
  <r>
    <n v="87"/>
    <s v="A2"/>
    <x v="0"/>
    <s v="B1"/>
    <n v="85.510416666666671"/>
    <x v="0"/>
    <x v="0"/>
    <x v="0"/>
  </r>
  <r>
    <n v="78"/>
    <s v="B1"/>
    <x v="6"/>
    <s v="C1"/>
    <n v="70"/>
    <x v="0"/>
    <x v="2"/>
    <x v="0"/>
  </r>
  <r>
    <n v="88"/>
    <s v="A2"/>
    <x v="8"/>
    <s v="B2"/>
    <n v="70"/>
    <x v="0"/>
    <x v="1"/>
    <x v="0"/>
  </r>
  <r>
    <n v="80"/>
    <s v="B1"/>
    <x v="3"/>
    <s v="A2"/>
    <n v="78"/>
    <x v="0"/>
    <x v="0"/>
    <x v="1"/>
  </r>
  <r>
    <n v="62"/>
    <s v="B2"/>
    <x v="5"/>
    <s v="A2"/>
    <n v="91"/>
    <x v="1"/>
    <x v="0"/>
    <x v="0"/>
  </r>
  <r>
    <n v="87"/>
    <s v="A2"/>
    <x v="9"/>
    <s v="A2"/>
    <n v="85"/>
    <x v="0"/>
    <x v="0"/>
    <x v="1"/>
  </r>
  <r>
    <n v="62"/>
    <s v="B2"/>
    <x v="5"/>
    <s v="A2"/>
    <n v="88"/>
    <x v="1"/>
    <x v="0"/>
    <x v="0"/>
  </r>
  <r>
    <n v="62"/>
    <s v="B2"/>
    <x v="2"/>
    <s v="B2"/>
    <n v="88"/>
    <x v="1"/>
    <x v="1"/>
    <x v="0"/>
  </r>
  <r>
    <n v="80.030208333333334"/>
    <s v="A2"/>
    <x v="0"/>
    <s v="B1"/>
    <n v="88"/>
    <x v="0"/>
    <x v="0"/>
    <x v="1"/>
  </r>
  <r>
    <n v="62"/>
    <s v="B2"/>
    <x v="5"/>
    <s v="A2"/>
    <n v="88"/>
    <x v="1"/>
    <x v="0"/>
    <x v="0"/>
  </r>
  <r>
    <n v="72"/>
    <s v="B1"/>
    <x v="8"/>
    <s v="B2"/>
    <n v="70"/>
    <x v="1"/>
    <x v="1"/>
    <x v="0"/>
  </r>
  <r>
    <n v="92"/>
    <s v="A1"/>
    <x v="9"/>
    <s v="A2"/>
    <n v="78"/>
    <x v="2"/>
    <x v="0"/>
    <x v="1"/>
  </r>
  <r>
    <n v="80.030208333333334"/>
    <s v="A2"/>
    <x v="5"/>
    <s v="A2"/>
    <n v="85"/>
    <x v="0"/>
    <x v="0"/>
    <x v="0"/>
  </r>
  <r>
    <n v="68"/>
    <s v="B2"/>
    <x v="7"/>
    <s v="B1"/>
    <n v="92"/>
    <x v="1"/>
    <x v="0"/>
    <x v="0"/>
  </r>
  <r>
    <n v="80"/>
    <s v="B1"/>
    <x v="4"/>
    <s v="A2"/>
    <n v="88"/>
    <x v="0"/>
    <x v="0"/>
    <x v="0"/>
  </r>
  <r>
    <n v="80"/>
    <s v="B1"/>
    <x v="6"/>
    <s v="C1"/>
    <n v="92"/>
    <x v="0"/>
    <x v="2"/>
    <x v="0"/>
  </r>
  <r>
    <n v="62"/>
    <s v="B2"/>
    <x v="4"/>
    <s v="A2"/>
    <n v="88"/>
    <x v="1"/>
    <x v="0"/>
    <x v="2"/>
  </r>
  <r>
    <n v="87"/>
    <s v="A2"/>
    <x v="9"/>
    <s v="A2"/>
    <n v="88"/>
    <x v="0"/>
    <x v="0"/>
    <x v="1"/>
  </r>
  <r>
    <n v="90"/>
    <s v="A2"/>
    <x v="1"/>
    <s v="A2"/>
    <n v="90"/>
    <x v="0"/>
    <x v="0"/>
    <x v="1"/>
  </r>
  <r>
    <n v="90"/>
    <s v="A2"/>
    <x v="0"/>
    <s v="B1"/>
    <n v="82"/>
    <x v="0"/>
    <x v="0"/>
    <x v="0"/>
  </r>
  <r>
    <n v="80"/>
    <s v="B1"/>
    <x v="6"/>
    <s v="C1"/>
    <n v="88"/>
    <x v="0"/>
    <x v="2"/>
    <x v="1"/>
  </r>
  <r>
    <n v="68"/>
    <s v="B2"/>
    <x v="5"/>
    <s v="A2"/>
    <n v="82"/>
    <x v="1"/>
    <x v="0"/>
    <x v="0"/>
  </r>
  <r>
    <n v="90"/>
    <s v="A2"/>
    <x v="4"/>
    <s v="A2"/>
    <n v="85"/>
    <x v="0"/>
    <x v="0"/>
    <x v="0"/>
  </r>
  <r>
    <n v="85"/>
    <s v="A2"/>
    <x v="10"/>
    <s v="B1"/>
    <n v="70"/>
    <x v="0"/>
    <x v="0"/>
    <x v="1"/>
  </r>
  <r>
    <n v="62"/>
    <s v="B2"/>
    <x v="8"/>
    <s v="B2"/>
    <n v="85"/>
    <x v="1"/>
    <x v="1"/>
    <x v="0"/>
  </r>
  <r>
    <n v="68"/>
    <s v="B2"/>
    <x v="6"/>
    <s v="C1"/>
    <n v="92"/>
    <x v="1"/>
    <x v="2"/>
    <x v="0"/>
  </r>
  <r>
    <n v="78"/>
    <s v="B1"/>
    <x v="5"/>
    <s v="A2"/>
    <n v="95"/>
    <x v="0"/>
    <x v="0"/>
    <x v="1"/>
  </r>
  <r>
    <n v="62"/>
    <s v="B2"/>
    <x v="9"/>
    <s v="A2"/>
    <n v="90"/>
    <x v="1"/>
    <x v="0"/>
    <x v="1"/>
  </r>
  <r>
    <n v="72"/>
    <s v="B1"/>
    <x v="5"/>
    <s v="A2"/>
    <n v="82"/>
    <x v="1"/>
    <x v="0"/>
    <x v="0"/>
  </r>
  <r>
    <n v="72"/>
    <s v="B1"/>
    <x v="2"/>
    <s v="B2"/>
    <n v="95"/>
    <x v="1"/>
    <x v="1"/>
    <x v="0"/>
  </r>
  <r>
    <n v="80.030208333333334"/>
    <s v="A2"/>
    <x v="8"/>
    <s v="B2"/>
    <n v="88"/>
    <x v="0"/>
    <x v="1"/>
    <x v="1"/>
  </r>
  <r>
    <n v="92"/>
    <s v="A1"/>
    <x v="2"/>
    <s v="B2"/>
    <n v="95"/>
    <x v="2"/>
    <x v="1"/>
    <x v="1"/>
  </r>
  <r>
    <n v="85"/>
    <s v="A2"/>
    <x v="0"/>
    <s v="B1"/>
    <n v="90"/>
    <x v="0"/>
    <x v="0"/>
    <x v="0"/>
  </r>
  <r>
    <n v="62"/>
    <s v="B2"/>
    <x v="1"/>
    <s v="A2"/>
    <n v="85"/>
    <x v="1"/>
    <x v="0"/>
    <x v="0"/>
  </r>
  <r>
    <n v="72"/>
    <s v="B1"/>
    <x v="6"/>
    <s v="C1"/>
    <n v="85"/>
    <x v="1"/>
    <x v="2"/>
    <x v="0"/>
  </r>
  <r>
    <n v="87"/>
    <s v="A2"/>
    <x v="1"/>
    <s v="A2"/>
    <n v="82"/>
    <x v="0"/>
    <x v="0"/>
    <x v="0"/>
  </r>
  <r>
    <n v="72"/>
    <s v="B1"/>
    <x v="4"/>
    <s v="A2"/>
    <n v="95"/>
    <x v="1"/>
    <x v="0"/>
    <x v="0"/>
  </r>
  <r>
    <n v="78"/>
    <s v="B1"/>
    <x v="1"/>
    <s v="A2"/>
    <n v="85"/>
    <x v="0"/>
    <x v="0"/>
    <x v="0"/>
  </r>
  <r>
    <n v="80"/>
    <s v="B1"/>
    <x v="4"/>
    <s v="A2"/>
    <n v="92"/>
    <x v="0"/>
    <x v="0"/>
    <x v="1"/>
  </r>
  <r>
    <n v="80"/>
    <s v="B1"/>
    <x v="1"/>
    <s v="A2"/>
    <n v="95"/>
    <x v="0"/>
    <x v="0"/>
    <x v="1"/>
  </r>
  <r>
    <n v="90"/>
    <s v="A2"/>
    <x v="4"/>
    <s v="A2"/>
    <n v="85.510416666666671"/>
    <x v="0"/>
    <x v="0"/>
    <x v="1"/>
  </r>
  <r>
    <n v="68"/>
    <s v="B2"/>
    <x v="6"/>
    <s v="C1"/>
    <n v="70"/>
    <x v="1"/>
    <x v="2"/>
    <x v="1"/>
  </r>
  <r>
    <n v="88"/>
    <s v="A2"/>
    <x v="9"/>
    <s v="A2"/>
    <n v="91"/>
    <x v="0"/>
    <x v="0"/>
    <x v="1"/>
  </r>
  <r>
    <n v="87"/>
    <s v="A2"/>
    <x v="6"/>
    <s v="C1"/>
    <n v="85"/>
    <x v="0"/>
    <x v="2"/>
    <x v="1"/>
  </r>
  <r>
    <n v="62"/>
    <s v="B2"/>
    <x v="8"/>
    <s v="B2"/>
    <n v="95"/>
    <x v="1"/>
    <x v="1"/>
    <x v="0"/>
  </r>
  <r>
    <n v="68"/>
    <s v="B2"/>
    <x v="9"/>
    <s v="A2"/>
    <n v="78"/>
    <x v="1"/>
    <x v="0"/>
    <x v="1"/>
  </r>
  <r>
    <n v="80"/>
    <s v="B1"/>
    <x v="3"/>
    <s v="A2"/>
    <n v="85"/>
    <x v="0"/>
    <x v="0"/>
    <x v="0"/>
  </r>
  <r>
    <n v="87"/>
    <s v="A2"/>
    <x v="7"/>
    <s v="B1"/>
    <n v="90"/>
    <x v="0"/>
    <x v="0"/>
    <x v="2"/>
  </r>
  <r>
    <n v="72"/>
    <s v="B1"/>
    <x v="10"/>
    <s v="B1"/>
    <n v="85"/>
    <x v="1"/>
    <x v="0"/>
    <x v="1"/>
  </r>
  <r>
    <n v="78"/>
    <s v="B1"/>
    <x v="5"/>
    <s v="A2"/>
    <n v="85"/>
    <x v="0"/>
    <x v="0"/>
    <x v="0"/>
  </r>
  <r>
    <n v="90"/>
    <s v="A2"/>
    <x v="3"/>
    <s v="A2"/>
    <n v="90"/>
    <x v="0"/>
    <x v="0"/>
    <x v="1"/>
  </r>
  <r>
    <n v="85"/>
    <s v="A2"/>
    <x v="2"/>
    <s v="B2"/>
    <n v="78"/>
    <x v="0"/>
    <x v="1"/>
    <x v="0"/>
  </r>
  <r>
    <n v="80"/>
    <s v="B1"/>
    <x v="5"/>
    <s v="A2"/>
    <n v="85"/>
    <x v="0"/>
    <x v="0"/>
    <x v="0"/>
  </r>
  <r>
    <n v="72"/>
    <s v="B1"/>
    <x v="2"/>
    <s v="B2"/>
    <n v="91"/>
    <x v="1"/>
    <x v="1"/>
    <x v="1"/>
  </r>
  <r>
    <n v="88"/>
    <s v="A2"/>
    <x v="2"/>
    <s v="B2"/>
    <n v="91"/>
    <x v="0"/>
    <x v="1"/>
    <x v="0"/>
  </r>
  <r>
    <n v="68"/>
    <s v="B2"/>
    <x v="5"/>
    <s v="A2"/>
    <n v="88"/>
    <x v="1"/>
    <x v="0"/>
    <x v="0"/>
  </r>
  <r>
    <n v="85"/>
    <s v="A2"/>
    <x v="3"/>
    <s v="A2"/>
    <n v="82"/>
    <x v="0"/>
    <x v="0"/>
    <x v="1"/>
  </r>
  <r>
    <n v="88"/>
    <s v="A2"/>
    <x v="8"/>
    <s v="B2"/>
    <n v="90"/>
    <x v="0"/>
    <x v="1"/>
    <x v="1"/>
  </r>
  <r>
    <n v="62"/>
    <s v="B2"/>
    <x v="8"/>
    <s v="B2"/>
    <n v="70"/>
    <x v="1"/>
    <x v="1"/>
    <x v="1"/>
  </r>
  <r>
    <n v="85"/>
    <s v="A2"/>
    <x v="4"/>
    <s v="A2"/>
    <n v="78"/>
    <x v="0"/>
    <x v="0"/>
    <x v="1"/>
  </r>
  <r>
    <n v="72"/>
    <s v="B1"/>
    <x v="8"/>
    <s v="B2"/>
    <n v="90"/>
    <x v="1"/>
    <x v="1"/>
    <x v="1"/>
  </r>
  <r>
    <n v="80"/>
    <s v="B1"/>
    <x v="5"/>
    <s v="A2"/>
    <n v="70"/>
    <x v="0"/>
    <x v="0"/>
    <x v="1"/>
  </r>
  <r>
    <n v="92"/>
    <s v="A1"/>
    <x v="9"/>
    <s v="A2"/>
    <n v="85.510416666666671"/>
    <x v="2"/>
    <x v="0"/>
    <x v="1"/>
  </r>
  <r>
    <n v="85"/>
    <s v="A2"/>
    <x v="6"/>
    <s v="C1"/>
    <n v="82"/>
    <x v="0"/>
    <x v="2"/>
    <x v="0"/>
  </r>
  <r>
    <n v="90"/>
    <s v="A2"/>
    <x v="2"/>
    <s v="B2"/>
    <n v="95"/>
    <x v="0"/>
    <x v="1"/>
    <x v="0"/>
  </r>
  <r>
    <n v="72"/>
    <s v="B1"/>
    <x v="8"/>
    <s v="B2"/>
    <n v="90"/>
    <x v="1"/>
    <x v="1"/>
    <x v="1"/>
  </r>
  <r>
    <n v="90"/>
    <s v="A2"/>
    <x v="3"/>
    <s v="A2"/>
    <n v="90"/>
    <x v="0"/>
    <x v="0"/>
    <x v="1"/>
  </r>
  <r>
    <n v="92"/>
    <s v="A1"/>
    <x v="1"/>
    <s v="A2"/>
    <n v="82"/>
    <x v="2"/>
    <x v="0"/>
    <x v="1"/>
  </r>
  <r>
    <n v="85"/>
    <s v="A2"/>
    <x v="6"/>
    <s v="C1"/>
    <n v="70"/>
    <x v="0"/>
    <x v="2"/>
    <x v="1"/>
  </r>
  <r>
    <n v="72"/>
    <s v="B1"/>
    <x v="4"/>
    <s v="A2"/>
    <n v="85"/>
    <x v="1"/>
    <x v="0"/>
    <x v="1"/>
  </r>
  <r>
    <n v="92"/>
    <s v="A1"/>
    <x v="3"/>
    <s v="A2"/>
    <n v="90"/>
    <x v="2"/>
    <x v="0"/>
    <x v="0"/>
  </r>
  <r>
    <n v="87"/>
    <s v="A2"/>
    <x v="5"/>
    <s v="A2"/>
    <n v="85"/>
    <x v="0"/>
    <x v="0"/>
    <x v="0"/>
  </r>
  <r>
    <n v="62"/>
    <s v="B2"/>
    <x v="6"/>
    <s v="C1"/>
    <n v="88"/>
    <x v="1"/>
    <x v="2"/>
    <x v="0"/>
  </r>
  <r>
    <n v="87"/>
    <s v="A2"/>
    <x v="9"/>
    <s v="A2"/>
    <n v="91"/>
    <x v="0"/>
    <x v="0"/>
    <x v="0"/>
  </r>
  <r>
    <n v="62"/>
    <s v="B2"/>
    <x v="4"/>
    <s v="A2"/>
    <n v="91"/>
    <x v="1"/>
    <x v="0"/>
    <x v="1"/>
  </r>
  <r>
    <n v="68"/>
    <s v="B2"/>
    <x v="8"/>
    <s v="B2"/>
    <n v="78"/>
    <x v="1"/>
    <x v="1"/>
    <x v="0"/>
  </r>
  <r>
    <n v="62"/>
    <s v="B2"/>
    <x v="0"/>
    <s v="B1"/>
    <n v="90"/>
    <x v="1"/>
    <x v="0"/>
    <x v="0"/>
  </r>
  <r>
    <n v="68"/>
    <s v="B2"/>
    <x v="8"/>
    <s v="B2"/>
    <n v="92"/>
    <x v="1"/>
    <x v="1"/>
    <x v="1"/>
  </r>
  <r>
    <n v="72"/>
    <s v="B1"/>
    <x v="8"/>
    <s v="B2"/>
    <n v="91"/>
    <x v="1"/>
    <x v="1"/>
    <x v="2"/>
  </r>
  <r>
    <n v="68"/>
    <s v="B2"/>
    <x v="7"/>
    <s v="B1"/>
    <n v="92"/>
    <x v="1"/>
    <x v="0"/>
    <x v="2"/>
  </r>
  <r>
    <n v="88"/>
    <s v="A2"/>
    <x v="7"/>
    <s v="B1"/>
    <n v="92"/>
    <x v="0"/>
    <x v="0"/>
    <x v="0"/>
  </r>
  <r>
    <n v="92"/>
    <s v="A1"/>
    <x v="0"/>
    <s v="B1"/>
    <n v="85.510416666666671"/>
    <x v="2"/>
    <x v="0"/>
    <x v="1"/>
  </r>
  <r>
    <n v="90"/>
    <s v="A2"/>
    <x v="7"/>
    <s v="B1"/>
    <n v="78"/>
    <x v="0"/>
    <x v="0"/>
    <x v="1"/>
  </r>
  <r>
    <n v="87"/>
    <s v="A2"/>
    <x v="8"/>
    <s v="B2"/>
    <n v="88"/>
    <x v="0"/>
    <x v="1"/>
    <x v="0"/>
  </r>
  <r>
    <n v="78"/>
    <s v="B1"/>
    <x v="4"/>
    <s v="A2"/>
    <n v="85"/>
    <x v="0"/>
    <x v="0"/>
    <x v="0"/>
  </r>
  <r>
    <n v="72"/>
    <s v="B1"/>
    <x v="2"/>
    <s v="B2"/>
    <n v="91"/>
    <x v="1"/>
    <x v="1"/>
    <x v="0"/>
  </r>
  <r>
    <n v="88"/>
    <s v="A2"/>
    <x v="7"/>
    <s v="B1"/>
    <n v="82"/>
    <x v="0"/>
    <x v="0"/>
    <x v="0"/>
  </r>
  <r>
    <n v="85"/>
    <s v="A2"/>
    <x v="7"/>
    <s v="B1"/>
    <n v="85"/>
    <x v="0"/>
    <x v="0"/>
    <x v="2"/>
  </r>
  <r>
    <n v="90"/>
    <s v="A2"/>
    <x v="7"/>
    <s v="B1"/>
    <n v="70"/>
    <x v="0"/>
    <x v="0"/>
    <x v="1"/>
  </r>
  <r>
    <n v="87"/>
    <s v="A2"/>
    <x v="5"/>
    <s v="A2"/>
    <n v="70"/>
    <x v="0"/>
    <x v="0"/>
    <x v="0"/>
  </r>
  <r>
    <n v="80"/>
    <s v="B1"/>
    <x v="7"/>
    <s v="B1"/>
    <n v="95"/>
    <x v="0"/>
    <x v="0"/>
    <x v="1"/>
  </r>
  <r>
    <n v="68"/>
    <s v="B2"/>
    <x v="4"/>
    <s v="A2"/>
    <n v="90"/>
    <x v="1"/>
    <x v="0"/>
    <x v="0"/>
  </r>
  <r>
    <n v="92"/>
    <s v="A1"/>
    <x v="7"/>
    <s v="B1"/>
    <n v="95"/>
    <x v="2"/>
    <x v="0"/>
    <x v="1"/>
  </r>
  <r>
    <n v="68"/>
    <s v="B2"/>
    <x v="9"/>
    <s v="A2"/>
    <n v="85"/>
    <x v="1"/>
    <x v="0"/>
    <x v="0"/>
  </r>
  <r>
    <n v="88"/>
    <s v="A2"/>
    <x v="8"/>
    <s v="B2"/>
    <n v="88"/>
    <x v="0"/>
    <x v="1"/>
    <x v="0"/>
  </r>
  <r>
    <n v="92"/>
    <s v="A1"/>
    <x v="7"/>
    <s v="B1"/>
    <n v="85"/>
    <x v="2"/>
    <x v="0"/>
    <x v="0"/>
  </r>
  <r>
    <n v="87"/>
    <s v="A2"/>
    <x v="7"/>
    <s v="B1"/>
    <n v="78"/>
    <x v="0"/>
    <x v="0"/>
    <x v="1"/>
  </r>
  <r>
    <n v="88"/>
    <s v="A2"/>
    <x v="8"/>
    <s v="B2"/>
    <n v="92"/>
    <x v="0"/>
    <x v="1"/>
    <x v="0"/>
  </r>
  <r>
    <n v="80"/>
    <s v="B1"/>
    <x v="2"/>
    <s v="B2"/>
    <n v="90"/>
    <x v="0"/>
    <x v="1"/>
    <x v="0"/>
  </r>
  <r>
    <n v="78"/>
    <s v="B1"/>
    <x v="8"/>
    <s v="B2"/>
    <n v="95"/>
    <x v="0"/>
    <x v="1"/>
    <x v="1"/>
  </r>
  <r>
    <n v="85"/>
    <s v="A2"/>
    <x v="7"/>
    <s v="B1"/>
    <n v="78"/>
    <x v="0"/>
    <x v="0"/>
    <x v="1"/>
  </r>
  <r>
    <n v="72"/>
    <s v="B1"/>
    <x v="9"/>
    <s v="A2"/>
    <n v="85"/>
    <x v="1"/>
    <x v="0"/>
    <x v="0"/>
  </r>
  <r>
    <n v="88"/>
    <s v="A2"/>
    <x v="2"/>
    <s v="B2"/>
    <n v="95"/>
    <x v="0"/>
    <x v="1"/>
    <x v="1"/>
  </r>
  <r>
    <n v="78"/>
    <s v="B1"/>
    <x v="6"/>
    <s v="C1"/>
    <n v="70"/>
    <x v="0"/>
    <x v="2"/>
    <x v="1"/>
  </r>
  <r>
    <n v="87"/>
    <s v="A2"/>
    <x v="6"/>
    <s v="C1"/>
    <n v="91"/>
    <x v="0"/>
    <x v="2"/>
    <x v="1"/>
  </r>
  <r>
    <n v="80"/>
    <s v="B1"/>
    <x v="5"/>
    <s v="A2"/>
    <n v="82"/>
    <x v="0"/>
    <x v="0"/>
    <x v="0"/>
  </r>
  <r>
    <n v="85"/>
    <s v="A2"/>
    <x v="6"/>
    <s v="C1"/>
    <n v="85"/>
    <x v="0"/>
    <x v="2"/>
    <x v="0"/>
  </r>
  <r>
    <n v="68"/>
    <s v="B2"/>
    <x v="4"/>
    <s v="A2"/>
    <n v="91"/>
    <x v="1"/>
    <x v="0"/>
    <x v="1"/>
  </r>
  <r>
    <n v="92"/>
    <s v="A1"/>
    <x v="9"/>
    <s v="A2"/>
    <n v="92"/>
    <x v="2"/>
    <x v="0"/>
    <x v="1"/>
  </r>
  <r>
    <n v="90"/>
    <s v="A2"/>
    <x v="1"/>
    <s v="A2"/>
    <n v="85"/>
    <x v="0"/>
    <x v="0"/>
    <x v="0"/>
  </r>
  <r>
    <n v="72"/>
    <s v="B1"/>
    <x v="8"/>
    <s v="B2"/>
    <n v="90"/>
    <x v="1"/>
    <x v="1"/>
    <x v="0"/>
  </r>
  <r>
    <n v="80"/>
    <s v="B1"/>
    <x v="7"/>
    <s v="B1"/>
    <n v="91"/>
    <x v="0"/>
    <x v="0"/>
    <x v="2"/>
  </r>
  <r>
    <n v="88"/>
    <s v="A2"/>
    <x v="8"/>
    <s v="B2"/>
    <n v="95"/>
    <x v="0"/>
    <x v="1"/>
    <x v="1"/>
  </r>
  <r>
    <n v="78"/>
    <s v="B1"/>
    <x v="7"/>
    <s v="B1"/>
    <n v="95"/>
    <x v="0"/>
    <x v="0"/>
    <x v="0"/>
  </r>
  <r>
    <n v="80"/>
    <s v="B1"/>
    <x v="5"/>
    <s v="A2"/>
    <n v="95"/>
    <x v="0"/>
    <x v="0"/>
    <x v="0"/>
  </r>
  <r>
    <n v="78"/>
    <s v="B1"/>
    <x v="1"/>
    <s v="A2"/>
    <n v="70"/>
    <x v="0"/>
    <x v="0"/>
    <x v="0"/>
  </r>
  <r>
    <n v="92"/>
    <s v="A1"/>
    <x v="3"/>
    <s v="A2"/>
    <n v="85"/>
    <x v="2"/>
    <x v="0"/>
    <x v="0"/>
  </r>
  <r>
    <n v="72"/>
    <s v="B1"/>
    <x v="7"/>
    <s v="B1"/>
    <n v="90"/>
    <x v="1"/>
    <x v="0"/>
    <x v="0"/>
  </r>
  <r>
    <n v="85"/>
    <s v="A2"/>
    <x v="7"/>
    <s v="B1"/>
    <n v="91"/>
    <x v="0"/>
    <x v="0"/>
    <x v="1"/>
  </r>
  <r>
    <n v="62"/>
    <s v="B2"/>
    <x v="0"/>
    <s v="B1"/>
    <n v="85"/>
    <x v="1"/>
    <x v="0"/>
    <x v="1"/>
  </r>
  <r>
    <n v="92"/>
    <s v="A1"/>
    <x v="5"/>
    <s v="A2"/>
    <n v="82"/>
    <x v="2"/>
    <x v="0"/>
    <x v="0"/>
  </r>
  <r>
    <n v="78"/>
    <s v="B1"/>
    <x v="10"/>
    <s v="B1"/>
    <n v="78"/>
    <x v="0"/>
    <x v="0"/>
    <x v="1"/>
  </r>
  <r>
    <n v="62"/>
    <s v="B2"/>
    <x v="6"/>
    <s v="C1"/>
    <n v="70"/>
    <x v="1"/>
    <x v="2"/>
    <x v="2"/>
  </r>
  <r>
    <n v="92"/>
    <s v="A1"/>
    <x v="8"/>
    <s v="B2"/>
    <n v="88"/>
    <x v="2"/>
    <x v="1"/>
    <x v="0"/>
  </r>
  <r>
    <n v="72"/>
    <s v="B1"/>
    <x v="7"/>
    <s v="B1"/>
    <n v="78"/>
    <x v="1"/>
    <x v="0"/>
    <x v="0"/>
  </r>
  <r>
    <n v="68"/>
    <s v="B2"/>
    <x v="0"/>
    <s v="B1"/>
    <n v="82"/>
    <x v="1"/>
    <x v="0"/>
    <x v="1"/>
  </r>
  <r>
    <n v="72"/>
    <s v="B1"/>
    <x v="5"/>
    <s v="A2"/>
    <n v="95"/>
    <x v="1"/>
    <x v="0"/>
    <x v="1"/>
  </r>
  <r>
    <n v="88"/>
    <s v="A2"/>
    <x v="9"/>
    <s v="A2"/>
    <n v="90"/>
    <x v="0"/>
    <x v="0"/>
    <x v="1"/>
  </r>
  <r>
    <n v="62"/>
    <s v="B2"/>
    <x v="7"/>
    <s v="B1"/>
    <n v="95"/>
    <x v="1"/>
    <x v="0"/>
    <x v="1"/>
  </r>
  <r>
    <n v="87"/>
    <s v="A2"/>
    <x v="9"/>
    <s v="A2"/>
    <n v="70"/>
    <x v="0"/>
    <x v="0"/>
    <x v="1"/>
  </r>
  <r>
    <n v="90"/>
    <s v="A2"/>
    <x v="6"/>
    <s v="C1"/>
    <n v="88"/>
    <x v="0"/>
    <x v="2"/>
    <x v="1"/>
  </r>
  <r>
    <n v="85"/>
    <s v="A2"/>
    <x v="2"/>
    <s v="B2"/>
    <n v="78"/>
    <x v="0"/>
    <x v="1"/>
    <x v="0"/>
  </r>
  <r>
    <n v="72"/>
    <s v="B1"/>
    <x v="1"/>
    <s v="A2"/>
    <n v="70"/>
    <x v="1"/>
    <x v="0"/>
    <x v="2"/>
  </r>
  <r>
    <n v="62"/>
    <s v="B2"/>
    <x v="9"/>
    <s v="A2"/>
    <n v="90"/>
    <x v="1"/>
    <x v="0"/>
    <x v="0"/>
  </r>
  <r>
    <n v="90"/>
    <s v="A2"/>
    <x v="2"/>
    <s v="B2"/>
    <n v="78"/>
    <x v="0"/>
    <x v="1"/>
    <x v="0"/>
  </r>
  <r>
    <n v="88"/>
    <s v="A2"/>
    <x v="2"/>
    <s v="B2"/>
    <n v="82"/>
    <x v="0"/>
    <x v="1"/>
    <x v="1"/>
  </r>
  <r>
    <n v="78"/>
    <s v="B1"/>
    <x v="8"/>
    <s v="B2"/>
    <n v="95"/>
    <x v="0"/>
    <x v="1"/>
    <x v="1"/>
  </r>
  <r>
    <n v="85"/>
    <s v="A2"/>
    <x v="8"/>
    <s v="B2"/>
    <n v="85"/>
    <x v="0"/>
    <x v="1"/>
    <x v="2"/>
  </r>
  <r>
    <n v="80"/>
    <s v="B1"/>
    <x v="4"/>
    <s v="A2"/>
    <n v="85"/>
    <x v="0"/>
    <x v="0"/>
    <x v="1"/>
  </r>
  <r>
    <n v="85"/>
    <s v="A2"/>
    <x v="6"/>
    <s v="C1"/>
    <n v="92"/>
    <x v="0"/>
    <x v="2"/>
    <x v="1"/>
  </r>
  <r>
    <n v="87"/>
    <s v="A2"/>
    <x v="4"/>
    <s v="A2"/>
    <n v="88"/>
    <x v="0"/>
    <x v="0"/>
    <x v="1"/>
  </r>
  <r>
    <n v="80"/>
    <s v="B1"/>
    <x v="7"/>
    <s v="B1"/>
    <n v="88"/>
    <x v="0"/>
    <x v="0"/>
    <x v="1"/>
  </r>
  <r>
    <n v="80"/>
    <s v="B1"/>
    <x v="2"/>
    <s v="B2"/>
    <n v="88"/>
    <x v="0"/>
    <x v="1"/>
    <x v="0"/>
  </r>
  <r>
    <n v="78"/>
    <s v="B1"/>
    <x v="4"/>
    <s v="A2"/>
    <n v="95"/>
    <x v="0"/>
    <x v="0"/>
    <x v="0"/>
  </r>
  <r>
    <n v="78"/>
    <s v="B1"/>
    <x v="6"/>
    <s v="C1"/>
    <n v="85"/>
    <x v="0"/>
    <x v="2"/>
    <x v="0"/>
  </r>
  <r>
    <n v="80"/>
    <s v="B1"/>
    <x v="7"/>
    <s v="B1"/>
    <n v="92"/>
    <x v="0"/>
    <x v="0"/>
    <x v="0"/>
  </r>
  <r>
    <n v="80"/>
    <s v="B1"/>
    <x v="4"/>
    <s v="A2"/>
    <n v="85"/>
    <x v="0"/>
    <x v="0"/>
    <x v="0"/>
  </r>
  <r>
    <n v="92"/>
    <s v="A1"/>
    <x v="5"/>
    <s v="A2"/>
    <n v="88"/>
    <x v="2"/>
    <x v="0"/>
    <x v="1"/>
  </r>
  <r>
    <n v="92"/>
    <s v="A1"/>
    <x v="9"/>
    <s v="A2"/>
    <n v="78"/>
    <x v="2"/>
    <x v="0"/>
    <x v="0"/>
  </r>
  <r>
    <n v="88"/>
    <s v="A2"/>
    <x v="2"/>
    <s v="B2"/>
    <n v="90"/>
    <x v="0"/>
    <x v="1"/>
    <x v="1"/>
  </r>
  <r>
    <n v="92"/>
    <s v="A1"/>
    <x v="1"/>
    <s v="A2"/>
    <n v="78"/>
    <x v="2"/>
    <x v="0"/>
    <x v="1"/>
  </r>
  <r>
    <n v="80"/>
    <s v="B1"/>
    <x v="5"/>
    <s v="A2"/>
    <n v="85"/>
    <x v="0"/>
    <x v="0"/>
    <x v="0"/>
  </r>
  <r>
    <n v="80.030208333333334"/>
    <s v="A2"/>
    <x v="2"/>
    <s v="B2"/>
    <n v="92"/>
    <x v="0"/>
    <x v="1"/>
    <x v="1"/>
  </r>
  <r>
    <n v="78"/>
    <s v="B1"/>
    <x v="4"/>
    <s v="A2"/>
    <n v="85"/>
    <x v="0"/>
    <x v="0"/>
    <x v="0"/>
  </r>
  <r>
    <n v="87"/>
    <s v="A2"/>
    <x v="9"/>
    <s v="A2"/>
    <n v="91"/>
    <x v="0"/>
    <x v="0"/>
    <x v="0"/>
  </r>
  <r>
    <n v="62"/>
    <s v="B2"/>
    <x v="9"/>
    <s v="A2"/>
    <n v="82"/>
    <x v="1"/>
    <x v="0"/>
    <x v="1"/>
  </r>
  <r>
    <n v="87"/>
    <s v="A2"/>
    <x v="2"/>
    <s v="B2"/>
    <n v="85"/>
    <x v="0"/>
    <x v="1"/>
    <x v="0"/>
  </r>
  <r>
    <n v="90"/>
    <s v="A2"/>
    <x v="9"/>
    <s v="A2"/>
    <n v="82"/>
    <x v="0"/>
    <x v="0"/>
    <x v="1"/>
  </r>
  <r>
    <n v="72"/>
    <s v="B1"/>
    <x v="7"/>
    <s v="B1"/>
    <n v="85"/>
    <x v="1"/>
    <x v="0"/>
    <x v="0"/>
  </r>
  <r>
    <n v="92"/>
    <s v="A1"/>
    <x v="1"/>
    <s v="A2"/>
    <n v="82"/>
    <x v="2"/>
    <x v="0"/>
    <x v="1"/>
  </r>
  <r>
    <n v="68"/>
    <s v="B2"/>
    <x v="8"/>
    <s v="B2"/>
    <n v="92"/>
    <x v="1"/>
    <x v="1"/>
    <x v="1"/>
  </r>
  <r>
    <n v="72"/>
    <s v="B1"/>
    <x v="1"/>
    <s v="A2"/>
    <n v="85"/>
    <x v="1"/>
    <x v="0"/>
    <x v="1"/>
  </r>
  <r>
    <n v="62"/>
    <s v="B2"/>
    <x v="8"/>
    <s v="B2"/>
    <n v="95"/>
    <x v="1"/>
    <x v="1"/>
    <x v="1"/>
  </r>
  <r>
    <n v="78"/>
    <s v="B1"/>
    <x v="4"/>
    <s v="A2"/>
    <n v="70"/>
    <x v="0"/>
    <x v="0"/>
    <x v="0"/>
  </r>
  <r>
    <n v="92"/>
    <s v="A1"/>
    <x v="4"/>
    <s v="A2"/>
    <n v="82"/>
    <x v="2"/>
    <x v="0"/>
    <x v="0"/>
  </r>
  <r>
    <n v="68"/>
    <s v="B2"/>
    <x v="7"/>
    <s v="B1"/>
    <n v="90"/>
    <x v="1"/>
    <x v="0"/>
    <x v="2"/>
  </r>
  <r>
    <n v="92"/>
    <s v="A1"/>
    <x v="9"/>
    <s v="A2"/>
    <n v="88"/>
    <x v="2"/>
    <x v="0"/>
    <x v="1"/>
  </r>
  <r>
    <n v="85"/>
    <s v="A2"/>
    <x v="1"/>
    <s v="A2"/>
    <n v="85"/>
    <x v="0"/>
    <x v="0"/>
    <x v="0"/>
  </r>
  <r>
    <n v="92"/>
    <s v="A1"/>
    <x v="6"/>
    <s v="C1"/>
    <n v="95"/>
    <x v="2"/>
    <x v="2"/>
    <x v="0"/>
  </r>
  <r>
    <n v="88"/>
    <s v="A2"/>
    <x v="0"/>
    <s v="B1"/>
    <n v="88"/>
    <x v="0"/>
    <x v="0"/>
    <x v="0"/>
  </r>
  <r>
    <n v="87"/>
    <s v="A2"/>
    <x v="9"/>
    <s v="A2"/>
    <n v="70"/>
    <x v="0"/>
    <x v="0"/>
    <x v="0"/>
  </r>
  <r>
    <n v="80"/>
    <s v="B1"/>
    <x v="7"/>
    <s v="B1"/>
    <n v="95"/>
    <x v="0"/>
    <x v="0"/>
    <x v="0"/>
  </r>
  <r>
    <n v="78"/>
    <s v="B1"/>
    <x v="7"/>
    <s v="B1"/>
    <n v="78"/>
    <x v="0"/>
    <x v="0"/>
    <x v="2"/>
  </r>
  <r>
    <n v="88"/>
    <s v="A2"/>
    <x v="4"/>
    <s v="A2"/>
    <n v="92"/>
    <x v="0"/>
    <x v="0"/>
    <x v="0"/>
  </r>
  <r>
    <n v="80"/>
    <s v="B1"/>
    <x v="5"/>
    <s v="A2"/>
    <n v="95"/>
    <x v="0"/>
    <x v="0"/>
    <x v="1"/>
  </r>
  <r>
    <n v="90"/>
    <s v="A2"/>
    <x v="3"/>
    <s v="A2"/>
    <n v="85"/>
    <x v="0"/>
    <x v="0"/>
    <x v="0"/>
  </r>
  <r>
    <n v="90"/>
    <s v="A2"/>
    <x v="2"/>
    <s v="B2"/>
    <n v="85.510416666666671"/>
    <x v="0"/>
    <x v="1"/>
    <x v="0"/>
  </r>
  <r>
    <n v="92"/>
    <s v="A1"/>
    <x v="3"/>
    <s v="A2"/>
    <n v="85"/>
    <x v="2"/>
    <x v="0"/>
    <x v="1"/>
  </r>
  <r>
    <n v="72"/>
    <s v="B1"/>
    <x v="0"/>
    <s v="B1"/>
    <n v="91"/>
    <x v="1"/>
    <x v="0"/>
    <x v="1"/>
  </r>
  <r>
    <n v="80"/>
    <s v="B1"/>
    <x v="0"/>
    <s v="B1"/>
    <n v="91"/>
    <x v="0"/>
    <x v="0"/>
    <x v="0"/>
  </r>
  <r>
    <n v="72"/>
    <s v="B1"/>
    <x v="6"/>
    <s v="C1"/>
    <n v="85"/>
    <x v="1"/>
    <x v="2"/>
    <x v="0"/>
  </r>
  <r>
    <n v="80.030208333333334"/>
    <s v="A2"/>
    <x v="8"/>
    <s v="B2"/>
    <n v="78"/>
    <x v="0"/>
    <x v="1"/>
    <x v="0"/>
  </r>
  <r>
    <n v="90"/>
    <s v="A2"/>
    <x v="0"/>
    <s v="B1"/>
    <n v="70"/>
    <x v="0"/>
    <x v="0"/>
    <x v="1"/>
  </r>
  <r>
    <n v="85"/>
    <s v="A2"/>
    <x v="6"/>
    <s v="C1"/>
    <n v="85"/>
    <x v="0"/>
    <x v="2"/>
    <x v="1"/>
  </r>
  <r>
    <n v="92"/>
    <s v="A1"/>
    <x v="9"/>
    <s v="A2"/>
    <n v="70"/>
    <x v="2"/>
    <x v="0"/>
    <x v="0"/>
  </r>
  <r>
    <n v="72"/>
    <s v="B1"/>
    <x v="3"/>
    <s v="A2"/>
    <n v="82"/>
    <x v="1"/>
    <x v="0"/>
    <x v="1"/>
  </r>
  <r>
    <n v="87"/>
    <s v="A2"/>
    <x v="9"/>
    <s v="A2"/>
    <n v="70"/>
    <x v="0"/>
    <x v="0"/>
    <x v="0"/>
  </r>
  <r>
    <n v="80.030208333333334"/>
    <s v="A2"/>
    <x v="5"/>
    <s v="A2"/>
    <n v="78"/>
    <x v="0"/>
    <x v="0"/>
    <x v="1"/>
  </r>
  <r>
    <n v="88"/>
    <s v="A2"/>
    <x v="2"/>
    <s v="B2"/>
    <n v="85.510416666666671"/>
    <x v="0"/>
    <x v="1"/>
    <x v="0"/>
  </r>
  <r>
    <n v="72"/>
    <s v="B1"/>
    <x v="1"/>
    <s v="A2"/>
    <n v="85"/>
    <x v="1"/>
    <x v="0"/>
    <x v="0"/>
  </r>
  <r>
    <n v="92"/>
    <s v="A1"/>
    <x v="2"/>
    <s v="B2"/>
    <n v="85"/>
    <x v="2"/>
    <x v="1"/>
    <x v="1"/>
  </r>
  <r>
    <n v="80.030208333333334"/>
    <s v="A2"/>
    <x v="3"/>
    <s v="A2"/>
    <n v="92"/>
    <x v="0"/>
    <x v="0"/>
    <x v="1"/>
  </r>
  <r>
    <n v="62"/>
    <s v="B2"/>
    <x v="0"/>
    <s v="B1"/>
    <n v="70"/>
    <x v="1"/>
    <x v="0"/>
    <x v="0"/>
  </r>
  <r>
    <n v="72"/>
    <s v="B1"/>
    <x v="0"/>
    <s v="B1"/>
    <n v="85"/>
    <x v="1"/>
    <x v="0"/>
    <x v="0"/>
  </r>
  <r>
    <n v="85"/>
    <s v="A2"/>
    <x v="7"/>
    <s v="B1"/>
    <n v="92"/>
    <x v="0"/>
    <x v="0"/>
    <x v="0"/>
  </r>
  <r>
    <n v="68"/>
    <s v="B2"/>
    <x v="1"/>
    <s v="A2"/>
    <n v="85"/>
    <x v="1"/>
    <x v="0"/>
    <x v="0"/>
  </r>
  <r>
    <n v="88"/>
    <s v="A2"/>
    <x v="0"/>
    <s v="B1"/>
    <n v="95"/>
    <x v="0"/>
    <x v="0"/>
    <x v="1"/>
  </r>
  <r>
    <n v="78"/>
    <s v="B1"/>
    <x v="1"/>
    <s v="A2"/>
    <n v="95"/>
    <x v="0"/>
    <x v="0"/>
    <x v="1"/>
  </r>
  <r>
    <n v="90"/>
    <s v="A2"/>
    <x v="6"/>
    <s v="C1"/>
    <n v="70"/>
    <x v="0"/>
    <x v="2"/>
    <x v="0"/>
  </r>
  <r>
    <n v="78"/>
    <s v="B1"/>
    <x v="6"/>
    <s v="C1"/>
    <n v="78"/>
    <x v="0"/>
    <x v="2"/>
    <x v="0"/>
  </r>
  <r>
    <n v="78"/>
    <s v="B1"/>
    <x v="4"/>
    <s v="A2"/>
    <n v="85"/>
    <x v="0"/>
    <x v="0"/>
    <x v="0"/>
  </r>
  <r>
    <n v="78"/>
    <s v="B1"/>
    <x v="7"/>
    <s v="B1"/>
    <n v="92"/>
    <x v="0"/>
    <x v="0"/>
    <x v="0"/>
  </r>
  <r>
    <n v="68"/>
    <s v="B2"/>
    <x v="3"/>
    <s v="A2"/>
    <n v="91"/>
    <x v="1"/>
    <x v="0"/>
    <x v="1"/>
  </r>
  <r>
    <n v="80"/>
    <s v="B1"/>
    <x v="4"/>
    <s v="A2"/>
    <n v="91"/>
    <x v="0"/>
    <x v="0"/>
    <x v="0"/>
  </r>
  <r>
    <n v="85"/>
    <s v="A2"/>
    <x v="5"/>
    <s v="A2"/>
    <n v="85"/>
    <x v="0"/>
    <x v="0"/>
    <x v="0"/>
  </r>
  <r>
    <n v="80.030208333333334"/>
    <s v="A2"/>
    <x v="10"/>
    <s v="B1"/>
    <n v="88"/>
    <x v="0"/>
    <x v="0"/>
    <x v="0"/>
  </r>
  <r>
    <n v="88"/>
    <s v="A2"/>
    <x v="8"/>
    <s v="B2"/>
    <n v="90"/>
    <x v="0"/>
    <x v="1"/>
    <x v="0"/>
  </r>
  <r>
    <n v="68"/>
    <s v="B2"/>
    <x v="9"/>
    <s v="A2"/>
    <n v="88"/>
    <x v="1"/>
    <x v="0"/>
    <x v="1"/>
  </r>
  <r>
    <n v="87"/>
    <s v="A2"/>
    <x v="4"/>
    <s v="A2"/>
    <n v="91"/>
    <x v="0"/>
    <x v="0"/>
    <x v="0"/>
  </r>
  <r>
    <n v="92"/>
    <s v="A1"/>
    <x v="5"/>
    <s v="A2"/>
    <n v="70"/>
    <x v="2"/>
    <x v="0"/>
    <x v="1"/>
  </r>
  <r>
    <n v="80"/>
    <s v="B1"/>
    <x v="8"/>
    <s v="B2"/>
    <n v="88"/>
    <x v="0"/>
    <x v="1"/>
    <x v="0"/>
  </r>
  <r>
    <n v="78"/>
    <s v="B1"/>
    <x v="5"/>
    <s v="A2"/>
    <n v="78"/>
    <x v="0"/>
    <x v="0"/>
    <x v="0"/>
  </r>
  <r>
    <n v="80"/>
    <s v="B1"/>
    <x v="5"/>
    <s v="A2"/>
    <n v="85"/>
    <x v="0"/>
    <x v="0"/>
    <x v="0"/>
  </r>
  <r>
    <n v="68"/>
    <s v="B2"/>
    <x v="10"/>
    <s v="B1"/>
    <n v="92"/>
    <x v="1"/>
    <x v="0"/>
    <x v="0"/>
  </r>
  <r>
    <n v="87"/>
    <s v="A2"/>
    <x v="6"/>
    <s v="C1"/>
    <n v="91"/>
    <x v="0"/>
    <x v="2"/>
    <x v="2"/>
  </r>
  <r>
    <n v="90"/>
    <s v="A2"/>
    <x v="1"/>
    <s v="A2"/>
    <n v="88"/>
    <x v="0"/>
    <x v="0"/>
    <x v="0"/>
  </r>
  <r>
    <n v="80.030208333333334"/>
    <s v="A2"/>
    <x v="5"/>
    <s v="A2"/>
    <n v="78"/>
    <x v="0"/>
    <x v="0"/>
    <x v="1"/>
  </r>
  <r>
    <n v="90"/>
    <s v="A2"/>
    <x v="7"/>
    <s v="B1"/>
    <n v="92"/>
    <x v="0"/>
    <x v="0"/>
    <x v="0"/>
  </r>
  <r>
    <n v="85"/>
    <s v="A2"/>
    <x v="8"/>
    <s v="B2"/>
    <n v="85"/>
    <x v="0"/>
    <x v="1"/>
    <x v="0"/>
  </r>
  <r>
    <n v="88"/>
    <s v="A2"/>
    <x v="8"/>
    <s v="B2"/>
    <n v="85"/>
    <x v="0"/>
    <x v="1"/>
    <x v="1"/>
  </r>
  <r>
    <n v="78"/>
    <s v="B1"/>
    <x v="4"/>
    <s v="A2"/>
    <n v="92"/>
    <x v="0"/>
    <x v="0"/>
    <x v="0"/>
  </r>
  <r>
    <n v="87"/>
    <s v="A2"/>
    <x v="9"/>
    <s v="A2"/>
    <n v="90"/>
    <x v="0"/>
    <x v="0"/>
    <x v="2"/>
  </r>
  <r>
    <n v="85"/>
    <s v="A2"/>
    <x v="3"/>
    <s v="A2"/>
    <n v="88"/>
    <x v="0"/>
    <x v="0"/>
    <x v="0"/>
  </r>
  <r>
    <n v="80"/>
    <s v="B1"/>
    <x v="0"/>
    <s v="B1"/>
    <n v="85"/>
    <x v="0"/>
    <x v="0"/>
    <x v="0"/>
  </r>
  <r>
    <n v="78"/>
    <s v="B1"/>
    <x v="3"/>
    <s v="A2"/>
    <n v="88"/>
    <x v="0"/>
    <x v="0"/>
    <x v="1"/>
  </r>
  <r>
    <n v="68"/>
    <s v="B2"/>
    <x v="7"/>
    <s v="B1"/>
    <n v="88"/>
    <x v="1"/>
    <x v="0"/>
    <x v="1"/>
  </r>
  <r>
    <n v="80"/>
    <s v="B1"/>
    <x v="5"/>
    <s v="A2"/>
    <n v="78"/>
    <x v="0"/>
    <x v="0"/>
    <x v="1"/>
  </r>
  <r>
    <n v="68"/>
    <s v="B2"/>
    <x v="5"/>
    <s v="A2"/>
    <n v="78"/>
    <x v="1"/>
    <x v="0"/>
    <x v="1"/>
  </r>
  <r>
    <n v="62"/>
    <s v="B2"/>
    <x v="7"/>
    <s v="B1"/>
    <n v="88"/>
    <x v="1"/>
    <x v="0"/>
    <x v="0"/>
  </r>
  <r>
    <n v="62"/>
    <s v="B2"/>
    <x v="3"/>
    <s v="A2"/>
    <n v="90"/>
    <x v="1"/>
    <x v="0"/>
    <x v="1"/>
  </r>
  <r>
    <n v="78"/>
    <s v="B1"/>
    <x v="1"/>
    <s v="A2"/>
    <n v="91"/>
    <x v="0"/>
    <x v="0"/>
    <x v="0"/>
  </r>
  <r>
    <n v="88"/>
    <s v="A2"/>
    <x v="9"/>
    <s v="A2"/>
    <n v="70"/>
    <x v="0"/>
    <x v="0"/>
    <x v="1"/>
  </r>
  <r>
    <n v="80"/>
    <s v="B1"/>
    <x v="2"/>
    <s v="B2"/>
    <n v="90"/>
    <x v="0"/>
    <x v="1"/>
    <x v="0"/>
  </r>
  <r>
    <n v="92"/>
    <s v="A1"/>
    <x v="9"/>
    <s v="A2"/>
    <n v="70"/>
    <x v="2"/>
    <x v="0"/>
    <x v="1"/>
  </r>
  <r>
    <n v="72"/>
    <s v="B1"/>
    <x v="9"/>
    <s v="A2"/>
    <n v="95"/>
    <x v="1"/>
    <x v="0"/>
    <x v="1"/>
  </r>
  <r>
    <n v="87"/>
    <s v="A2"/>
    <x v="0"/>
    <s v="B1"/>
    <n v="82"/>
    <x v="0"/>
    <x v="0"/>
    <x v="1"/>
  </r>
  <r>
    <n v="72"/>
    <s v="B1"/>
    <x v="6"/>
    <s v="C1"/>
    <n v="95"/>
    <x v="1"/>
    <x v="2"/>
    <x v="1"/>
  </r>
  <r>
    <n v="85"/>
    <s v="A2"/>
    <x v="5"/>
    <s v="A2"/>
    <n v="82"/>
    <x v="0"/>
    <x v="0"/>
    <x v="0"/>
  </r>
  <r>
    <n v="62"/>
    <s v="B2"/>
    <x v="2"/>
    <s v="B2"/>
    <n v="90"/>
    <x v="1"/>
    <x v="1"/>
    <x v="0"/>
  </r>
  <r>
    <n v="78"/>
    <s v="B1"/>
    <x v="6"/>
    <s v="C1"/>
    <n v="85"/>
    <x v="0"/>
    <x v="2"/>
    <x v="1"/>
  </r>
  <r>
    <n v="88"/>
    <s v="A2"/>
    <x v="6"/>
    <s v="C1"/>
    <n v="92"/>
    <x v="0"/>
    <x v="2"/>
    <x v="1"/>
  </r>
  <r>
    <n v="80"/>
    <s v="B1"/>
    <x v="9"/>
    <s v="A2"/>
    <n v="70"/>
    <x v="0"/>
    <x v="0"/>
    <x v="1"/>
  </r>
  <r>
    <n v="72"/>
    <s v="B1"/>
    <x v="10"/>
    <s v="B1"/>
    <n v="90"/>
    <x v="1"/>
    <x v="0"/>
    <x v="1"/>
  </r>
  <r>
    <n v="80"/>
    <s v="B1"/>
    <x v="9"/>
    <s v="A2"/>
    <n v="90"/>
    <x v="0"/>
    <x v="0"/>
    <x v="1"/>
  </r>
  <r>
    <n v="90"/>
    <s v="A2"/>
    <x v="9"/>
    <s v="A2"/>
    <n v="82"/>
    <x v="0"/>
    <x v="0"/>
    <x v="1"/>
  </r>
  <r>
    <n v="78"/>
    <s v="B1"/>
    <x v="9"/>
    <s v="A2"/>
    <n v="91"/>
    <x v="0"/>
    <x v="0"/>
    <x v="0"/>
  </r>
  <r>
    <n v="87"/>
    <s v="A2"/>
    <x v="1"/>
    <s v="A2"/>
    <n v="88"/>
    <x v="0"/>
    <x v="0"/>
    <x v="0"/>
  </r>
  <r>
    <n v="68"/>
    <s v="B2"/>
    <x v="0"/>
    <s v="B1"/>
    <n v="88"/>
    <x v="1"/>
    <x v="0"/>
    <x v="1"/>
  </r>
  <r>
    <n v="72"/>
    <s v="B1"/>
    <x v="3"/>
    <s v="A2"/>
    <n v="78"/>
    <x v="1"/>
    <x v="0"/>
    <x v="1"/>
  </r>
  <r>
    <n v="78"/>
    <s v="B1"/>
    <x v="6"/>
    <s v="C1"/>
    <n v="85"/>
    <x v="0"/>
    <x v="2"/>
    <x v="0"/>
  </r>
  <r>
    <n v="62"/>
    <s v="B2"/>
    <x v="0"/>
    <s v="B1"/>
    <n v="88"/>
    <x v="1"/>
    <x v="0"/>
    <x v="0"/>
  </r>
  <r>
    <n v="80"/>
    <s v="B1"/>
    <x v="2"/>
    <s v="B2"/>
    <n v="85"/>
    <x v="0"/>
    <x v="1"/>
    <x v="1"/>
  </r>
  <r>
    <n v="85"/>
    <s v="A2"/>
    <x v="5"/>
    <s v="A2"/>
    <n v="90"/>
    <x v="0"/>
    <x v="0"/>
    <x v="2"/>
  </r>
  <r>
    <n v="90"/>
    <s v="A2"/>
    <x v="9"/>
    <s v="A2"/>
    <n v="85"/>
    <x v="0"/>
    <x v="0"/>
    <x v="1"/>
  </r>
  <r>
    <n v="72"/>
    <s v="B1"/>
    <x v="0"/>
    <s v="B1"/>
    <n v="85"/>
    <x v="1"/>
    <x v="0"/>
    <x v="0"/>
  </r>
  <r>
    <n v="87"/>
    <s v="A2"/>
    <x v="0"/>
    <s v="B1"/>
    <n v="88"/>
    <x v="0"/>
    <x v="0"/>
    <x v="1"/>
  </r>
  <r>
    <n v="88"/>
    <s v="A2"/>
    <x v="2"/>
    <s v="B2"/>
    <n v="90"/>
    <x v="0"/>
    <x v="1"/>
    <x v="0"/>
  </r>
  <r>
    <n v="62"/>
    <s v="B2"/>
    <x v="1"/>
    <s v="A2"/>
    <n v="88"/>
    <x v="1"/>
    <x v="0"/>
    <x v="1"/>
  </r>
  <r>
    <n v="90"/>
    <s v="A2"/>
    <x v="0"/>
    <s v="B1"/>
    <n v="90"/>
    <x v="0"/>
    <x v="0"/>
    <x v="0"/>
  </r>
  <r>
    <n v="68"/>
    <s v="B2"/>
    <x v="3"/>
    <s v="A2"/>
    <n v="90"/>
    <x v="1"/>
    <x v="0"/>
    <x v="1"/>
  </r>
  <r>
    <n v="85"/>
    <s v="A2"/>
    <x v="1"/>
    <s v="A2"/>
    <n v="92"/>
    <x v="0"/>
    <x v="0"/>
    <x v="1"/>
  </r>
  <r>
    <n v="62"/>
    <s v="B2"/>
    <x v="2"/>
    <s v="B2"/>
    <n v="85"/>
    <x v="1"/>
    <x v="1"/>
    <x v="1"/>
  </r>
  <r>
    <n v="87"/>
    <s v="A2"/>
    <x v="7"/>
    <s v="B1"/>
    <n v="82"/>
    <x v="0"/>
    <x v="0"/>
    <x v="0"/>
  </r>
  <r>
    <n v="85"/>
    <s v="A2"/>
    <x v="5"/>
    <s v="A2"/>
    <n v="91"/>
    <x v="0"/>
    <x v="0"/>
    <x v="0"/>
  </r>
  <r>
    <n v="72"/>
    <s v="B1"/>
    <x v="10"/>
    <s v="B1"/>
    <n v="90"/>
    <x v="1"/>
    <x v="0"/>
    <x v="1"/>
  </r>
  <r>
    <n v="78"/>
    <s v="B1"/>
    <x v="7"/>
    <s v="B1"/>
    <n v="90"/>
    <x v="0"/>
    <x v="0"/>
    <x v="1"/>
  </r>
  <r>
    <n v="72"/>
    <s v="B1"/>
    <x v="7"/>
    <s v="B1"/>
    <n v="91"/>
    <x v="1"/>
    <x v="0"/>
    <x v="0"/>
  </r>
  <r>
    <n v="87"/>
    <s v="A2"/>
    <x v="5"/>
    <s v="A2"/>
    <n v="95"/>
    <x v="0"/>
    <x v="0"/>
    <x v="0"/>
  </r>
  <r>
    <n v="68"/>
    <s v="B2"/>
    <x v="1"/>
    <s v="A2"/>
    <n v="91"/>
    <x v="1"/>
    <x v="0"/>
    <x v="0"/>
  </r>
  <r>
    <n v="87"/>
    <s v="A2"/>
    <x v="2"/>
    <s v="B2"/>
    <n v="78"/>
    <x v="0"/>
    <x v="1"/>
    <x v="0"/>
  </r>
  <r>
    <n v="92"/>
    <s v="A1"/>
    <x v="9"/>
    <s v="A2"/>
    <n v="85"/>
    <x v="2"/>
    <x v="0"/>
    <x v="0"/>
  </r>
  <r>
    <n v="80.030208333333334"/>
    <s v="A2"/>
    <x v="2"/>
    <s v="B2"/>
    <n v="85.510416666666671"/>
    <x v="0"/>
    <x v="1"/>
    <x v="0"/>
  </r>
  <r>
    <n v="68"/>
    <s v="B2"/>
    <x v="2"/>
    <s v="B2"/>
    <n v="78"/>
    <x v="1"/>
    <x v="1"/>
    <x v="1"/>
  </r>
  <r>
    <n v="87"/>
    <s v="A2"/>
    <x v="2"/>
    <s v="B2"/>
    <n v="91"/>
    <x v="0"/>
    <x v="1"/>
    <x v="0"/>
  </r>
  <r>
    <n v="85"/>
    <s v="A2"/>
    <x v="3"/>
    <s v="A2"/>
    <n v="85"/>
    <x v="0"/>
    <x v="0"/>
    <x v="1"/>
  </r>
  <r>
    <n v="85"/>
    <s v="A2"/>
    <x v="7"/>
    <s v="B1"/>
    <n v="91"/>
    <x v="0"/>
    <x v="0"/>
    <x v="0"/>
  </r>
  <r>
    <n v="72"/>
    <s v="B1"/>
    <x v="9"/>
    <s v="A2"/>
    <n v="82"/>
    <x v="1"/>
    <x v="0"/>
    <x v="0"/>
  </r>
  <r>
    <n v="80.030208333333334"/>
    <s v="A2"/>
    <x v="2"/>
    <s v="B2"/>
    <n v="92"/>
    <x v="0"/>
    <x v="1"/>
    <x v="0"/>
  </r>
  <r>
    <n v="80.030208333333334"/>
    <s v="A2"/>
    <x v="4"/>
    <s v="A2"/>
    <n v="92"/>
    <x v="0"/>
    <x v="0"/>
    <x v="1"/>
  </r>
  <r>
    <n v="87"/>
    <s v="A2"/>
    <x v="7"/>
    <s v="B1"/>
    <n v="78"/>
    <x v="0"/>
    <x v="0"/>
    <x v="0"/>
  </r>
  <r>
    <n v="92"/>
    <s v="A1"/>
    <x v="3"/>
    <s v="A2"/>
    <n v="92"/>
    <x v="2"/>
    <x v="0"/>
    <x v="1"/>
  </r>
  <r>
    <n v="80"/>
    <s v="B1"/>
    <x v="7"/>
    <s v="B1"/>
    <n v="92"/>
    <x v="0"/>
    <x v="0"/>
    <x v="1"/>
  </r>
  <r>
    <n v="92"/>
    <s v="A1"/>
    <x v="2"/>
    <s v="B2"/>
    <n v="70"/>
    <x v="2"/>
    <x v="1"/>
    <x v="0"/>
  </r>
  <r>
    <n v="87"/>
    <s v="A2"/>
    <x v="0"/>
    <s v="B1"/>
    <n v="85"/>
    <x v="0"/>
    <x v="0"/>
    <x v="0"/>
  </r>
  <r>
    <n v="88"/>
    <s v="A2"/>
    <x v="9"/>
    <s v="A2"/>
    <n v="92"/>
    <x v="0"/>
    <x v="0"/>
    <x v="1"/>
  </r>
  <r>
    <n v="80.030208333333334"/>
    <s v="A2"/>
    <x v="3"/>
    <s v="A2"/>
    <n v="82"/>
    <x v="0"/>
    <x v="0"/>
    <x v="1"/>
  </r>
  <r>
    <n v="68"/>
    <s v="B2"/>
    <x v="9"/>
    <s v="A2"/>
    <n v="95"/>
    <x v="1"/>
    <x v="0"/>
    <x v="0"/>
  </r>
  <r>
    <n v="62"/>
    <s v="B2"/>
    <x v="0"/>
    <s v="B1"/>
    <n v="85"/>
    <x v="1"/>
    <x v="0"/>
    <x v="0"/>
  </r>
  <r>
    <n v="62"/>
    <s v="B2"/>
    <x v="8"/>
    <s v="B2"/>
    <n v="92"/>
    <x v="1"/>
    <x v="1"/>
    <x v="2"/>
  </r>
  <r>
    <n v="78"/>
    <s v="B1"/>
    <x v="10"/>
    <s v="B1"/>
    <n v="90"/>
    <x v="0"/>
    <x v="0"/>
    <x v="0"/>
  </r>
  <r>
    <n v="78"/>
    <s v="B1"/>
    <x v="2"/>
    <s v="B2"/>
    <n v="78"/>
    <x v="0"/>
    <x v="1"/>
    <x v="1"/>
  </r>
  <r>
    <n v="88"/>
    <s v="A2"/>
    <x v="4"/>
    <s v="A2"/>
    <n v="82"/>
    <x v="0"/>
    <x v="0"/>
    <x v="1"/>
  </r>
  <r>
    <n v="62"/>
    <s v="B2"/>
    <x v="5"/>
    <s v="A2"/>
    <n v="85"/>
    <x v="1"/>
    <x v="0"/>
    <x v="1"/>
  </r>
  <r>
    <n v="92"/>
    <s v="A1"/>
    <x v="1"/>
    <s v="A2"/>
    <n v="78"/>
    <x v="2"/>
    <x v="0"/>
    <x v="1"/>
  </r>
  <r>
    <n v="90"/>
    <s v="A2"/>
    <x v="3"/>
    <s v="A2"/>
    <n v="85"/>
    <x v="0"/>
    <x v="0"/>
    <x v="0"/>
  </r>
  <r>
    <n v="72"/>
    <s v="B1"/>
    <x v="5"/>
    <s v="A2"/>
    <n v="90"/>
    <x v="1"/>
    <x v="0"/>
    <x v="2"/>
  </r>
  <r>
    <n v="78"/>
    <s v="B1"/>
    <x v="5"/>
    <s v="A2"/>
    <n v="85"/>
    <x v="0"/>
    <x v="0"/>
    <x v="1"/>
  </r>
  <r>
    <n v="68"/>
    <s v="B2"/>
    <x v="4"/>
    <s v="A2"/>
    <n v="90"/>
    <x v="1"/>
    <x v="0"/>
    <x v="0"/>
  </r>
  <r>
    <n v="78"/>
    <s v="B1"/>
    <x v="7"/>
    <s v="B1"/>
    <n v="82"/>
    <x v="0"/>
    <x v="0"/>
    <x v="1"/>
  </r>
  <r>
    <n v="88"/>
    <s v="A2"/>
    <x v="8"/>
    <s v="B2"/>
    <n v="85"/>
    <x v="0"/>
    <x v="1"/>
    <x v="0"/>
  </r>
  <r>
    <n v="68"/>
    <s v="B2"/>
    <x v="10"/>
    <s v="B1"/>
    <n v="85"/>
    <x v="1"/>
    <x v="0"/>
    <x v="1"/>
  </r>
  <r>
    <n v="68"/>
    <s v="B2"/>
    <x v="5"/>
    <s v="A2"/>
    <n v="85"/>
    <x v="1"/>
    <x v="0"/>
    <x v="1"/>
  </r>
  <r>
    <n v="90"/>
    <s v="A2"/>
    <x v="3"/>
    <s v="A2"/>
    <n v="78"/>
    <x v="0"/>
    <x v="0"/>
    <x v="0"/>
  </r>
  <r>
    <n v="68"/>
    <s v="B2"/>
    <x v="10"/>
    <s v="B1"/>
    <n v="92"/>
    <x v="1"/>
    <x v="0"/>
    <x v="0"/>
  </r>
  <r>
    <n v="78"/>
    <s v="B1"/>
    <x v="6"/>
    <s v="C1"/>
    <n v="90"/>
    <x v="0"/>
    <x v="2"/>
    <x v="1"/>
  </r>
  <r>
    <n v="68"/>
    <s v="B2"/>
    <x v="4"/>
    <s v="A2"/>
    <n v="88"/>
    <x v="1"/>
    <x v="0"/>
    <x v="2"/>
  </r>
  <r>
    <n v="85"/>
    <s v="A2"/>
    <x v="10"/>
    <s v="B1"/>
    <n v="85"/>
    <x v="0"/>
    <x v="0"/>
    <x v="0"/>
  </r>
  <r>
    <n v="92"/>
    <s v="A1"/>
    <x v="0"/>
    <s v="B1"/>
    <n v="90"/>
    <x v="2"/>
    <x v="0"/>
    <x v="1"/>
  </r>
  <r>
    <n v="62"/>
    <s v="B2"/>
    <x v="7"/>
    <s v="B1"/>
    <n v="90"/>
    <x v="1"/>
    <x v="0"/>
    <x v="0"/>
  </r>
  <r>
    <n v="80"/>
    <s v="B1"/>
    <x v="5"/>
    <s v="A2"/>
    <n v="78"/>
    <x v="0"/>
    <x v="0"/>
    <x v="1"/>
  </r>
  <r>
    <n v="68"/>
    <s v="B2"/>
    <x v="6"/>
    <s v="C1"/>
    <n v="92"/>
    <x v="1"/>
    <x v="2"/>
    <x v="0"/>
  </r>
  <r>
    <n v="90"/>
    <s v="A2"/>
    <x v="4"/>
    <s v="A2"/>
    <n v="78"/>
    <x v="0"/>
    <x v="0"/>
    <x v="0"/>
  </r>
  <r>
    <n v="78"/>
    <s v="B1"/>
    <x v="6"/>
    <s v="C1"/>
    <n v="70"/>
    <x v="0"/>
    <x v="2"/>
    <x v="0"/>
  </r>
  <r>
    <n v="85"/>
    <s v="A2"/>
    <x v="8"/>
    <s v="B2"/>
    <n v="70"/>
    <x v="0"/>
    <x v="1"/>
    <x v="0"/>
  </r>
  <r>
    <n v="78"/>
    <s v="B1"/>
    <x v="2"/>
    <s v="B2"/>
    <n v="85"/>
    <x v="0"/>
    <x v="1"/>
    <x v="0"/>
  </r>
  <r>
    <n v="78"/>
    <s v="B1"/>
    <x v="0"/>
    <s v="B1"/>
    <n v="85"/>
    <x v="0"/>
    <x v="0"/>
    <x v="0"/>
  </r>
  <r>
    <n v="88"/>
    <s v="A2"/>
    <x v="1"/>
    <s v="A2"/>
    <n v="88"/>
    <x v="0"/>
    <x v="0"/>
    <x v="1"/>
  </r>
  <r>
    <n v="80"/>
    <s v="B1"/>
    <x v="2"/>
    <s v="B2"/>
    <n v="95"/>
    <x v="0"/>
    <x v="1"/>
    <x v="0"/>
  </r>
  <r>
    <n v="68"/>
    <s v="B2"/>
    <x v="1"/>
    <s v="A2"/>
    <n v="88"/>
    <x v="1"/>
    <x v="0"/>
    <x v="1"/>
  </r>
  <r>
    <n v="72"/>
    <s v="B1"/>
    <x v="4"/>
    <s v="A2"/>
    <n v="95"/>
    <x v="1"/>
    <x v="0"/>
    <x v="1"/>
  </r>
  <r>
    <n v="87"/>
    <s v="A2"/>
    <x v="6"/>
    <s v="C1"/>
    <n v="95"/>
    <x v="0"/>
    <x v="2"/>
    <x v="1"/>
  </r>
  <r>
    <n v="80"/>
    <s v="B1"/>
    <x v="1"/>
    <s v="A2"/>
    <n v="70"/>
    <x v="0"/>
    <x v="0"/>
    <x v="0"/>
  </r>
  <r>
    <n v="85"/>
    <s v="A2"/>
    <x v="5"/>
    <s v="A2"/>
    <n v="91"/>
    <x v="0"/>
    <x v="0"/>
    <x v="2"/>
  </r>
  <r>
    <n v="87"/>
    <s v="A2"/>
    <x v="2"/>
    <s v="B2"/>
    <n v="92"/>
    <x v="0"/>
    <x v="1"/>
    <x v="0"/>
  </r>
  <r>
    <n v="80"/>
    <s v="B1"/>
    <x v="0"/>
    <s v="B1"/>
    <n v="85"/>
    <x v="0"/>
    <x v="0"/>
    <x v="0"/>
  </r>
  <r>
    <n v="80"/>
    <s v="B1"/>
    <x v="10"/>
    <s v="B1"/>
    <n v="88"/>
    <x v="0"/>
    <x v="0"/>
    <x v="0"/>
  </r>
  <r>
    <n v="85"/>
    <s v="A2"/>
    <x v="0"/>
    <s v="B1"/>
    <n v="78"/>
    <x v="0"/>
    <x v="0"/>
    <x v="0"/>
  </r>
  <r>
    <n v="80"/>
    <s v="B1"/>
    <x v="1"/>
    <s v="A2"/>
    <n v="82"/>
    <x v="0"/>
    <x v="0"/>
    <x v="0"/>
  </r>
  <r>
    <n v="78"/>
    <s v="B1"/>
    <x v="1"/>
    <s v="A2"/>
    <n v="82"/>
    <x v="0"/>
    <x v="0"/>
    <x v="0"/>
  </r>
  <r>
    <n v="72"/>
    <s v="B1"/>
    <x v="6"/>
    <s v="C1"/>
    <n v="78"/>
    <x v="1"/>
    <x v="2"/>
    <x v="0"/>
  </r>
  <r>
    <n v="85"/>
    <s v="A2"/>
    <x v="2"/>
    <s v="B2"/>
    <n v="90"/>
    <x v="0"/>
    <x v="1"/>
    <x v="1"/>
  </r>
  <r>
    <n v="85"/>
    <s v="A2"/>
    <x v="4"/>
    <s v="A2"/>
    <n v="85.510416666666671"/>
    <x v="0"/>
    <x v="0"/>
    <x v="1"/>
  </r>
  <r>
    <n v="90"/>
    <s v="A2"/>
    <x v="1"/>
    <s v="A2"/>
    <n v="70"/>
    <x v="0"/>
    <x v="0"/>
    <x v="1"/>
  </r>
  <r>
    <n v="62"/>
    <s v="B2"/>
    <x v="1"/>
    <s v="A2"/>
    <n v="85"/>
    <x v="1"/>
    <x v="0"/>
    <x v="1"/>
  </r>
  <r>
    <n v="62"/>
    <s v="B2"/>
    <x v="5"/>
    <s v="A2"/>
    <n v="95"/>
    <x v="1"/>
    <x v="0"/>
    <x v="0"/>
  </r>
  <r>
    <n v="78"/>
    <s v="B1"/>
    <x v="7"/>
    <s v="B1"/>
    <n v="70"/>
    <x v="0"/>
    <x v="0"/>
    <x v="1"/>
  </r>
  <r>
    <n v="68"/>
    <s v="B2"/>
    <x v="7"/>
    <s v="B1"/>
    <n v="88"/>
    <x v="1"/>
    <x v="0"/>
    <x v="0"/>
  </r>
  <r>
    <n v="90"/>
    <s v="A2"/>
    <x v="6"/>
    <s v="C1"/>
    <n v="85"/>
    <x v="0"/>
    <x v="2"/>
    <x v="1"/>
  </r>
  <r>
    <n v="72"/>
    <s v="B1"/>
    <x v="4"/>
    <s v="A2"/>
    <n v="85"/>
    <x v="1"/>
    <x v="0"/>
    <x v="1"/>
  </r>
  <r>
    <n v="78"/>
    <s v="B1"/>
    <x v="7"/>
    <s v="B1"/>
    <n v="90"/>
    <x v="0"/>
    <x v="0"/>
    <x v="1"/>
  </r>
  <r>
    <n v="62"/>
    <s v="B2"/>
    <x v="2"/>
    <s v="B2"/>
    <n v="85"/>
    <x v="1"/>
    <x v="1"/>
    <x v="2"/>
  </r>
  <r>
    <n v="62"/>
    <s v="B2"/>
    <x v="2"/>
    <s v="B2"/>
    <n v="85"/>
    <x v="1"/>
    <x v="1"/>
    <x v="1"/>
  </r>
  <r>
    <n v="68"/>
    <s v="B2"/>
    <x v="0"/>
    <s v="B1"/>
    <n v="95"/>
    <x v="1"/>
    <x v="0"/>
    <x v="1"/>
  </r>
  <r>
    <n v="90"/>
    <s v="A2"/>
    <x v="5"/>
    <s v="A2"/>
    <n v="90"/>
    <x v="0"/>
    <x v="0"/>
    <x v="1"/>
  </r>
  <r>
    <n v="90"/>
    <s v="A2"/>
    <x v="1"/>
    <s v="A2"/>
    <n v="91"/>
    <x v="0"/>
    <x v="0"/>
    <x v="1"/>
  </r>
  <r>
    <n v="80"/>
    <s v="B1"/>
    <x v="8"/>
    <s v="B2"/>
    <n v="70"/>
    <x v="0"/>
    <x v="1"/>
    <x v="1"/>
  </r>
  <r>
    <n v="78"/>
    <s v="B1"/>
    <x v="5"/>
    <s v="A2"/>
    <n v="85.510416666666671"/>
    <x v="0"/>
    <x v="0"/>
    <x v="1"/>
  </r>
  <r>
    <n v="90"/>
    <s v="A2"/>
    <x v="2"/>
    <s v="B2"/>
    <n v="82"/>
    <x v="0"/>
    <x v="1"/>
    <x v="1"/>
  </r>
  <r>
    <n v="62"/>
    <s v="B2"/>
    <x v="0"/>
    <s v="B1"/>
    <n v="88"/>
    <x v="1"/>
    <x v="0"/>
    <x v="0"/>
  </r>
  <r>
    <n v="62"/>
    <s v="B2"/>
    <x v="9"/>
    <s v="A2"/>
    <n v="88"/>
    <x v="1"/>
    <x v="0"/>
    <x v="1"/>
  </r>
  <r>
    <n v="62"/>
    <s v="B2"/>
    <x v="5"/>
    <s v="A2"/>
    <n v="70"/>
    <x v="1"/>
    <x v="0"/>
    <x v="1"/>
  </r>
  <r>
    <n v="92"/>
    <s v="A1"/>
    <x v="2"/>
    <s v="B2"/>
    <n v="85"/>
    <x v="2"/>
    <x v="1"/>
    <x v="0"/>
  </r>
  <r>
    <n v="78"/>
    <s v="B1"/>
    <x v="8"/>
    <s v="B2"/>
    <n v="91"/>
    <x v="0"/>
    <x v="1"/>
    <x v="1"/>
  </r>
  <r>
    <n v="85"/>
    <s v="A2"/>
    <x v="3"/>
    <s v="A2"/>
    <n v="95"/>
    <x v="0"/>
    <x v="0"/>
    <x v="1"/>
  </r>
  <r>
    <n v="85"/>
    <s v="A2"/>
    <x v="3"/>
    <s v="A2"/>
    <n v="90"/>
    <x v="0"/>
    <x v="0"/>
    <x v="0"/>
  </r>
  <r>
    <n v="85"/>
    <s v="A2"/>
    <x v="4"/>
    <s v="A2"/>
    <n v="92"/>
    <x v="0"/>
    <x v="0"/>
    <x v="0"/>
  </r>
  <r>
    <n v="85"/>
    <s v="A2"/>
    <x v="1"/>
    <s v="A2"/>
    <n v="85"/>
    <x v="0"/>
    <x v="0"/>
    <x v="1"/>
  </r>
  <r>
    <n v="72"/>
    <s v="B1"/>
    <x v="1"/>
    <s v="A2"/>
    <n v="78"/>
    <x v="1"/>
    <x v="0"/>
    <x v="1"/>
  </r>
  <r>
    <n v="88"/>
    <s v="A2"/>
    <x v="1"/>
    <s v="A2"/>
    <n v="92"/>
    <x v="0"/>
    <x v="0"/>
    <x v="0"/>
  </r>
  <r>
    <n v="78"/>
    <s v="B1"/>
    <x v="2"/>
    <s v="B2"/>
    <n v="78"/>
    <x v="0"/>
    <x v="1"/>
    <x v="0"/>
  </r>
  <r>
    <n v="92"/>
    <s v="A1"/>
    <x v="8"/>
    <s v="B2"/>
    <n v="90"/>
    <x v="2"/>
    <x v="1"/>
    <x v="1"/>
  </r>
  <r>
    <n v="80"/>
    <s v="B1"/>
    <x v="0"/>
    <s v="B1"/>
    <n v="95"/>
    <x v="0"/>
    <x v="0"/>
    <x v="1"/>
  </r>
  <r>
    <n v="78"/>
    <s v="B1"/>
    <x v="1"/>
    <s v="A2"/>
    <n v="88"/>
    <x v="0"/>
    <x v="0"/>
    <x v="1"/>
  </r>
  <r>
    <n v="90"/>
    <s v="A2"/>
    <x v="3"/>
    <s v="A2"/>
    <n v="92"/>
    <x v="0"/>
    <x v="0"/>
    <x v="0"/>
  </r>
  <r>
    <n v="62"/>
    <s v="B2"/>
    <x v="7"/>
    <s v="B1"/>
    <n v="90"/>
    <x v="1"/>
    <x v="0"/>
    <x v="1"/>
  </r>
  <r>
    <n v="80.030208333333334"/>
    <s v="A2"/>
    <x v="9"/>
    <s v="A2"/>
    <n v="95"/>
    <x v="0"/>
    <x v="0"/>
    <x v="0"/>
  </r>
  <r>
    <n v="85"/>
    <s v="A2"/>
    <x v="6"/>
    <s v="C1"/>
    <n v="78"/>
    <x v="0"/>
    <x v="2"/>
    <x v="1"/>
  </r>
  <r>
    <n v="78"/>
    <s v="B1"/>
    <x v="9"/>
    <s v="A2"/>
    <n v="82"/>
    <x v="0"/>
    <x v="0"/>
    <x v="0"/>
  </r>
  <r>
    <n v="62"/>
    <s v="B2"/>
    <x v="4"/>
    <s v="A2"/>
    <n v="91"/>
    <x v="1"/>
    <x v="0"/>
    <x v="0"/>
  </r>
  <r>
    <n v="78"/>
    <s v="B1"/>
    <x v="9"/>
    <s v="A2"/>
    <n v="85"/>
    <x v="0"/>
    <x v="0"/>
    <x v="0"/>
  </r>
  <r>
    <n v="87"/>
    <s v="A2"/>
    <x v="9"/>
    <s v="A2"/>
    <n v="91"/>
    <x v="0"/>
    <x v="0"/>
    <x v="1"/>
  </r>
  <r>
    <n v="92"/>
    <s v="A1"/>
    <x v="1"/>
    <s v="A2"/>
    <n v="85"/>
    <x v="2"/>
    <x v="0"/>
    <x v="1"/>
  </r>
  <r>
    <n v="92"/>
    <s v="A1"/>
    <x v="6"/>
    <s v="C1"/>
    <n v="70"/>
    <x v="2"/>
    <x v="2"/>
    <x v="1"/>
  </r>
  <r>
    <n v="92"/>
    <s v="A1"/>
    <x v="0"/>
    <s v="B1"/>
    <n v="70"/>
    <x v="2"/>
    <x v="0"/>
    <x v="0"/>
  </r>
  <r>
    <n v="62"/>
    <s v="B2"/>
    <x v="2"/>
    <s v="B2"/>
    <n v="85"/>
    <x v="1"/>
    <x v="1"/>
    <x v="0"/>
  </r>
  <r>
    <n v="90"/>
    <s v="A2"/>
    <x v="8"/>
    <s v="B2"/>
    <n v="90"/>
    <x v="0"/>
    <x v="1"/>
    <x v="1"/>
  </r>
  <r>
    <n v="62"/>
    <s v="B2"/>
    <x v="9"/>
    <s v="A2"/>
    <n v="88"/>
    <x v="1"/>
    <x v="0"/>
    <x v="0"/>
  </r>
  <r>
    <n v="68"/>
    <s v="B2"/>
    <x v="7"/>
    <s v="B1"/>
    <n v="85.510416666666671"/>
    <x v="1"/>
    <x v="0"/>
    <x v="1"/>
  </r>
  <r>
    <n v="85"/>
    <s v="A2"/>
    <x v="0"/>
    <s v="B1"/>
    <n v="90"/>
    <x v="0"/>
    <x v="0"/>
    <x v="1"/>
  </r>
  <r>
    <n v="78"/>
    <s v="B1"/>
    <x v="6"/>
    <s v="C1"/>
    <n v="82"/>
    <x v="0"/>
    <x v="2"/>
    <x v="1"/>
  </r>
  <r>
    <n v="78"/>
    <s v="B1"/>
    <x v="3"/>
    <s v="A2"/>
    <n v="78"/>
    <x v="0"/>
    <x v="0"/>
    <x v="0"/>
  </r>
  <r>
    <n v="72"/>
    <s v="B1"/>
    <x v="10"/>
    <s v="B1"/>
    <n v="85"/>
    <x v="1"/>
    <x v="0"/>
    <x v="0"/>
  </r>
  <r>
    <n v="68"/>
    <s v="B2"/>
    <x v="3"/>
    <s v="A2"/>
    <n v="95"/>
    <x v="1"/>
    <x v="0"/>
    <x v="0"/>
  </r>
  <r>
    <n v="87"/>
    <s v="A2"/>
    <x v="3"/>
    <s v="A2"/>
    <n v="70"/>
    <x v="0"/>
    <x v="0"/>
    <x v="0"/>
  </r>
  <r>
    <n v="80"/>
    <s v="B1"/>
    <x v="1"/>
    <s v="A2"/>
    <n v="95"/>
    <x v="0"/>
    <x v="0"/>
    <x v="1"/>
  </r>
  <r>
    <n v="88"/>
    <s v="A2"/>
    <x v="5"/>
    <s v="A2"/>
    <n v="91"/>
    <x v="0"/>
    <x v="0"/>
    <x v="1"/>
  </r>
  <r>
    <n v="88"/>
    <s v="A2"/>
    <x v="0"/>
    <s v="B1"/>
    <n v="88"/>
    <x v="0"/>
    <x v="0"/>
    <x v="0"/>
  </r>
  <r>
    <n v="62"/>
    <s v="B2"/>
    <x v="0"/>
    <s v="B1"/>
    <n v="70"/>
    <x v="1"/>
    <x v="0"/>
    <x v="0"/>
  </r>
  <r>
    <n v="90"/>
    <s v="A2"/>
    <x v="4"/>
    <s v="A2"/>
    <n v="85"/>
    <x v="0"/>
    <x v="0"/>
    <x v="1"/>
  </r>
  <r>
    <n v="62"/>
    <s v="B2"/>
    <x v="4"/>
    <s v="A2"/>
    <n v="70"/>
    <x v="1"/>
    <x v="0"/>
    <x v="1"/>
  </r>
  <r>
    <n v="78"/>
    <s v="B1"/>
    <x v="0"/>
    <s v="B1"/>
    <n v="70"/>
    <x v="0"/>
    <x v="0"/>
    <x v="1"/>
  </r>
  <r>
    <n v="85"/>
    <s v="A2"/>
    <x v="6"/>
    <s v="C1"/>
    <n v="88"/>
    <x v="0"/>
    <x v="2"/>
    <x v="0"/>
  </r>
  <r>
    <n v="80"/>
    <s v="B1"/>
    <x v="0"/>
    <s v="B1"/>
    <n v="88"/>
    <x v="0"/>
    <x v="0"/>
    <x v="1"/>
  </r>
  <r>
    <n v="88"/>
    <s v="A2"/>
    <x v="4"/>
    <s v="A2"/>
    <n v="85"/>
    <x v="0"/>
    <x v="0"/>
    <x v="0"/>
  </r>
  <r>
    <n v="62"/>
    <s v="B2"/>
    <x v="6"/>
    <s v="C1"/>
    <n v="78"/>
    <x v="1"/>
    <x v="2"/>
    <x v="1"/>
  </r>
  <r>
    <n v="68"/>
    <s v="B2"/>
    <x v="5"/>
    <s v="A2"/>
    <n v="91"/>
    <x v="1"/>
    <x v="0"/>
    <x v="1"/>
  </r>
  <r>
    <n v="80"/>
    <s v="B1"/>
    <x v="0"/>
    <s v="B1"/>
    <n v="82"/>
    <x v="0"/>
    <x v="0"/>
    <x v="1"/>
  </r>
  <r>
    <n v="62"/>
    <s v="B2"/>
    <x v="9"/>
    <s v="A2"/>
    <n v="88"/>
    <x v="1"/>
    <x v="0"/>
    <x v="1"/>
  </r>
  <r>
    <n v="92"/>
    <s v="A1"/>
    <x v="0"/>
    <s v="B1"/>
    <n v="92"/>
    <x v="2"/>
    <x v="0"/>
    <x v="0"/>
  </r>
  <r>
    <n v="62"/>
    <s v="B2"/>
    <x v="7"/>
    <s v="B1"/>
    <n v="90"/>
    <x v="1"/>
    <x v="0"/>
    <x v="0"/>
  </r>
  <r>
    <n v="92"/>
    <s v="A1"/>
    <x v="7"/>
    <s v="B1"/>
    <n v="85"/>
    <x v="2"/>
    <x v="0"/>
    <x v="1"/>
  </r>
  <r>
    <n v="88"/>
    <s v="A2"/>
    <x v="6"/>
    <s v="C1"/>
    <n v="90"/>
    <x v="0"/>
    <x v="2"/>
    <x v="0"/>
  </r>
  <r>
    <n v="80.030208333333334"/>
    <s v="A2"/>
    <x v="8"/>
    <s v="B2"/>
    <n v="70"/>
    <x v="0"/>
    <x v="1"/>
    <x v="1"/>
  </r>
  <r>
    <n v="85"/>
    <s v="A2"/>
    <x v="5"/>
    <s v="A2"/>
    <n v="70"/>
    <x v="0"/>
    <x v="0"/>
    <x v="0"/>
  </r>
  <r>
    <n v="68"/>
    <s v="B2"/>
    <x v="7"/>
    <s v="B1"/>
    <n v="91"/>
    <x v="1"/>
    <x v="0"/>
    <x v="1"/>
  </r>
  <r>
    <n v="90"/>
    <s v="A2"/>
    <x v="3"/>
    <s v="A2"/>
    <n v="92"/>
    <x v="0"/>
    <x v="0"/>
    <x v="1"/>
  </r>
  <r>
    <n v="88"/>
    <s v="A2"/>
    <x v="5"/>
    <s v="A2"/>
    <n v="70"/>
    <x v="0"/>
    <x v="0"/>
    <x v="1"/>
  </r>
  <r>
    <n v="87"/>
    <s v="A2"/>
    <x v="2"/>
    <s v="B2"/>
    <n v="78"/>
    <x v="0"/>
    <x v="1"/>
    <x v="0"/>
  </r>
  <r>
    <n v="90"/>
    <s v="A2"/>
    <x v="10"/>
    <s v="B1"/>
    <n v="82"/>
    <x v="0"/>
    <x v="0"/>
    <x v="0"/>
  </r>
  <r>
    <n v="72"/>
    <s v="B1"/>
    <x v="9"/>
    <s v="A2"/>
    <n v="70"/>
    <x v="1"/>
    <x v="0"/>
    <x v="1"/>
  </r>
  <r>
    <n v="87"/>
    <s v="A2"/>
    <x v="2"/>
    <s v="B2"/>
    <n v="82"/>
    <x v="0"/>
    <x v="1"/>
    <x v="0"/>
  </r>
  <r>
    <n v="72"/>
    <s v="B1"/>
    <x v="1"/>
    <s v="A2"/>
    <n v="91"/>
    <x v="1"/>
    <x v="0"/>
    <x v="0"/>
  </r>
  <r>
    <n v="87"/>
    <s v="A2"/>
    <x v="7"/>
    <s v="B1"/>
    <n v="78"/>
    <x v="0"/>
    <x v="0"/>
    <x v="1"/>
  </r>
  <r>
    <n v="78"/>
    <s v="B1"/>
    <x v="6"/>
    <s v="C1"/>
    <n v="92"/>
    <x v="0"/>
    <x v="2"/>
    <x v="0"/>
  </r>
  <r>
    <n v="72"/>
    <s v="B1"/>
    <x v="5"/>
    <s v="A2"/>
    <n v="95"/>
    <x v="1"/>
    <x v="0"/>
    <x v="1"/>
  </r>
  <r>
    <n v="78"/>
    <s v="B1"/>
    <x v="8"/>
    <s v="B2"/>
    <n v="85.510416666666671"/>
    <x v="0"/>
    <x v="1"/>
    <x v="1"/>
  </r>
  <r>
    <n v="80.030208333333334"/>
    <s v="A2"/>
    <x v="2"/>
    <s v="B2"/>
    <n v="85.510416666666671"/>
    <x v="0"/>
    <x v="1"/>
    <x v="1"/>
  </r>
  <r>
    <n v="90"/>
    <s v="A2"/>
    <x v="10"/>
    <s v="B1"/>
    <n v="70"/>
    <x v="0"/>
    <x v="0"/>
    <x v="1"/>
  </r>
  <r>
    <n v="88"/>
    <s v="A2"/>
    <x v="3"/>
    <s v="A2"/>
    <n v="70"/>
    <x v="0"/>
    <x v="0"/>
    <x v="0"/>
  </r>
  <r>
    <n v="62"/>
    <s v="B2"/>
    <x v="0"/>
    <s v="B1"/>
    <n v="88"/>
    <x v="1"/>
    <x v="0"/>
    <x v="0"/>
  </r>
  <r>
    <n v="72"/>
    <s v="B1"/>
    <x v="8"/>
    <s v="B2"/>
    <n v="92"/>
    <x v="1"/>
    <x v="1"/>
    <x v="1"/>
  </r>
  <r>
    <n v="62"/>
    <s v="B2"/>
    <x v="4"/>
    <s v="A2"/>
    <n v="82"/>
    <x v="1"/>
    <x v="0"/>
    <x v="0"/>
  </r>
  <r>
    <n v="87"/>
    <s v="A2"/>
    <x v="1"/>
    <s v="A2"/>
    <n v="82"/>
    <x v="0"/>
    <x v="0"/>
    <x v="1"/>
  </r>
  <r>
    <n v="92"/>
    <s v="A1"/>
    <x v="9"/>
    <s v="A2"/>
    <n v="92"/>
    <x v="2"/>
    <x v="0"/>
    <x v="1"/>
  </r>
  <r>
    <n v="90"/>
    <s v="A2"/>
    <x v="8"/>
    <s v="B2"/>
    <n v="90"/>
    <x v="0"/>
    <x v="1"/>
    <x v="2"/>
  </r>
  <r>
    <n v="92"/>
    <s v="A1"/>
    <x v="6"/>
    <s v="C1"/>
    <n v="90"/>
    <x v="2"/>
    <x v="2"/>
    <x v="0"/>
  </r>
  <r>
    <n v="78"/>
    <s v="B1"/>
    <x v="7"/>
    <s v="B1"/>
    <n v="88"/>
    <x v="0"/>
    <x v="0"/>
    <x v="2"/>
  </r>
  <r>
    <n v="87"/>
    <s v="A2"/>
    <x v="2"/>
    <s v="B2"/>
    <n v="85"/>
    <x v="0"/>
    <x v="1"/>
    <x v="0"/>
  </r>
  <r>
    <n v="87"/>
    <s v="A2"/>
    <x v="1"/>
    <s v="A2"/>
    <n v="82"/>
    <x v="0"/>
    <x v="0"/>
    <x v="0"/>
  </r>
  <r>
    <n v="85"/>
    <s v="A2"/>
    <x v="4"/>
    <s v="A2"/>
    <n v="90"/>
    <x v="0"/>
    <x v="0"/>
    <x v="0"/>
  </r>
  <r>
    <n v="78"/>
    <s v="B1"/>
    <x v="4"/>
    <s v="A2"/>
    <n v="85"/>
    <x v="0"/>
    <x v="0"/>
    <x v="1"/>
  </r>
  <r>
    <n v="78"/>
    <s v="B1"/>
    <x v="9"/>
    <s v="A2"/>
    <n v="70"/>
    <x v="0"/>
    <x v="0"/>
    <x v="0"/>
  </r>
  <r>
    <n v="78"/>
    <s v="B1"/>
    <x v="7"/>
    <s v="B1"/>
    <n v="78"/>
    <x v="0"/>
    <x v="0"/>
    <x v="0"/>
  </r>
  <r>
    <n v="80"/>
    <s v="B1"/>
    <x v="6"/>
    <s v="C1"/>
    <n v="70"/>
    <x v="0"/>
    <x v="2"/>
    <x v="1"/>
  </r>
  <r>
    <n v="87"/>
    <s v="A2"/>
    <x v="4"/>
    <s v="A2"/>
    <n v="85"/>
    <x v="0"/>
    <x v="0"/>
    <x v="0"/>
  </r>
  <r>
    <n v="80"/>
    <s v="B1"/>
    <x v="3"/>
    <s v="A2"/>
    <n v="91"/>
    <x v="0"/>
    <x v="0"/>
    <x v="0"/>
  </r>
  <r>
    <n v="80.030208333333334"/>
    <s v="A2"/>
    <x v="9"/>
    <s v="A2"/>
    <n v="92"/>
    <x v="0"/>
    <x v="0"/>
    <x v="1"/>
  </r>
  <r>
    <n v="72"/>
    <s v="B1"/>
    <x v="2"/>
    <s v="B2"/>
    <n v="95"/>
    <x v="1"/>
    <x v="1"/>
    <x v="0"/>
  </r>
  <r>
    <n v="85"/>
    <s v="A2"/>
    <x v="4"/>
    <s v="A2"/>
    <n v="82"/>
    <x v="0"/>
    <x v="0"/>
    <x v="0"/>
  </r>
  <r>
    <n v="80"/>
    <s v="B1"/>
    <x v="5"/>
    <s v="A2"/>
    <n v="85"/>
    <x v="0"/>
    <x v="0"/>
    <x v="0"/>
  </r>
  <r>
    <n v="92"/>
    <s v="A1"/>
    <x v="6"/>
    <s v="C1"/>
    <n v="95"/>
    <x v="2"/>
    <x v="2"/>
    <x v="1"/>
  </r>
  <r>
    <n v="72"/>
    <s v="B1"/>
    <x v="0"/>
    <s v="B1"/>
    <n v="90"/>
    <x v="1"/>
    <x v="0"/>
    <x v="1"/>
  </r>
  <r>
    <n v="87"/>
    <s v="A2"/>
    <x v="8"/>
    <s v="B2"/>
    <n v="85"/>
    <x v="0"/>
    <x v="1"/>
    <x v="0"/>
  </r>
  <r>
    <n v="90"/>
    <s v="A2"/>
    <x v="8"/>
    <s v="B2"/>
    <n v="85"/>
    <x v="0"/>
    <x v="1"/>
    <x v="1"/>
  </r>
  <r>
    <n v="88"/>
    <s v="A2"/>
    <x v="0"/>
    <s v="B1"/>
    <n v="82"/>
    <x v="0"/>
    <x v="0"/>
    <x v="1"/>
  </r>
  <r>
    <n v="92"/>
    <s v="A1"/>
    <x v="10"/>
    <s v="B1"/>
    <n v="88"/>
    <x v="2"/>
    <x v="0"/>
    <x v="1"/>
  </r>
  <r>
    <n v="62"/>
    <s v="B2"/>
    <x v="1"/>
    <s v="A2"/>
    <n v="82"/>
    <x v="1"/>
    <x v="0"/>
    <x v="0"/>
  </r>
  <r>
    <n v="85"/>
    <s v="A2"/>
    <x v="5"/>
    <s v="A2"/>
    <n v="91"/>
    <x v="0"/>
    <x v="0"/>
    <x v="0"/>
  </r>
  <r>
    <n v="90"/>
    <s v="A2"/>
    <x v="3"/>
    <s v="A2"/>
    <n v="95"/>
    <x v="0"/>
    <x v="0"/>
    <x v="0"/>
  </r>
  <r>
    <n v="78"/>
    <s v="B1"/>
    <x v="2"/>
    <s v="B2"/>
    <n v="85"/>
    <x v="0"/>
    <x v="1"/>
    <x v="1"/>
  </r>
  <r>
    <n v="90"/>
    <s v="A2"/>
    <x v="5"/>
    <s v="A2"/>
    <n v="85"/>
    <x v="0"/>
    <x v="0"/>
    <x v="0"/>
  </r>
  <r>
    <n v="80"/>
    <s v="B1"/>
    <x v="7"/>
    <s v="B1"/>
    <n v="95"/>
    <x v="0"/>
    <x v="0"/>
    <x v="1"/>
  </r>
  <r>
    <n v="90"/>
    <s v="A2"/>
    <x v="3"/>
    <s v="A2"/>
    <n v="91"/>
    <x v="0"/>
    <x v="0"/>
    <x v="2"/>
  </r>
  <r>
    <n v="78"/>
    <s v="B1"/>
    <x v="10"/>
    <s v="B1"/>
    <n v="70"/>
    <x v="0"/>
    <x v="0"/>
    <x v="0"/>
  </r>
  <r>
    <n v="72"/>
    <s v="B1"/>
    <x v="4"/>
    <s v="A2"/>
    <n v="90"/>
    <x v="1"/>
    <x v="0"/>
    <x v="0"/>
  </r>
  <r>
    <n v="80"/>
    <s v="B1"/>
    <x v="0"/>
    <s v="B1"/>
    <n v="82"/>
    <x v="0"/>
    <x v="0"/>
    <x v="1"/>
  </r>
  <r>
    <n v="72"/>
    <s v="B1"/>
    <x v="7"/>
    <s v="B1"/>
    <n v="90"/>
    <x v="1"/>
    <x v="0"/>
    <x v="1"/>
  </r>
  <r>
    <n v="62"/>
    <s v="B2"/>
    <x v="7"/>
    <s v="B1"/>
    <n v="85.510416666666671"/>
    <x v="1"/>
    <x v="0"/>
    <x v="1"/>
  </r>
  <r>
    <n v="85"/>
    <s v="A2"/>
    <x v="3"/>
    <s v="A2"/>
    <n v="90"/>
    <x v="0"/>
    <x v="0"/>
    <x v="1"/>
  </r>
  <r>
    <n v="92"/>
    <s v="A1"/>
    <x v="9"/>
    <s v="A2"/>
    <n v="70"/>
    <x v="2"/>
    <x v="0"/>
    <x v="1"/>
  </r>
  <r>
    <n v="78"/>
    <s v="B1"/>
    <x v="1"/>
    <s v="A2"/>
    <n v="85.510416666666671"/>
    <x v="0"/>
    <x v="0"/>
    <x v="1"/>
  </r>
  <r>
    <n v="87"/>
    <s v="A2"/>
    <x v="6"/>
    <s v="C1"/>
    <n v="85"/>
    <x v="0"/>
    <x v="2"/>
    <x v="0"/>
  </r>
  <r>
    <n v="80"/>
    <s v="B1"/>
    <x v="1"/>
    <s v="A2"/>
    <n v="91"/>
    <x v="0"/>
    <x v="0"/>
    <x v="1"/>
  </r>
  <r>
    <n v="88"/>
    <s v="A2"/>
    <x v="3"/>
    <s v="A2"/>
    <n v="91"/>
    <x v="0"/>
    <x v="0"/>
    <x v="0"/>
  </r>
  <r>
    <n v="88"/>
    <s v="A2"/>
    <x v="7"/>
    <s v="B1"/>
    <n v="95"/>
    <x v="0"/>
    <x v="0"/>
    <x v="0"/>
  </r>
  <r>
    <n v="62"/>
    <s v="B2"/>
    <x v="8"/>
    <s v="B2"/>
    <n v="91"/>
    <x v="1"/>
    <x v="1"/>
    <x v="0"/>
  </r>
  <r>
    <n v="88"/>
    <s v="A2"/>
    <x v="0"/>
    <s v="B1"/>
    <n v="85.510416666666671"/>
    <x v="0"/>
    <x v="0"/>
    <x v="0"/>
  </r>
  <r>
    <n v="85"/>
    <s v="A2"/>
    <x v="4"/>
    <s v="A2"/>
    <n v="78"/>
    <x v="0"/>
    <x v="0"/>
    <x v="0"/>
  </r>
  <r>
    <n v="92"/>
    <s v="A1"/>
    <x v="0"/>
    <s v="B1"/>
    <n v="82"/>
    <x v="2"/>
    <x v="0"/>
    <x v="0"/>
  </r>
  <r>
    <n v="90"/>
    <s v="A2"/>
    <x v="7"/>
    <s v="B1"/>
    <n v="92"/>
    <x v="0"/>
    <x v="0"/>
    <x v="2"/>
  </r>
  <r>
    <n v="78"/>
    <s v="B1"/>
    <x v="1"/>
    <s v="A2"/>
    <n v="95"/>
    <x v="0"/>
    <x v="0"/>
    <x v="1"/>
  </r>
  <r>
    <n v="90"/>
    <s v="A2"/>
    <x v="3"/>
    <s v="A2"/>
    <n v="85.510416666666671"/>
    <x v="0"/>
    <x v="0"/>
    <x v="1"/>
  </r>
  <r>
    <n v="80"/>
    <s v="B1"/>
    <x v="0"/>
    <s v="B1"/>
    <n v="85"/>
    <x v="0"/>
    <x v="0"/>
    <x v="0"/>
  </r>
  <r>
    <n v="92"/>
    <s v="A1"/>
    <x v="0"/>
    <s v="B1"/>
    <n v="91"/>
    <x v="2"/>
    <x v="0"/>
    <x v="0"/>
  </r>
  <r>
    <n v="68"/>
    <s v="B2"/>
    <x v="2"/>
    <s v="B2"/>
    <n v="82"/>
    <x v="1"/>
    <x v="1"/>
    <x v="1"/>
  </r>
  <r>
    <n v="92"/>
    <s v="A1"/>
    <x v="3"/>
    <s v="A2"/>
    <n v="90"/>
    <x v="2"/>
    <x v="0"/>
    <x v="1"/>
  </r>
  <r>
    <n v="92"/>
    <s v="A1"/>
    <x v="2"/>
    <s v="B2"/>
    <n v="90"/>
    <x v="2"/>
    <x v="1"/>
    <x v="1"/>
  </r>
  <r>
    <n v="72"/>
    <s v="B1"/>
    <x v="9"/>
    <s v="A2"/>
    <n v="92"/>
    <x v="1"/>
    <x v="0"/>
    <x v="1"/>
  </r>
  <r>
    <n v="92"/>
    <s v="A1"/>
    <x v="8"/>
    <s v="B2"/>
    <n v="88"/>
    <x v="2"/>
    <x v="1"/>
    <x v="0"/>
  </r>
  <r>
    <n v="72"/>
    <s v="B1"/>
    <x v="8"/>
    <s v="B2"/>
    <n v="82"/>
    <x v="1"/>
    <x v="1"/>
    <x v="0"/>
  </r>
  <r>
    <n v="88"/>
    <s v="A2"/>
    <x v="4"/>
    <s v="A2"/>
    <n v="85"/>
    <x v="0"/>
    <x v="0"/>
    <x v="1"/>
  </r>
  <r>
    <n v="62"/>
    <s v="B2"/>
    <x v="3"/>
    <s v="A2"/>
    <n v="92"/>
    <x v="1"/>
    <x v="0"/>
    <x v="1"/>
  </r>
  <r>
    <n v="92"/>
    <s v="A1"/>
    <x v="7"/>
    <s v="B1"/>
    <n v="90"/>
    <x v="2"/>
    <x v="0"/>
    <x v="2"/>
  </r>
  <r>
    <n v="90"/>
    <s v="A2"/>
    <x v="6"/>
    <s v="C1"/>
    <n v="85"/>
    <x v="0"/>
    <x v="2"/>
    <x v="1"/>
  </r>
  <r>
    <n v="72"/>
    <s v="B1"/>
    <x v="5"/>
    <s v="A2"/>
    <n v="88"/>
    <x v="1"/>
    <x v="0"/>
    <x v="0"/>
  </r>
  <r>
    <n v="72"/>
    <s v="B1"/>
    <x v="1"/>
    <s v="A2"/>
    <n v="90"/>
    <x v="1"/>
    <x v="0"/>
    <x v="0"/>
  </r>
  <r>
    <n v="72"/>
    <s v="B1"/>
    <x v="9"/>
    <s v="A2"/>
    <n v="88"/>
    <x v="1"/>
    <x v="0"/>
    <x v="1"/>
  </r>
  <r>
    <n v="72"/>
    <s v="B1"/>
    <x v="9"/>
    <s v="A2"/>
    <n v="70"/>
    <x v="1"/>
    <x v="0"/>
    <x v="1"/>
  </r>
  <r>
    <n v="72"/>
    <s v="B1"/>
    <x v="3"/>
    <s v="A2"/>
    <n v="92"/>
    <x v="1"/>
    <x v="0"/>
    <x v="0"/>
  </r>
  <r>
    <n v="78"/>
    <s v="B1"/>
    <x v="6"/>
    <s v="C1"/>
    <n v="95"/>
    <x v="0"/>
    <x v="2"/>
    <x v="0"/>
  </r>
  <r>
    <n v="90"/>
    <s v="A2"/>
    <x v="4"/>
    <s v="A2"/>
    <n v="91"/>
    <x v="0"/>
    <x v="0"/>
    <x v="0"/>
  </r>
  <r>
    <n v="68"/>
    <s v="B2"/>
    <x v="0"/>
    <s v="B1"/>
    <n v="95"/>
    <x v="1"/>
    <x v="0"/>
    <x v="1"/>
  </r>
  <r>
    <n v="78"/>
    <s v="B1"/>
    <x v="8"/>
    <s v="B2"/>
    <n v="70"/>
    <x v="0"/>
    <x v="1"/>
    <x v="0"/>
  </r>
  <r>
    <n v="88"/>
    <s v="A2"/>
    <x v="8"/>
    <s v="B2"/>
    <n v="85.510416666666671"/>
    <x v="0"/>
    <x v="1"/>
    <x v="0"/>
  </r>
  <r>
    <n v="72"/>
    <s v="B1"/>
    <x v="3"/>
    <s v="A2"/>
    <n v="88"/>
    <x v="1"/>
    <x v="0"/>
    <x v="1"/>
  </r>
  <r>
    <n v="87"/>
    <s v="A2"/>
    <x v="6"/>
    <s v="C1"/>
    <n v="78"/>
    <x v="0"/>
    <x v="2"/>
    <x v="0"/>
  </r>
  <r>
    <n v="78"/>
    <s v="B1"/>
    <x v="3"/>
    <s v="A2"/>
    <n v="85.510416666666671"/>
    <x v="0"/>
    <x v="0"/>
    <x v="1"/>
  </r>
  <r>
    <n v="87"/>
    <s v="A2"/>
    <x v="0"/>
    <s v="B1"/>
    <n v="88"/>
    <x v="0"/>
    <x v="0"/>
    <x v="2"/>
  </r>
  <r>
    <n v="80"/>
    <s v="B1"/>
    <x v="7"/>
    <s v="B1"/>
    <n v="91"/>
    <x v="0"/>
    <x v="0"/>
    <x v="1"/>
  </r>
  <r>
    <n v="68"/>
    <s v="B2"/>
    <x v="2"/>
    <s v="B2"/>
    <n v="70"/>
    <x v="1"/>
    <x v="1"/>
    <x v="1"/>
  </r>
  <r>
    <n v="80"/>
    <s v="B1"/>
    <x v="1"/>
    <s v="A2"/>
    <n v="78"/>
    <x v="0"/>
    <x v="0"/>
    <x v="1"/>
  </r>
  <r>
    <n v="87"/>
    <s v="A2"/>
    <x v="7"/>
    <s v="B1"/>
    <n v="90"/>
    <x v="0"/>
    <x v="0"/>
    <x v="1"/>
  </r>
  <r>
    <n v="72"/>
    <s v="B1"/>
    <x v="2"/>
    <s v="B2"/>
    <n v="70"/>
    <x v="1"/>
    <x v="1"/>
    <x v="1"/>
  </r>
  <r>
    <n v="80"/>
    <s v="B1"/>
    <x v="3"/>
    <s v="A2"/>
    <n v="95"/>
    <x v="0"/>
    <x v="0"/>
    <x v="1"/>
  </r>
  <r>
    <n v="92"/>
    <s v="A1"/>
    <x v="1"/>
    <s v="A2"/>
    <n v="85"/>
    <x v="2"/>
    <x v="0"/>
    <x v="1"/>
  </r>
  <r>
    <n v="68"/>
    <s v="B2"/>
    <x v="0"/>
    <s v="B1"/>
    <n v="78"/>
    <x v="1"/>
    <x v="0"/>
    <x v="1"/>
  </r>
  <r>
    <n v="68"/>
    <s v="B2"/>
    <x v="2"/>
    <s v="B2"/>
    <n v="85"/>
    <x v="1"/>
    <x v="1"/>
    <x v="0"/>
  </r>
  <r>
    <n v="80"/>
    <s v="B1"/>
    <x v="6"/>
    <s v="C1"/>
    <n v="82"/>
    <x v="0"/>
    <x v="2"/>
    <x v="0"/>
  </r>
  <r>
    <n v="62"/>
    <s v="B2"/>
    <x v="3"/>
    <s v="A2"/>
    <n v="95"/>
    <x v="1"/>
    <x v="0"/>
    <x v="0"/>
  </r>
  <r>
    <n v="62"/>
    <s v="B2"/>
    <x v="2"/>
    <s v="B2"/>
    <n v="92"/>
    <x v="1"/>
    <x v="1"/>
    <x v="0"/>
  </r>
  <r>
    <n v="92"/>
    <s v="A1"/>
    <x v="6"/>
    <s v="C1"/>
    <n v="82"/>
    <x v="2"/>
    <x v="2"/>
    <x v="0"/>
  </r>
  <r>
    <n v="92"/>
    <s v="A1"/>
    <x v="6"/>
    <s v="C1"/>
    <n v="95"/>
    <x v="2"/>
    <x v="2"/>
    <x v="1"/>
  </r>
  <r>
    <n v="87"/>
    <s v="A2"/>
    <x v="4"/>
    <s v="A2"/>
    <n v="92"/>
    <x v="0"/>
    <x v="0"/>
    <x v="0"/>
  </r>
  <r>
    <n v="68"/>
    <s v="B2"/>
    <x v="6"/>
    <s v="C1"/>
    <n v="91"/>
    <x v="1"/>
    <x v="2"/>
    <x v="0"/>
  </r>
  <r>
    <n v="62"/>
    <s v="B2"/>
    <x v="9"/>
    <s v="A2"/>
    <n v="95"/>
    <x v="1"/>
    <x v="0"/>
    <x v="2"/>
  </r>
  <r>
    <n v="92"/>
    <s v="A1"/>
    <x v="9"/>
    <s v="A2"/>
    <n v="85.510416666666671"/>
    <x v="2"/>
    <x v="0"/>
    <x v="0"/>
  </r>
  <r>
    <n v="68"/>
    <s v="B2"/>
    <x v="7"/>
    <s v="B1"/>
    <n v="78"/>
    <x v="1"/>
    <x v="0"/>
    <x v="0"/>
  </r>
  <r>
    <n v="80"/>
    <s v="B1"/>
    <x v="10"/>
    <s v="B1"/>
    <n v="85.510416666666671"/>
    <x v="0"/>
    <x v="0"/>
    <x v="1"/>
  </r>
  <r>
    <n v="80"/>
    <s v="B1"/>
    <x v="3"/>
    <s v="A2"/>
    <n v="95"/>
    <x v="0"/>
    <x v="0"/>
    <x v="0"/>
  </r>
  <r>
    <n v="80"/>
    <s v="B1"/>
    <x v="2"/>
    <s v="B2"/>
    <n v="82"/>
    <x v="0"/>
    <x v="1"/>
    <x v="1"/>
  </r>
  <r>
    <n v="88"/>
    <s v="A2"/>
    <x v="2"/>
    <s v="B2"/>
    <n v="78"/>
    <x v="0"/>
    <x v="1"/>
    <x v="0"/>
  </r>
  <r>
    <n v="92"/>
    <s v="A1"/>
    <x v="4"/>
    <s v="A2"/>
    <n v="70"/>
    <x v="2"/>
    <x v="0"/>
    <x v="0"/>
  </r>
  <r>
    <n v="87"/>
    <s v="A2"/>
    <x v="3"/>
    <s v="A2"/>
    <n v="91"/>
    <x v="0"/>
    <x v="0"/>
    <x v="1"/>
  </r>
  <r>
    <n v="62"/>
    <s v="B2"/>
    <x v="6"/>
    <s v="C1"/>
    <n v="85"/>
    <x v="1"/>
    <x v="2"/>
    <x v="0"/>
  </r>
  <r>
    <n v="68"/>
    <s v="B2"/>
    <x v="4"/>
    <s v="A2"/>
    <n v="70"/>
    <x v="1"/>
    <x v="0"/>
    <x v="1"/>
  </r>
  <r>
    <n v="88"/>
    <s v="A2"/>
    <x v="4"/>
    <s v="A2"/>
    <n v="88"/>
    <x v="0"/>
    <x v="0"/>
    <x v="1"/>
  </r>
  <r>
    <n v="90"/>
    <s v="A2"/>
    <x v="0"/>
    <s v="B1"/>
    <n v="78"/>
    <x v="0"/>
    <x v="0"/>
    <x v="0"/>
  </r>
  <r>
    <n v="80"/>
    <s v="B1"/>
    <x v="9"/>
    <s v="A2"/>
    <n v="85"/>
    <x v="0"/>
    <x v="0"/>
    <x v="1"/>
  </r>
  <r>
    <n v="78"/>
    <s v="B1"/>
    <x v="5"/>
    <s v="A2"/>
    <n v="70"/>
    <x v="0"/>
    <x v="0"/>
    <x v="0"/>
  </r>
  <r>
    <n v="80"/>
    <s v="B1"/>
    <x v="7"/>
    <s v="B1"/>
    <n v="92"/>
    <x v="0"/>
    <x v="0"/>
    <x v="2"/>
  </r>
  <r>
    <n v="68"/>
    <s v="B2"/>
    <x v="3"/>
    <s v="A2"/>
    <n v="78"/>
    <x v="1"/>
    <x v="0"/>
    <x v="1"/>
  </r>
  <r>
    <n v="68"/>
    <s v="B2"/>
    <x v="8"/>
    <s v="B2"/>
    <n v="91"/>
    <x v="1"/>
    <x v="1"/>
    <x v="1"/>
  </r>
  <r>
    <n v="80.030208333333334"/>
    <s v="A2"/>
    <x v="6"/>
    <s v="C1"/>
    <n v="91"/>
    <x v="0"/>
    <x v="2"/>
    <x v="1"/>
  </r>
  <r>
    <n v="80"/>
    <s v="B1"/>
    <x v="0"/>
    <s v="B1"/>
    <n v="70"/>
    <x v="0"/>
    <x v="0"/>
    <x v="2"/>
  </r>
  <r>
    <n v="68"/>
    <s v="B2"/>
    <x v="2"/>
    <s v="B2"/>
    <n v="88"/>
    <x v="1"/>
    <x v="1"/>
    <x v="2"/>
  </r>
  <r>
    <n v="80"/>
    <s v="B1"/>
    <x v="3"/>
    <s v="A2"/>
    <n v="85"/>
    <x v="0"/>
    <x v="0"/>
    <x v="0"/>
  </r>
  <r>
    <n v="85"/>
    <s v="A2"/>
    <x v="1"/>
    <s v="A2"/>
    <n v="85"/>
    <x v="0"/>
    <x v="0"/>
    <x v="1"/>
  </r>
  <r>
    <n v="87"/>
    <s v="A2"/>
    <x v="3"/>
    <s v="A2"/>
    <n v="85"/>
    <x v="0"/>
    <x v="0"/>
    <x v="1"/>
  </r>
  <r>
    <n v="72"/>
    <s v="B1"/>
    <x v="0"/>
    <s v="B1"/>
    <n v="92"/>
    <x v="1"/>
    <x v="0"/>
    <x v="0"/>
  </r>
  <r>
    <n v="90"/>
    <s v="A2"/>
    <x v="6"/>
    <s v="C1"/>
    <n v="95"/>
    <x v="0"/>
    <x v="2"/>
    <x v="1"/>
  </r>
  <r>
    <n v="80"/>
    <s v="B1"/>
    <x v="5"/>
    <s v="A2"/>
    <n v="91"/>
    <x v="0"/>
    <x v="0"/>
    <x v="1"/>
  </r>
  <r>
    <n v="92"/>
    <s v="A1"/>
    <x v="8"/>
    <s v="B2"/>
    <n v="91"/>
    <x v="2"/>
    <x v="1"/>
    <x v="0"/>
  </r>
  <r>
    <n v="90"/>
    <s v="A2"/>
    <x v="5"/>
    <s v="A2"/>
    <n v="92"/>
    <x v="0"/>
    <x v="0"/>
    <x v="1"/>
  </r>
  <r>
    <n v="90"/>
    <s v="A2"/>
    <x v="6"/>
    <s v="C1"/>
    <n v="91"/>
    <x v="0"/>
    <x v="2"/>
    <x v="0"/>
  </r>
  <r>
    <n v="80.030208333333334"/>
    <s v="A2"/>
    <x v="2"/>
    <s v="B2"/>
    <n v="91"/>
    <x v="0"/>
    <x v="1"/>
    <x v="1"/>
  </r>
  <r>
    <n v="72"/>
    <s v="B1"/>
    <x v="1"/>
    <s v="A2"/>
    <n v="78"/>
    <x v="1"/>
    <x v="0"/>
    <x v="1"/>
  </r>
  <r>
    <n v="85"/>
    <s v="A2"/>
    <x v="2"/>
    <s v="B2"/>
    <n v="70"/>
    <x v="0"/>
    <x v="1"/>
    <x v="0"/>
  </r>
  <r>
    <n v="88"/>
    <s v="A2"/>
    <x v="1"/>
    <s v="A2"/>
    <n v="82"/>
    <x v="0"/>
    <x v="0"/>
    <x v="0"/>
  </r>
  <r>
    <n v="85"/>
    <s v="A2"/>
    <x v="6"/>
    <s v="C1"/>
    <n v="70"/>
    <x v="0"/>
    <x v="2"/>
    <x v="1"/>
  </r>
  <r>
    <n v="68"/>
    <s v="B2"/>
    <x v="1"/>
    <s v="A2"/>
    <n v="91"/>
    <x v="1"/>
    <x v="0"/>
    <x v="1"/>
  </r>
  <r>
    <n v="90"/>
    <s v="A2"/>
    <x v="3"/>
    <s v="A2"/>
    <n v="91"/>
    <x v="0"/>
    <x v="0"/>
    <x v="0"/>
  </r>
  <r>
    <n v="90"/>
    <s v="A2"/>
    <x v="0"/>
    <s v="B1"/>
    <n v="90"/>
    <x v="0"/>
    <x v="0"/>
    <x v="0"/>
  </r>
  <r>
    <n v="80"/>
    <s v="B1"/>
    <x v="4"/>
    <s v="A2"/>
    <n v="78"/>
    <x v="0"/>
    <x v="0"/>
    <x v="1"/>
  </r>
  <r>
    <n v="90"/>
    <s v="A2"/>
    <x v="4"/>
    <s v="A2"/>
    <n v="92"/>
    <x v="0"/>
    <x v="0"/>
    <x v="1"/>
  </r>
  <r>
    <n v="68"/>
    <s v="B2"/>
    <x v="6"/>
    <s v="C1"/>
    <n v="78"/>
    <x v="1"/>
    <x v="2"/>
    <x v="0"/>
  </r>
  <r>
    <n v="72"/>
    <s v="B1"/>
    <x v="6"/>
    <s v="C1"/>
    <n v="85"/>
    <x v="1"/>
    <x v="2"/>
    <x v="1"/>
  </r>
  <r>
    <n v="85"/>
    <s v="A2"/>
    <x v="5"/>
    <s v="A2"/>
    <n v="90"/>
    <x v="0"/>
    <x v="0"/>
    <x v="1"/>
  </r>
  <r>
    <n v="92"/>
    <s v="A1"/>
    <x v="3"/>
    <s v="A2"/>
    <n v="85.510416666666671"/>
    <x v="2"/>
    <x v="0"/>
    <x v="1"/>
  </r>
  <r>
    <n v="90"/>
    <s v="A2"/>
    <x v="2"/>
    <s v="B2"/>
    <n v="70"/>
    <x v="0"/>
    <x v="1"/>
    <x v="0"/>
  </r>
  <r>
    <n v="80"/>
    <s v="B1"/>
    <x v="2"/>
    <s v="B2"/>
    <n v="91"/>
    <x v="0"/>
    <x v="1"/>
    <x v="1"/>
  </r>
  <r>
    <n v="78"/>
    <s v="B1"/>
    <x v="7"/>
    <s v="B1"/>
    <n v="70"/>
    <x v="0"/>
    <x v="0"/>
    <x v="0"/>
  </r>
  <r>
    <n v="88"/>
    <s v="A2"/>
    <x v="3"/>
    <s v="A2"/>
    <n v="85"/>
    <x v="0"/>
    <x v="0"/>
    <x v="0"/>
  </r>
  <r>
    <n v="68"/>
    <s v="B2"/>
    <x v="6"/>
    <s v="C1"/>
    <n v="70"/>
    <x v="1"/>
    <x v="2"/>
    <x v="0"/>
  </r>
  <r>
    <n v="87"/>
    <s v="A2"/>
    <x v="8"/>
    <s v="B2"/>
    <n v="70"/>
    <x v="0"/>
    <x v="1"/>
    <x v="0"/>
  </r>
  <r>
    <n v="78"/>
    <s v="B1"/>
    <x v="2"/>
    <s v="B2"/>
    <n v="78"/>
    <x v="0"/>
    <x v="1"/>
    <x v="0"/>
  </r>
  <r>
    <n v="87"/>
    <s v="A2"/>
    <x v="8"/>
    <s v="B2"/>
    <n v="78"/>
    <x v="0"/>
    <x v="1"/>
    <x v="0"/>
  </r>
  <r>
    <n v="72"/>
    <s v="B1"/>
    <x v="3"/>
    <s v="A2"/>
    <n v="70"/>
    <x v="1"/>
    <x v="0"/>
    <x v="0"/>
  </r>
  <r>
    <n v="72"/>
    <s v="B1"/>
    <x v="5"/>
    <s v="A2"/>
    <n v="95"/>
    <x v="1"/>
    <x v="0"/>
    <x v="1"/>
  </r>
  <r>
    <n v="88"/>
    <s v="A2"/>
    <x v="4"/>
    <s v="A2"/>
    <n v="92"/>
    <x v="0"/>
    <x v="0"/>
    <x v="0"/>
  </r>
  <r>
    <n v="85"/>
    <s v="A2"/>
    <x v="1"/>
    <s v="A2"/>
    <n v="91"/>
    <x v="0"/>
    <x v="0"/>
    <x v="0"/>
  </r>
  <r>
    <n v="87"/>
    <s v="A2"/>
    <x v="2"/>
    <s v="B2"/>
    <n v="88"/>
    <x v="0"/>
    <x v="1"/>
    <x v="0"/>
  </r>
  <r>
    <n v="80"/>
    <s v="B1"/>
    <x v="5"/>
    <s v="A2"/>
    <n v="70"/>
    <x v="0"/>
    <x v="0"/>
    <x v="0"/>
  </r>
  <r>
    <n v="90"/>
    <s v="A2"/>
    <x v="8"/>
    <s v="B2"/>
    <n v="82"/>
    <x v="0"/>
    <x v="1"/>
    <x v="0"/>
  </r>
  <r>
    <n v="92"/>
    <s v="A1"/>
    <x v="0"/>
    <s v="B1"/>
    <n v="92"/>
    <x v="2"/>
    <x v="0"/>
    <x v="0"/>
  </r>
  <r>
    <n v="88"/>
    <s v="A2"/>
    <x v="1"/>
    <s v="A2"/>
    <n v="91"/>
    <x v="0"/>
    <x v="0"/>
    <x v="1"/>
  </r>
  <r>
    <n v="72"/>
    <s v="B1"/>
    <x v="6"/>
    <s v="C1"/>
    <n v="78"/>
    <x v="1"/>
    <x v="2"/>
    <x v="0"/>
  </r>
  <r>
    <n v="62"/>
    <s v="B2"/>
    <x v="10"/>
    <s v="B1"/>
    <n v="85"/>
    <x v="1"/>
    <x v="0"/>
    <x v="1"/>
  </r>
  <r>
    <n v="80.030208333333334"/>
    <s v="A2"/>
    <x v="7"/>
    <s v="B1"/>
    <n v="91"/>
    <x v="0"/>
    <x v="0"/>
    <x v="0"/>
  </r>
  <r>
    <n v="62"/>
    <s v="B2"/>
    <x v="4"/>
    <s v="A2"/>
    <n v="85.510416666666671"/>
    <x v="1"/>
    <x v="0"/>
    <x v="1"/>
  </r>
  <r>
    <n v="85"/>
    <s v="A2"/>
    <x v="9"/>
    <s v="A2"/>
    <n v="90"/>
    <x v="0"/>
    <x v="0"/>
    <x v="0"/>
  </r>
  <r>
    <n v="87"/>
    <s v="A2"/>
    <x v="8"/>
    <s v="B2"/>
    <n v="85"/>
    <x v="0"/>
    <x v="1"/>
    <x v="0"/>
  </r>
  <r>
    <n v="88"/>
    <s v="A2"/>
    <x v="3"/>
    <s v="A2"/>
    <n v="85.510416666666671"/>
    <x v="0"/>
    <x v="0"/>
    <x v="1"/>
  </r>
  <r>
    <n v="90"/>
    <s v="A2"/>
    <x v="5"/>
    <s v="A2"/>
    <n v="78"/>
    <x v="0"/>
    <x v="0"/>
    <x v="0"/>
  </r>
  <r>
    <n v="87"/>
    <s v="A2"/>
    <x v="5"/>
    <s v="A2"/>
    <n v="95"/>
    <x v="0"/>
    <x v="0"/>
    <x v="0"/>
  </r>
  <r>
    <n v="72"/>
    <s v="B1"/>
    <x v="6"/>
    <s v="C1"/>
    <n v="85"/>
    <x v="1"/>
    <x v="2"/>
    <x v="0"/>
  </r>
  <r>
    <n v="85"/>
    <s v="A2"/>
    <x v="9"/>
    <s v="A2"/>
    <n v="95"/>
    <x v="0"/>
    <x v="0"/>
    <x v="0"/>
  </r>
  <r>
    <n v="92"/>
    <s v="A1"/>
    <x v="1"/>
    <s v="A2"/>
    <n v="95"/>
    <x v="2"/>
    <x v="0"/>
    <x v="2"/>
  </r>
  <r>
    <n v="78"/>
    <s v="B1"/>
    <x v="2"/>
    <s v="B2"/>
    <n v="85.510416666666671"/>
    <x v="0"/>
    <x v="1"/>
    <x v="0"/>
  </r>
  <r>
    <n v="78"/>
    <s v="B1"/>
    <x v="1"/>
    <s v="A2"/>
    <n v="85.510416666666671"/>
    <x v="0"/>
    <x v="0"/>
    <x v="0"/>
  </r>
  <r>
    <n v="68"/>
    <s v="B2"/>
    <x v="3"/>
    <s v="A2"/>
    <n v="92"/>
    <x v="1"/>
    <x v="0"/>
    <x v="1"/>
  </r>
  <r>
    <n v="78"/>
    <s v="B1"/>
    <x v="4"/>
    <s v="A2"/>
    <n v="92"/>
    <x v="0"/>
    <x v="0"/>
    <x v="0"/>
  </r>
  <r>
    <n v="80"/>
    <s v="B1"/>
    <x v="2"/>
    <s v="B2"/>
    <n v="82"/>
    <x v="0"/>
    <x v="1"/>
    <x v="1"/>
  </r>
  <r>
    <n v="78"/>
    <s v="B1"/>
    <x v="9"/>
    <s v="A2"/>
    <n v="95"/>
    <x v="0"/>
    <x v="0"/>
    <x v="2"/>
  </r>
  <r>
    <n v="85"/>
    <s v="A2"/>
    <x v="8"/>
    <s v="B2"/>
    <n v="91"/>
    <x v="0"/>
    <x v="1"/>
    <x v="0"/>
  </r>
  <r>
    <n v="92"/>
    <s v="A1"/>
    <x v="8"/>
    <s v="B2"/>
    <n v="85"/>
    <x v="2"/>
    <x v="1"/>
    <x v="0"/>
  </r>
  <r>
    <n v="68"/>
    <s v="B2"/>
    <x v="0"/>
    <s v="B1"/>
    <n v="78"/>
    <x v="1"/>
    <x v="0"/>
    <x v="0"/>
  </r>
  <r>
    <n v="92"/>
    <s v="A1"/>
    <x v="8"/>
    <s v="B2"/>
    <n v="70"/>
    <x v="2"/>
    <x v="1"/>
    <x v="0"/>
  </r>
  <r>
    <n v="85"/>
    <s v="A2"/>
    <x v="1"/>
    <s v="A2"/>
    <n v="85"/>
    <x v="0"/>
    <x v="0"/>
    <x v="1"/>
  </r>
  <r>
    <n v="90"/>
    <s v="A2"/>
    <x v="0"/>
    <s v="B1"/>
    <n v="85"/>
    <x v="0"/>
    <x v="0"/>
    <x v="1"/>
  </r>
  <r>
    <n v="85"/>
    <s v="A2"/>
    <x v="10"/>
    <s v="B1"/>
    <n v="78"/>
    <x v="0"/>
    <x v="0"/>
    <x v="1"/>
  </r>
  <r>
    <n v="90"/>
    <s v="A2"/>
    <x v="9"/>
    <s v="A2"/>
    <n v="95"/>
    <x v="0"/>
    <x v="0"/>
    <x v="1"/>
  </r>
  <r>
    <n v="88"/>
    <s v="A2"/>
    <x v="9"/>
    <s v="A2"/>
    <n v="90"/>
    <x v="0"/>
    <x v="0"/>
    <x v="0"/>
  </r>
  <r>
    <n v="85"/>
    <s v="A2"/>
    <x v="8"/>
    <s v="B2"/>
    <n v="90"/>
    <x v="0"/>
    <x v="1"/>
    <x v="1"/>
  </r>
  <r>
    <n v="85"/>
    <s v="A2"/>
    <x v="3"/>
    <s v="A2"/>
    <n v="85"/>
    <x v="0"/>
    <x v="0"/>
    <x v="0"/>
  </r>
  <r>
    <n v="72"/>
    <s v="B1"/>
    <x v="1"/>
    <s v="A2"/>
    <n v="90"/>
    <x v="1"/>
    <x v="0"/>
    <x v="1"/>
  </r>
  <r>
    <n v="80.030208333333334"/>
    <s v="A2"/>
    <x v="0"/>
    <s v="B1"/>
    <n v="78"/>
    <x v="0"/>
    <x v="0"/>
    <x v="1"/>
  </r>
  <r>
    <n v="62"/>
    <s v="B2"/>
    <x v="8"/>
    <s v="B2"/>
    <n v="78"/>
    <x v="1"/>
    <x v="1"/>
    <x v="2"/>
  </r>
  <r>
    <n v="80"/>
    <s v="B1"/>
    <x v="3"/>
    <s v="A2"/>
    <n v="78"/>
    <x v="0"/>
    <x v="0"/>
    <x v="0"/>
  </r>
  <r>
    <n v="87"/>
    <s v="A2"/>
    <x v="4"/>
    <s v="A2"/>
    <n v="88"/>
    <x v="0"/>
    <x v="0"/>
    <x v="1"/>
  </r>
  <r>
    <n v="92"/>
    <s v="A1"/>
    <x v="2"/>
    <s v="B2"/>
    <n v="78"/>
    <x v="2"/>
    <x v="1"/>
    <x v="0"/>
  </r>
  <r>
    <n v="72"/>
    <s v="B1"/>
    <x v="5"/>
    <s v="A2"/>
    <n v="91"/>
    <x v="1"/>
    <x v="0"/>
    <x v="1"/>
  </r>
  <r>
    <n v="85"/>
    <s v="A2"/>
    <x v="5"/>
    <s v="A2"/>
    <n v="85"/>
    <x v="0"/>
    <x v="0"/>
    <x v="2"/>
  </r>
  <r>
    <n v="90"/>
    <s v="A2"/>
    <x v="3"/>
    <s v="A2"/>
    <n v="91"/>
    <x v="0"/>
    <x v="0"/>
    <x v="1"/>
  </r>
  <r>
    <n v="87"/>
    <s v="A2"/>
    <x v="5"/>
    <s v="A2"/>
    <n v="92"/>
    <x v="0"/>
    <x v="0"/>
    <x v="1"/>
  </r>
  <r>
    <n v="85"/>
    <s v="A2"/>
    <x v="2"/>
    <s v="B2"/>
    <n v="91"/>
    <x v="0"/>
    <x v="1"/>
    <x v="0"/>
  </r>
  <r>
    <n v="62"/>
    <s v="B2"/>
    <x v="6"/>
    <s v="C1"/>
    <n v="78"/>
    <x v="1"/>
    <x v="2"/>
    <x v="0"/>
  </r>
  <r>
    <n v="80"/>
    <s v="B1"/>
    <x v="0"/>
    <s v="B1"/>
    <n v="70"/>
    <x v="0"/>
    <x v="0"/>
    <x v="0"/>
  </r>
  <r>
    <n v="90"/>
    <s v="A2"/>
    <x v="0"/>
    <s v="B1"/>
    <n v="91"/>
    <x v="0"/>
    <x v="0"/>
    <x v="0"/>
  </r>
  <r>
    <n v="78"/>
    <s v="B1"/>
    <x v="2"/>
    <s v="B2"/>
    <n v="91"/>
    <x v="0"/>
    <x v="1"/>
    <x v="1"/>
  </r>
  <r>
    <n v="80.030208333333334"/>
    <s v="A2"/>
    <x v="1"/>
    <s v="A2"/>
    <n v="85.510416666666671"/>
    <x v="0"/>
    <x v="0"/>
    <x v="0"/>
  </r>
  <r>
    <n v="90"/>
    <s v="A2"/>
    <x v="6"/>
    <s v="C1"/>
    <n v="85"/>
    <x v="0"/>
    <x v="2"/>
    <x v="0"/>
  </r>
  <r>
    <n v="90"/>
    <s v="A2"/>
    <x v="3"/>
    <s v="A2"/>
    <n v="78"/>
    <x v="0"/>
    <x v="0"/>
    <x v="1"/>
  </r>
  <r>
    <n v="72"/>
    <s v="B1"/>
    <x v="2"/>
    <s v="B2"/>
    <n v="85"/>
    <x v="1"/>
    <x v="1"/>
    <x v="0"/>
  </r>
  <r>
    <n v="78"/>
    <s v="B1"/>
    <x v="5"/>
    <s v="A2"/>
    <n v="91"/>
    <x v="0"/>
    <x v="0"/>
    <x v="1"/>
  </r>
  <r>
    <n v="78"/>
    <s v="B1"/>
    <x v="2"/>
    <s v="B2"/>
    <n v="78"/>
    <x v="0"/>
    <x v="1"/>
    <x v="0"/>
  </r>
  <r>
    <n v="90"/>
    <s v="A2"/>
    <x v="2"/>
    <s v="B2"/>
    <n v="90"/>
    <x v="0"/>
    <x v="1"/>
    <x v="0"/>
  </r>
  <r>
    <n v="78"/>
    <s v="B1"/>
    <x v="6"/>
    <s v="C1"/>
    <n v="78"/>
    <x v="0"/>
    <x v="2"/>
    <x v="1"/>
  </r>
  <r>
    <n v="92"/>
    <s v="A1"/>
    <x v="8"/>
    <s v="B2"/>
    <n v="91"/>
    <x v="2"/>
    <x v="1"/>
    <x v="0"/>
  </r>
  <r>
    <n v="87"/>
    <s v="A2"/>
    <x v="8"/>
    <s v="B2"/>
    <n v="85"/>
    <x v="0"/>
    <x v="1"/>
    <x v="0"/>
  </r>
  <r>
    <n v="92"/>
    <s v="A1"/>
    <x v="8"/>
    <s v="B2"/>
    <n v="85"/>
    <x v="2"/>
    <x v="1"/>
    <x v="1"/>
  </r>
  <r>
    <n v="87"/>
    <s v="A2"/>
    <x v="6"/>
    <s v="C1"/>
    <n v="70"/>
    <x v="0"/>
    <x v="2"/>
    <x v="2"/>
  </r>
  <r>
    <n v="87"/>
    <s v="A2"/>
    <x v="2"/>
    <s v="B2"/>
    <n v="78"/>
    <x v="0"/>
    <x v="1"/>
    <x v="0"/>
  </r>
  <r>
    <n v="90"/>
    <s v="A2"/>
    <x v="4"/>
    <s v="A2"/>
    <n v="78"/>
    <x v="0"/>
    <x v="0"/>
    <x v="1"/>
  </r>
  <r>
    <n v="72"/>
    <s v="B1"/>
    <x v="0"/>
    <s v="B1"/>
    <n v="78"/>
    <x v="1"/>
    <x v="0"/>
    <x v="0"/>
  </r>
  <r>
    <n v="68"/>
    <s v="B2"/>
    <x v="4"/>
    <s v="A2"/>
    <n v="91"/>
    <x v="1"/>
    <x v="0"/>
    <x v="1"/>
  </r>
  <r>
    <n v="68"/>
    <s v="B2"/>
    <x v="0"/>
    <s v="B1"/>
    <n v="70"/>
    <x v="1"/>
    <x v="0"/>
    <x v="0"/>
  </r>
  <r>
    <n v="90"/>
    <s v="A2"/>
    <x v="6"/>
    <s v="C1"/>
    <n v="95"/>
    <x v="0"/>
    <x v="2"/>
    <x v="1"/>
  </r>
  <r>
    <n v="92"/>
    <s v="A1"/>
    <x v="9"/>
    <s v="A2"/>
    <n v="90"/>
    <x v="2"/>
    <x v="0"/>
    <x v="0"/>
  </r>
  <r>
    <n v="92"/>
    <s v="A1"/>
    <x v="4"/>
    <s v="A2"/>
    <n v="91"/>
    <x v="2"/>
    <x v="0"/>
    <x v="0"/>
  </r>
  <r>
    <n v="80"/>
    <s v="B1"/>
    <x v="0"/>
    <s v="B1"/>
    <n v="91"/>
    <x v="0"/>
    <x v="0"/>
    <x v="0"/>
  </r>
  <r>
    <n v="62"/>
    <s v="B2"/>
    <x v="8"/>
    <s v="B2"/>
    <n v="88"/>
    <x v="1"/>
    <x v="1"/>
    <x v="1"/>
  </r>
  <r>
    <n v="88"/>
    <s v="A2"/>
    <x v="8"/>
    <s v="B2"/>
    <n v="82"/>
    <x v="0"/>
    <x v="1"/>
    <x v="1"/>
  </r>
  <r>
    <n v="92"/>
    <s v="A1"/>
    <x v="1"/>
    <s v="A2"/>
    <n v="78"/>
    <x v="2"/>
    <x v="0"/>
    <x v="0"/>
  </r>
  <r>
    <n v="88"/>
    <s v="A2"/>
    <x v="5"/>
    <s v="A2"/>
    <n v="85"/>
    <x v="0"/>
    <x v="0"/>
    <x v="1"/>
  </r>
  <r>
    <n v="88"/>
    <s v="A2"/>
    <x v="9"/>
    <s v="A2"/>
    <n v="92"/>
    <x v="0"/>
    <x v="0"/>
    <x v="0"/>
  </r>
  <r>
    <n v="78"/>
    <s v="B1"/>
    <x v="1"/>
    <s v="A2"/>
    <n v="88"/>
    <x v="0"/>
    <x v="0"/>
    <x v="0"/>
  </r>
  <r>
    <n v="68"/>
    <s v="B2"/>
    <x v="5"/>
    <s v="A2"/>
    <n v="91"/>
    <x v="1"/>
    <x v="0"/>
    <x v="1"/>
  </r>
  <r>
    <n v="80"/>
    <s v="B1"/>
    <x v="1"/>
    <s v="A2"/>
    <n v="85"/>
    <x v="0"/>
    <x v="0"/>
    <x v="2"/>
  </r>
  <r>
    <n v="90"/>
    <s v="A2"/>
    <x v="8"/>
    <s v="B2"/>
    <n v="85"/>
    <x v="0"/>
    <x v="1"/>
    <x v="0"/>
  </r>
  <r>
    <n v="68"/>
    <s v="B2"/>
    <x v="3"/>
    <s v="A2"/>
    <n v="91"/>
    <x v="1"/>
    <x v="0"/>
    <x v="0"/>
  </r>
  <r>
    <n v="87"/>
    <s v="A2"/>
    <x v="6"/>
    <s v="C1"/>
    <n v="90"/>
    <x v="0"/>
    <x v="2"/>
    <x v="1"/>
  </r>
  <r>
    <n v="62"/>
    <s v="B2"/>
    <x v="6"/>
    <s v="C1"/>
    <n v="78"/>
    <x v="1"/>
    <x v="2"/>
    <x v="0"/>
  </r>
  <r>
    <n v="72"/>
    <s v="B1"/>
    <x v="10"/>
    <s v="B1"/>
    <n v="85"/>
    <x v="1"/>
    <x v="0"/>
    <x v="0"/>
  </r>
  <r>
    <n v="90"/>
    <s v="A2"/>
    <x v="9"/>
    <s v="A2"/>
    <n v="91"/>
    <x v="0"/>
    <x v="0"/>
    <x v="1"/>
  </r>
  <r>
    <n v="68"/>
    <s v="B2"/>
    <x v="4"/>
    <s v="A2"/>
    <n v="85"/>
    <x v="1"/>
    <x v="0"/>
    <x v="0"/>
  </r>
  <r>
    <n v="85"/>
    <s v="A2"/>
    <x v="6"/>
    <s v="C1"/>
    <n v="88"/>
    <x v="0"/>
    <x v="2"/>
    <x v="0"/>
  </r>
  <r>
    <n v="80.030208333333334"/>
    <s v="A2"/>
    <x v="3"/>
    <s v="A2"/>
    <n v="88"/>
    <x v="0"/>
    <x v="0"/>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80"/>
    <x v="0"/>
    <n v="78"/>
    <s v="B1"/>
    <x v="0"/>
  </r>
  <r>
    <n v="87"/>
    <x v="1"/>
    <n v="85"/>
    <s v="A2"/>
    <x v="1"/>
  </r>
  <r>
    <n v="68"/>
    <x v="2"/>
    <n v="65"/>
    <s v="B2"/>
    <x v="2"/>
  </r>
  <r>
    <n v="92"/>
    <x v="3"/>
    <n v="90"/>
    <s v="A2"/>
    <x v="3"/>
  </r>
  <r>
    <n v="85"/>
    <x v="1"/>
    <n v="82"/>
    <s v="A2"/>
    <x v="4"/>
  </r>
  <r>
    <n v="80.030208333333334"/>
    <x v="1"/>
    <n v="88"/>
    <s v="A2"/>
    <x v="5"/>
  </r>
  <r>
    <n v="62"/>
    <x v="2"/>
    <n v="60"/>
    <s v="C1"/>
    <x v="6"/>
  </r>
  <r>
    <n v="78"/>
    <x v="0"/>
    <n v="77"/>
    <s v="B1"/>
    <x v="4"/>
  </r>
  <r>
    <n v="72"/>
    <x v="0"/>
    <n v="70"/>
    <s v="B2"/>
    <x v="7"/>
  </r>
  <r>
    <n v="88"/>
    <x v="1"/>
    <n v="86"/>
    <s v="A2"/>
    <x v="8"/>
  </r>
  <r>
    <n v="87"/>
    <x v="1"/>
    <n v="90"/>
    <s v="A2"/>
    <x v="9"/>
  </r>
  <r>
    <n v="88"/>
    <x v="1"/>
    <n v="77.598759048603924"/>
    <s v="B1"/>
    <x v="0"/>
  </r>
  <r>
    <n v="62"/>
    <x v="2"/>
    <n v="78"/>
    <s v="B1"/>
    <x v="8"/>
  </r>
  <r>
    <n v="88"/>
    <x v="1"/>
    <n v="85"/>
    <s v="A2"/>
    <x v="1"/>
  </r>
  <r>
    <n v="88"/>
    <x v="1"/>
    <n v="70"/>
    <s v="B2"/>
    <x v="6"/>
  </r>
  <r>
    <n v="62"/>
    <x v="2"/>
    <n v="85"/>
    <s v="A2"/>
    <x v="4"/>
  </r>
  <r>
    <n v="68"/>
    <x v="2"/>
    <n v="82"/>
    <s v="A2"/>
    <x v="5"/>
  </r>
  <r>
    <n v="92"/>
    <x v="3"/>
    <n v="90"/>
    <s v="A2"/>
    <x v="9"/>
  </r>
  <r>
    <n v="78"/>
    <x v="0"/>
    <n v="88"/>
    <s v="A2"/>
    <x v="3"/>
  </r>
  <r>
    <n v="88"/>
    <x v="1"/>
    <n v="70"/>
    <s v="B2"/>
    <x v="2"/>
  </r>
  <r>
    <n v="87"/>
    <x v="1"/>
    <n v="77"/>
    <s v="B1"/>
    <x v="2"/>
  </r>
  <r>
    <n v="72"/>
    <x v="0"/>
    <n v="77"/>
    <s v="B1"/>
    <x v="6"/>
  </r>
  <r>
    <n v="78"/>
    <x v="0"/>
    <n v="82"/>
    <s v="A2"/>
    <x v="5"/>
  </r>
  <r>
    <n v="80.030208333333334"/>
    <x v="1"/>
    <n v="82"/>
    <s v="A2"/>
    <x v="7"/>
  </r>
  <r>
    <n v="90"/>
    <x v="1"/>
    <n v="77"/>
    <s v="B1"/>
    <x v="8"/>
  </r>
  <r>
    <n v="72"/>
    <x v="0"/>
    <n v="77.598759048603924"/>
    <s v="B1"/>
    <x v="8"/>
  </r>
  <r>
    <n v="92"/>
    <x v="3"/>
    <n v="60"/>
    <s v="C1"/>
    <x v="4"/>
  </r>
  <r>
    <n v="80"/>
    <x v="0"/>
    <n v="90"/>
    <s v="A2"/>
    <x v="1"/>
  </r>
  <r>
    <n v="87"/>
    <x v="1"/>
    <n v="77.598759048603924"/>
    <s v="B1"/>
    <x v="0"/>
  </r>
  <r>
    <n v="62"/>
    <x v="2"/>
    <n v="77"/>
    <s v="B1"/>
    <x v="8"/>
  </r>
  <r>
    <n v="80.030208333333334"/>
    <x v="1"/>
    <n v="78"/>
    <s v="B1"/>
    <x v="6"/>
  </r>
  <r>
    <n v="85"/>
    <x v="1"/>
    <n v="65"/>
    <s v="B2"/>
    <x v="7"/>
  </r>
  <r>
    <n v="80.030208333333334"/>
    <x v="1"/>
    <n v="85"/>
    <s v="A2"/>
    <x v="7"/>
  </r>
  <r>
    <n v="85"/>
    <x v="1"/>
    <n v="60"/>
    <s v="C1"/>
    <x v="4"/>
  </r>
  <r>
    <n v="72"/>
    <x v="0"/>
    <n v="78"/>
    <s v="B1"/>
    <x v="9"/>
  </r>
  <r>
    <n v="87"/>
    <x v="1"/>
    <n v="65"/>
    <s v="B2"/>
    <x v="7"/>
  </r>
  <r>
    <n v="80"/>
    <x v="0"/>
    <n v="90"/>
    <s v="A2"/>
    <x v="1"/>
  </r>
  <r>
    <n v="85"/>
    <x v="1"/>
    <n v="82"/>
    <s v="A2"/>
    <x v="5"/>
  </r>
  <r>
    <n v="92"/>
    <x v="3"/>
    <n v="85"/>
    <s v="A2"/>
    <x v="8"/>
  </r>
  <r>
    <n v="85"/>
    <x v="1"/>
    <n v="65"/>
    <s v="B2"/>
    <x v="5"/>
  </r>
  <r>
    <n v="72"/>
    <x v="0"/>
    <n v="85"/>
    <s v="A2"/>
    <x v="2"/>
  </r>
  <r>
    <n v="87"/>
    <x v="1"/>
    <n v="77"/>
    <s v="B1"/>
    <x v="9"/>
  </r>
  <r>
    <n v="62"/>
    <x v="2"/>
    <n v="65"/>
    <s v="B2"/>
    <x v="2"/>
  </r>
  <r>
    <n v="68"/>
    <x v="2"/>
    <n v="70"/>
    <s v="B2"/>
    <x v="5"/>
  </r>
  <r>
    <n v="88"/>
    <x v="1"/>
    <n v="88"/>
    <s v="A2"/>
    <x v="3"/>
  </r>
  <r>
    <n v="92"/>
    <x v="3"/>
    <n v="88"/>
    <s v="A2"/>
    <x v="0"/>
  </r>
  <r>
    <n v="85"/>
    <x v="1"/>
    <n v="90"/>
    <s v="A2"/>
    <x v="0"/>
  </r>
  <r>
    <n v="90"/>
    <x v="1"/>
    <n v="82"/>
    <s v="A2"/>
    <x v="6"/>
  </r>
  <r>
    <n v="87"/>
    <x v="1"/>
    <n v="86"/>
    <s v="A2"/>
    <x v="9"/>
  </r>
  <r>
    <n v="62"/>
    <x v="2"/>
    <n v="90"/>
    <s v="A2"/>
    <x v="6"/>
  </r>
  <r>
    <n v="87"/>
    <x v="1"/>
    <n v="86"/>
    <s v="A2"/>
    <x v="1"/>
  </r>
  <r>
    <n v="62"/>
    <x v="2"/>
    <n v="70"/>
    <s v="B2"/>
    <x v="6"/>
  </r>
  <r>
    <n v="62"/>
    <x v="2"/>
    <n v="82"/>
    <s v="A2"/>
    <x v="7"/>
  </r>
  <r>
    <n v="68"/>
    <x v="2"/>
    <n v="70"/>
    <s v="B2"/>
    <x v="0"/>
  </r>
  <r>
    <n v="80"/>
    <x v="0"/>
    <n v="90"/>
    <s v="A2"/>
    <x v="9"/>
  </r>
  <r>
    <n v="92"/>
    <x v="3"/>
    <n v="60"/>
    <s v="C1"/>
    <x v="8"/>
  </r>
  <r>
    <n v="72"/>
    <x v="0"/>
    <n v="70"/>
    <s v="B2"/>
    <x v="3"/>
  </r>
  <r>
    <n v="88"/>
    <x v="1"/>
    <n v="86"/>
    <s v="A2"/>
    <x v="7"/>
  </r>
  <r>
    <n v="85"/>
    <x v="1"/>
    <n v="77"/>
    <s v="B1"/>
    <x v="2"/>
  </r>
  <r>
    <n v="90"/>
    <x v="1"/>
    <n v="82"/>
    <s v="A2"/>
    <x v="0"/>
  </r>
  <r>
    <n v="62"/>
    <x v="2"/>
    <n v="65"/>
    <s v="B2"/>
    <x v="3"/>
  </r>
  <r>
    <n v="80"/>
    <x v="0"/>
    <n v="60"/>
    <s v="C1"/>
    <x v="3"/>
  </r>
  <r>
    <n v="72"/>
    <x v="0"/>
    <n v="60"/>
    <s v="C1"/>
    <x v="5"/>
  </r>
  <r>
    <n v="62"/>
    <x v="2"/>
    <n v="78"/>
    <s v="B1"/>
    <x v="6"/>
  </r>
  <r>
    <n v="62"/>
    <x v="2"/>
    <n v="86"/>
    <s v="A2"/>
    <x v="6"/>
  </r>
  <r>
    <n v="90"/>
    <x v="1"/>
    <n v="90"/>
    <s v="A2"/>
    <x v="6"/>
  </r>
  <r>
    <n v="90"/>
    <x v="1"/>
    <n v="78"/>
    <s v="B1"/>
    <x v="1"/>
  </r>
  <r>
    <n v="68"/>
    <x v="2"/>
    <n v="86"/>
    <s v="A2"/>
    <x v="3"/>
  </r>
  <r>
    <n v="87"/>
    <x v="1"/>
    <n v="86"/>
    <s v="A2"/>
    <x v="5"/>
  </r>
  <r>
    <n v="92"/>
    <x v="3"/>
    <n v="60"/>
    <s v="C1"/>
    <x v="9"/>
  </r>
  <r>
    <n v="72"/>
    <x v="0"/>
    <n v="86"/>
    <s v="A2"/>
    <x v="8"/>
  </r>
  <r>
    <n v="90"/>
    <x v="1"/>
    <n v="77"/>
    <s v="B1"/>
    <x v="0"/>
  </r>
  <r>
    <n v="78"/>
    <x v="0"/>
    <n v="86"/>
    <s v="A2"/>
    <x v="7"/>
  </r>
  <r>
    <n v="88"/>
    <x v="1"/>
    <n v="77"/>
    <s v="B1"/>
    <x v="1"/>
  </r>
  <r>
    <n v="85"/>
    <x v="1"/>
    <n v="77"/>
    <s v="B1"/>
    <x v="5"/>
  </r>
  <r>
    <n v="92"/>
    <x v="3"/>
    <n v="60"/>
    <s v="C1"/>
    <x v="1"/>
  </r>
  <r>
    <n v="92"/>
    <x v="3"/>
    <n v="90"/>
    <s v="A2"/>
    <x v="1"/>
  </r>
  <r>
    <n v="78"/>
    <x v="0"/>
    <n v="88"/>
    <s v="A2"/>
    <x v="6"/>
  </r>
  <r>
    <n v="92"/>
    <x v="3"/>
    <n v="70"/>
    <s v="B2"/>
    <x v="5"/>
  </r>
  <r>
    <n v="80"/>
    <x v="0"/>
    <n v="88"/>
    <s v="A2"/>
    <x v="9"/>
  </r>
  <r>
    <n v="80"/>
    <x v="0"/>
    <n v="77.598759048603924"/>
    <s v="B1"/>
    <x v="7"/>
  </r>
  <r>
    <n v="87"/>
    <x v="1"/>
    <n v="82"/>
    <s v="A2"/>
    <x v="2"/>
  </r>
  <r>
    <n v="72"/>
    <x v="0"/>
    <n v="85"/>
    <s v="A2"/>
    <x v="8"/>
  </r>
  <r>
    <n v="85"/>
    <x v="1"/>
    <n v="82"/>
    <s v="A2"/>
    <x v="0"/>
  </r>
  <r>
    <n v="72"/>
    <x v="0"/>
    <n v="65"/>
    <s v="B2"/>
    <x v="9"/>
  </r>
  <r>
    <n v="80.030208333333334"/>
    <x v="1"/>
    <n v="90"/>
    <s v="A2"/>
    <x v="9"/>
  </r>
  <r>
    <n v="92"/>
    <x v="3"/>
    <n v="60"/>
    <s v="C1"/>
    <x v="8"/>
  </r>
  <r>
    <n v="78"/>
    <x v="0"/>
    <n v="86"/>
    <s v="A2"/>
    <x v="2"/>
  </r>
  <r>
    <n v="88"/>
    <x v="1"/>
    <n v="77"/>
    <s v="B1"/>
    <x v="7"/>
  </r>
  <r>
    <n v="85"/>
    <x v="1"/>
    <n v="86"/>
    <s v="A2"/>
    <x v="1"/>
  </r>
  <r>
    <n v="78"/>
    <x v="0"/>
    <n v="86"/>
    <s v="A2"/>
    <x v="9"/>
  </r>
  <r>
    <n v="78"/>
    <x v="0"/>
    <n v="65"/>
    <s v="B2"/>
    <x v="5"/>
  </r>
  <r>
    <n v="72"/>
    <x v="0"/>
    <n v="88"/>
    <s v="A2"/>
    <x v="5"/>
  </r>
  <r>
    <n v="78"/>
    <x v="0"/>
    <n v="88"/>
    <s v="A2"/>
    <x v="3"/>
  </r>
  <r>
    <n v="88"/>
    <x v="1"/>
    <n v="77"/>
    <s v="B1"/>
    <x v="9"/>
  </r>
  <r>
    <n v="78"/>
    <x v="0"/>
    <n v="85"/>
    <s v="A2"/>
    <x v="7"/>
  </r>
  <r>
    <n v="92"/>
    <x v="3"/>
    <n v="60"/>
    <s v="C1"/>
    <x v="7"/>
  </r>
  <r>
    <n v="85"/>
    <x v="1"/>
    <n v="60"/>
    <s v="C1"/>
    <x v="1"/>
  </r>
  <r>
    <n v="72"/>
    <x v="0"/>
    <n v="77"/>
    <s v="B1"/>
    <x v="0"/>
  </r>
  <r>
    <n v="80"/>
    <x v="0"/>
    <n v="60"/>
    <s v="C1"/>
    <x v="3"/>
  </r>
  <r>
    <n v="90"/>
    <x v="1"/>
    <n v="65"/>
    <s v="B2"/>
    <x v="0"/>
  </r>
  <r>
    <n v="78"/>
    <x v="0"/>
    <n v="60"/>
    <s v="C1"/>
    <x v="0"/>
  </r>
  <r>
    <n v="78"/>
    <x v="0"/>
    <n v="60"/>
    <s v="C1"/>
    <x v="5"/>
  </r>
  <r>
    <n v="87"/>
    <x v="1"/>
    <n v="60"/>
    <s v="C1"/>
    <x v="3"/>
  </r>
  <r>
    <n v="62"/>
    <x v="2"/>
    <n v="82"/>
    <s v="A2"/>
    <x v="5"/>
  </r>
  <r>
    <n v="92"/>
    <x v="3"/>
    <n v="86"/>
    <s v="A2"/>
    <x v="2"/>
  </r>
  <r>
    <n v="85"/>
    <x v="1"/>
    <n v="82"/>
    <s v="A2"/>
    <x v="9"/>
  </r>
  <r>
    <n v="85"/>
    <x v="1"/>
    <n v="60"/>
    <s v="C1"/>
    <x v="8"/>
  </r>
  <r>
    <n v="85"/>
    <x v="1"/>
    <n v="88"/>
    <s v="A2"/>
    <x v="6"/>
  </r>
  <r>
    <n v="92"/>
    <x v="3"/>
    <n v="86"/>
    <s v="A2"/>
    <x v="8"/>
  </r>
  <r>
    <n v="80"/>
    <x v="0"/>
    <n v="78"/>
    <s v="B1"/>
    <x v="2"/>
  </r>
  <r>
    <n v="72"/>
    <x v="0"/>
    <n v="65"/>
    <s v="B2"/>
    <x v="5"/>
  </r>
  <r>
    <n v="87"/>
    <x v="1"/>
    <n v="88"/>
    <s v="A2"/>
    <x v="0"/>
  </r>
  <r>
    <n v="78"/>
    <x v="0"/>
    <n v="82"/>
    <s v="A2"/>
    <x v="6"/>
  </r>
  <r>
    <n v="72"/>
    <x v="0"/>
    <n v="77"/>
    <s v="B1"/>
    <x v="1"/>
  </r>
  <r>
    <n v="80"/>
    <x v="0"/>
    <n v="85"/>
    <s v="A2"/>
    <x v="9"/>
  </r>
  <r>
    <n v="72"/>
    <x v="0"/>
    <n v="60"/>
    <s v="C1"/>
    <x v="7"/>
  </r>
  <r>
    <n v="80.030208333333334"/>
    <x v="1"/>
    <n v="60"/>
    <s v="C1"/>
    <x v="0"/>
  </r>
  <r>
    <n v="85"/>
    <x v="1"/>
    <n v="88"/>
    <s v="A2"/>
    <x v="5"/>
  </r>
  <r>
    <n v="68"/>
    <x v="2"/>
    <n v="78"/>
    <s v="B1"/>
    <x v="8"/>
  </r>
  <r>
    <n v="80.030208333333334"/>
    <x v="1"/>
    <n v="65"/>
    <s v="B2"/>
    <x v="3"/>
  </r>
  <r>
    <n v="90"/>
    <x v="1"/>
    <n v="78"/>
    <s v="B1"/>
    <x v="2"/>
  </r>
  <r>
    <n v="87"/>
    <x v="1"/>
    <n v="65"/>
    <s v="B2"/>
    <x v="9"/>
  </r>
  <r>
    <n v="72"/>
    <x v="0"/>
    <n v="90"/>
    <s v="A2"/>
    <x v="0"/>
  </r>
  <r>
    <n v="80.030208333333334"/>
    <x v="1"/>
    <n v="85"/>
    <s v="A2"/>
    <x v="6"/>
  </r>
  <r>
    <n v="90"/>
    <x v="1"/>
    <n v="86"/>
    <s v="A2"/>
    <x v="2"/>
  </r>
  <r>
    <n v="78"/>
    <x v="0"/>
    <n v="70"/>
    <s v="B2"/>
    <x v="1"/>
  </r>
  <r>
    <n v="85"/>
    <x v="1"/>
    <n v="88"/>
    <s v="A2"/>
    <x v="6"/>
  </r>
  <r>
    <n v="90"/>
    <x v="1"/>
    <n v="60"/>
    <s v="C1"/>
    <x v="1"/>
  </r>
  <r>
    <n v="88"/>
    <x v="1"/>
    <n v="60"/>
    <s v="C1"/>
    <x v="6"/>
  </r>
  <r>
    <n v="87"/>
    <x v="1"/>
    <n v="88"/>
    <s v="A2"/>
    <x v="3"/>
  </r>
  <r>
    <n v="85"/>
    <x v="1"/>
    <n v="78"/>
    <s v="B1"/>
    <x v="8"/>
  </r>
  <r>
    <n v="80"/>
    <x v="0"/>
    <n v="85"/>
    <s v="A2"/>
    <x v="8"/>
  </r>
  <r>
    <n v="90"/>
    <x v="1"/>
    <n v="77.598759048603924"/>
    <s v="B1"/>
    <x v="0"/>
  </r>
  <r>
    <n v="78"/>
    <x v="0"/>
    <n v="78"/>
    <s v="B1"/>
    <x v="2"/>
  </r>
  <r>
    <n v="87"/>
    <x v="1"/>
    <n v="85"/>
    <s v="A2"/>
    <x v="3"/>
  </r>
  <r>
    <n v="80"/>
    <x v="0"/>
    <n v="60"/>
    <s v="C1"/>
    <x v="0"/>
  </r>
  <r>
    <n v="62"/>
    <x v="2"/>
    <n v="78"/>
    <s v="B1"/>
    <x v="5"/>
  </r>
  <r>
    <n v="78"/>
    <x v="0"/>
    <n v="78"/>
    <s v="B1"/>
    <x v="1"/>
  </r>
  <r>
    <n v="68"/>
    <x v="2"/>
    <n v="60"/>
    <s v="C1"/>
    <x v="9"/>
  </r>
  <r>
    <n v="62"/>
    <x v="2"/>
    <n v="90"/>
    <s v="A2"/>
    <x v="6"/>
  </r>
  <r>
    <n v="80.030208333333334"/>
    <x v="1"/>
    <n v="85"/>
    <s v="A2"/>
    <x v="5"/>
  </r>
  <r>
    <n v="68"/>
    <x v="2"/>
    <n v="65"/>
    <s v="B2"/>
    <x v="3"/>
  </r>
  <r>
    <n v="88"/>
    <x v="1"/>
    <n v="86"/>
    <s v="A2"/>
    <x v="0"/>
  </r>
  <r>
    <n v="85"/>
    <x v="1"/>
    <n v="77"/>
    <s v="B1"/>
    <x v="0"/>
  </r>
  <r>
    <n v="90"/>
    <x v="1"/>
    <n v="77"/>
    <s v="B1"/>
    <x v="9"/>
  </r>
  <r>
    <n v="88"/>
    <x v="1"/>
    <n v="70"/>
    <s v="B2"/>
    <x v="0"/>
  </r>
  <r>
    <n v="87"/>
    <x v="1"/>
    <n v="85"/>
    <s v="A2"/>
    <x v="0"/>
  </r>
  <r>
    <n v="90"/>
    <x v="1"/>
    <n v="70"/>
    <s v="B2"/>
    <x v="0"/>
  </r>
  <r>
    <n v="87"/>
    <x v="1"/>
    <n v="88"/>
    <s v="A2"/>
    <x v="8"/>
  </r>
  <r>
    <n v="85"/>
    <x v="1"/>
    <n v="86"/>
    <s v="A2"/>
    <x v="5"/>
  </r>
  <r>
    <n v="72"/>
    <x v="0"/>
    <n v="60"/>
    <s v="C1"/>
    <x v="9"/>
  </r>
  <r>
    <n v="90"/>
    <x v="1"/>
    <n v="82"/>
    <s v="A2"/>
    <x v="0"/>
  </r>
  <r>
    <n v="72"/>
    <x v="0"/>
    <n v="82"/>
    <s v="A2"/>
    <x v="2"/>
  </r>
  <r>
    <n v="88"/>
    <x v="1"/>
    <n v="65"/>
    <s v="B2"/>
    <x v="8"/>
  </r>
  <r>
    <n v="78"/>
    <x v="0"/>
    <n v="77"/>
    <s v="B1"/>
    <x v="5"/>
  </r>
  <r>
    <n v="80.030208333333334"/>
    <x v="1"/>
    <n v="77.598759048603924"/>
    <s v="B1"/>
    <x v="5"/>
  </r>
  <r>
    <n v="87"/>
    <x v="1"/>
    <n v="77"/>
    <s v="B1"/>
    <x v="4"/>
  </r>
  <r>
    <n v="62"/>
    <x v="2"/>
    <n v="77"/>
    <s v="B1"/>
    <x v="2"/>
  </r>
  <r>
    <n v="92"/>
    <x v="3"/>
    <n v="60"/>
    <s v="C1"/>
    <x v="6"/>
  </r>
  <r>
    <n v="80"/>
    <x v="0"/>
    <n v="88"/>
    <s v="A2"/>
    <x v="5"/>
  </r>
  <r>
    <n v="92"/>
    <x v="3"/>
    <n v="85"/>
    <s v="A2"/>
    <x v="8"/>
  </r>
  <r>
    <n v="80.030208333333334"/>
    <x v="1"/>
    <n v="85"/>
    <s v="A2"/>
    <x v="3"/>
  </r>
  <r>
    <n v="72"/>
    <x v="0"/>
    <n v="70"/>
    <s v="B2"/>
    <x v="0"/>
  </r>
  <r>
    <n v="62"/>
    <x v="2"/>
    <n v="88"/>
    <s v="A2"/>
    <x v="0"/>
  </r>
  <r>
    <n v="72"/>
    <x v="0"/>
    <n v="70"/>
    <s v="B2"/>
    <x v="1"/>
  </r>
  <r>
    <n v="92"/>
    <x v="3"/>
    <n v="88"/>
    <s v="A2"/>
    <x v="9"/>
  </r>
  <r>
    <n v="68"/>
    <x v="2"/>
    <n v="70"/>
    <s v="B2"/>
    <x v="0"/>
  </r>
  <r>
    <n v="92"/>
    <x v="3"/>
    <n v="77"/>
    <s v="B1"/>
    <x v="2"/>
  </r>
  <r>
    <n v="80"/>
    <x v="0"/>
    <n v="70"/>
    <s v="B2"/>
    <x v="7"/>
  </r>
  <r>
    <n v="62"/>
    <x v="2"/>
    <n v="85"/>
    <s v="A2"/>
    <x v="5"/>
  </r>
  <r>
    <n v="62"/>
    <x v="2"/>
    <n v="70"/>
    <s v="B2"/>
    <x v="0"/>
  </r>
  <r>
    <n v="85"/>
    <x v="1"/>
    <n v="85"/>
    <s v="A2"/>
    <x v="5"/>
  </r>
  <r>
    <n v="62"/>
    <x v="2"/>
    <n v="78"/>
    <s v="B1"/>
    <x v="5"/>
  </r>
  <r>
    <n v="88"/>
    <x v="1"/>
    <n v="65"/>
    <s v="B2"/>
    <x v="4"/>
  </r>
  <r>
    <n v="80"/>
    <x v="0"/>
    <n v="88"/>
    <s v="A2"/>
    <x v="3"/>
  </r>
  <r>
    <n v="90"/>
    <x v="1"/>
    <n v="86"/>
    <s v="A2"/>
    <x v="0"/>
  </r>
  <r>
    <n v="72"/>
    <x v="0"/>
    <n v="77"/>
    <s v="B1"/>
    <x v="0"/>
  </r>
  <r>
    <n v="68"/>
    <x v="2"/>
    <n v="77"/>
    <s v="B1"/>
    <x v="8"/>
  </r>
  <r>
    <n v="85"/>
    <x v="1"/>
    <n v="85"/>
    <s v="A2"/>
    <x v="5"/>
  </r>
  <r>
    <n v="80"/>
    <x v="0"/>
    <n v="65"/>
    <s v="B2"/>
    <x v="1"/>
  </r>
  <r>
    <n v="78"/>
    <x v="0"/>
    <n v="85"/>
    <s v="A2"/>
    <x v="8"/>
  </r>
  <r>
    <n v="72"/>
    <x v="0"/>
    <n v="77"/>
    <s v="B1"/>
    <x v="5"/>
  </r>
  <r>
    <n v="85"/>
    <x v="1"/>
    <n v="85"/>
    <s v="A2"/>
    <x v="7"/>
  </r>
  <r>
    <n v="68"/>
    <x v="2"/>
    <n v="90"/>
    <s v="A2"/>
    <x v="1"/>
  </r>
  <r>
    <n v="88"/>
    <x v="1"/>
    <n v="65"/>
    <s v="B2"/>
    <x v="8"/>
  </r>
  <r>
    <n v="92"/>
    <x v="3"/>
    <n v="86"/>
    <s v="A2"/>
    <x v="1"/>
  </r>
  <r>
    <n v="78"/>
    <x v="0"/>
    <n v="90"/>
    <s v="A2"/>
    <x v="9"/>
  </r>
  <r>
    <n v="68"/>
    <x v="2"/>
    <n v="90"/>
    <s v="A2"/>
    <x v="0"/>
  </r>
  <r>
    <n v="90"/>
    <x v="1"/>
    <n v="70"/>
    <s v="B2"/>
    <x v="2"/>
  </r>
  <r>
    <n v="88"/>
    <x v="1"/>
    <n v="78"/>
    <s v="B1"/>
    <x v="2"/>
  </r>
  <r>
    <n v="85"/>
    <x v="1"/>
    <n v="77.598759048603924"/>
    <s v="B1"/>
    <x v="2"/>
  </r>
  <r>
    <n v="80"/>
    <x v="0"/>
    <n v="86"/>
    <s v="A2"/>
    <x v="3"/>
  </r>
  <r>
    <n v="90"/>
    <x v="1"/>
    <n v="65"/>
    <s v="B2"/>
    <x v="1"/>
  </r>
  <r>
    <n v="85"/>
    <x v="1"/>
    <n v="90"/>
    <s v="A2"/>
    <x v="8"/>
  </r>
  <r>
    <n v="72"/>
    <x v="0"/>
    <n v="60"/>
    <s v="C1"/>
    <x v="2"/>
  </r>
  <r>
    <n v="90"/>
    <x v="1"/>
    <n v="78"/>
    <s v="B1"/>
    <x v="7"/>
  </r>
  <r>
    <n v="80.030208333333334"/>
    <x v="1"/>
    <n v="88"/>
    <s v="A2"/>
    <x v="5"/>
  </r>
  <r>
    <n v="90"/>
    <x v="1"/>
    <n v="77.598759048603924"/>
    <s v="B1"/>
    <x v="8"/>
  </r>
  <r>
    <n v="80"/>
    <x v="0"/>
    <n v="86"/>
    <s v="A2"/>
    <x v="9"/>
  </r>
  <r>
    <n v="78"/>
    <x v="0"/>
    <n v="85"/>
    <s v="A2"/>
    <x v="0"/>
  </r>
  <r>
    <n v="68"/>
    <x v="2"/>
    <n v="77"/>
    <s v="B1"/>
    <x v="7"/>
  </r>
  <r>
    <n v="72"/>
    <x v="0"/>
    <n v="77"/>
    <s v="B1"/>
    <x v="5"/>
  </r>
  <r>
    <n v="85"/>
    <x v="1"/>
    <n v="70"/>
    <s v="B2"/>
    <x v="3"/>
  </r>
  <r>
    <n v="87"/>
    <x v="1"/>
    <n v="70"/>
    <s v="B2"/>
    <x v="0"/>
  </r>
  <r>
    <n v="87"/>
    <x v="1"/>
    <n v="78"/>
    <s v="B1"/>
    <x v="2"/>
  </r>
  <r>
    <n v="85"/>
    <x v="1"/>
    <n v="82"/>
    <s v="A2"/>
    <x v="3"/>
  </r>
  <r>
    <n v="62"/>
    <x v="2"/>
    <n v="90"/>
    <s v="A2"/>
    <x v="7"/>
  </r>
  <r>
    <n v="92"/>
    <x v="3"/>
    <n v="60"/>
    <s v="C1"/>
    <x v="7"/>
  </r>
  <r>
    <n v="80"/>
    <x v="0"/>
    <n v="90"/>
    <s v="A2"/>
    <x v="1"/>
  </r>
  <r>
    <n v="80"/>
    <x v="0"/>
    <n v="65"/>
    <s v="B2"/>
    <x v="6"/>
  </r>
  <r>
    <n v="72"/>
    <x v="0"/>
    <n v="70"/>
    <s v="B2"/>
    <x v="0"/>
  </r>
  <r>
    <n v="90"/>
    <x v="1"/>
    <n v="65"/>
    <s v="B2"/>
    <x v="0"/>
  </r>
  <r>
    <n v="87"/>
    <x v="1"/>
    <n v="88"/>
    <s v="A2"/>
    <x v="6"/>
  </r>
  <r>
    <n v="85"/>
    <x v="1"/>
    <n v="60"/>
    <s v="C1"/>
    <x v="0"/>
  </r>
  <r>
    <n v="68"/>
    <x v="2"/>
    <n v="85"/>
    <s v="A2"/>
    <x v="3"/>
  </r>
  <r>
    <n v="78"/>
    <x v="0"/>
    <n v="90"/>
    <s v="A2"/>
    <x v="5"/>
  </r>
  <r>
    <n v="72"/>
    <x v="0"/>
    <n v="90"/>
    <s v="A2"/>
    <x v="7"/>
  </r>
  <r>
    <n v="72"/>
    <x v="0"/>
    <n v="70"/>
    <s v="B2"/>
    <x v="0"/>
  </r>
  <r>
    <n v="80"/>
    <x v="0"/>
    <n v="85"/>
    <s v="A2"/>
    <x v="8"/>
  </r>
  <r>
    <n v="85"/>
    <x v="1"/>
    <n v="82"/>
    <s v="A2"/>
    <x v="7"/>
  </r>
  <r>
    <n v="80.030208333333334"/>
    <x v="1"/>
    <n v="85"/>
    <s v="A2"/>
    <x v="6"/>
  </r>
  <r>
    <n v="80.030208333333334"/>
    <x v="1"/>
    <n v="60"/>
    <s v="C1"/>
    <x v="2"/>
  </r>
  <r>
    <n v="72"/>
    <x v="0"/>
    <n v="65"/>
    <s v="B2"/>
    <x v="5"/>
  </r>
  <r>
    <n v="92"/>
    <x v="3"/>
    <n v="60"/>
    <s v="C1"/>
    <x v="0"/>
  </r>
  <r>
    <n v="80.030208333333334"/>
    <x v="1"/>
    <n v="60"/>
    <s v="C1"/>
    <x v="1"/>
  </r>
  <r>
    <n v="72"/>
    <x v="0"/>
    <n v="60"/>
    <s v="C1"/>
    <x v="3"/>
  </r>
  <r>
    <n v="90"/>
    <x v="1"/>
    <n v="77.598759048603924"/>
    <s v="B1"/>
    <x v="3"/>
  </r>
  <r>
    <n v="68"/>
    <x v="2"/>
    <n v="70"/>
    <s v="B2"/>
    <x v="9"/>
  </r>
  <r>
    <n v="68"/>
    <x v="2"/>
    <n v="88"/>
    <s v="A2"/>
    <x v="4"/>
  </r>
  <r>
    <n v="62"/>
    <x v="2"/>
    <n v="77"/>
    <s v="B1"/>
    <x v="9"/>
  </r>
  <r>
    <n v="90"/>
    <x v="1"/>
    <n v="88"/>
    <s v="A2"/>
    <x v="9"/>
  </r>
  <r>
    <n v="92"/>
    <x v="3"/>
    <n v="86"/>
    <s v="A2"/>
    <x v="6"/>
  </r>
  <r>
    <n v="87"/>
    <x v="1"/>
    <n v="78"/>
    <s v="B1"/>
    <x v="5"/>
  </r>
  <r>
    <n v="62"/>
    <x v="2"/>
    <n v="70"/>
    <s v="B2"/>
    <x v="6"/>
  </r>
  <r>
    <n v="78"/>
    <x v="0"/>
    <n v="77"/>
    <s v="B1"/>
    <x v="5"/>
  </r>
  <r>
    <n v="68"/>
    <x v="2"/>
    <n v="86"/>
    <s v="A2"/>
    <x v="6"/>
  </r>
  <r>
    <n v="92"/>
    <x v="3"/>
    <n v="90"/>
    <s v="A2"/>
    <x v="3"/>
  </r>
  <r>
    <n v="68"/>
    <x v="2"/>
    <n v="65"/>
    <s v="B2"/>
    <x v="0"/>
  </r>
  <r>
    <n v="62"/>
    <x v="2"/>
    <n v="85"/>
    <s v="A2"/>
    <x v="7"/>
  </r>
  <r>
    <n v="80"/>
    <x v="0"/>
    <n v="70"/>
    <s v="B2"/>
    <x v="0"/>
  </r>
  <r>
    <n v="80"/>
    <x v="0"/>
    <n v="70"/>
    <s v="B2"/>
    <x v="0"/>
  </r>
  <r>
    <n v="92"/>
    <x v="3"/>
    <n v="85"/>
    <s v="A2"/>
    <x v="2"/>
  </r>
  <r>
    <n v="88"/>
    <x v="1"/>
    <n v="88"/>
    <s v="A2"/>
    <x v="6"/>
  </r>
  <r>
    <n v="72"/>
    <x v="0"/>
    <n v="60"/>
    <s v="C1"/>
    <x v="0"/>
  </r>
  <r>
    <n v="72"/>
    <x v="0"/>
    <n v="77.598759048603924"/>
    <s v="B1"/>
    <x v="0"/>
  </r>
  <r>
    <n v="80"/>
    <x v="0"/>
    <n v="82"/>
    <s v="A2"/>
    <x v="0"/>
  </r>
  <r>
    <n v="92"/>
    <x v="3"/>
    <n v="82"/>
    <s v="A2"/>
    <x v="4"/>
  </r>
  <r>
    <n v="62"/>
    <x v="2"/>
    <n v="88"/>
    <s v="A2"/>
    <x v="1"/>
  </r>
  <r>
    <n v="90"/>
    <x v="1"/>
    <n v="77"/>
    <s v="B1"/>
    <x v="0"/>
  </r>
  <r>
    <n v="87"/>
    <x v="1"/>
    <n v="82"/>
    <s v="A2"/>
    <x v="1"/>
  </r>
  <r>
    <n v="85"/>
    <x v="1"/>
    <n v="77.598759048603924"/>
    <s v="B1"/>
    <x v="5"/>
  </r>
  <r>
    <n v="72"/>
    <x v="0"/>
    <n v="60"/>
    <s v="C1"/>
    <x v="1"/>
  </r>
  <r>
    <n v="62"/>
    <x v="2"/>
    <n v="86"/>
    <s v="A2"/>
    <x v="7"/>
  </r>
  <r>
    <n v="68"/>
    <x v="2"/>
    <n v="65"/>
    <s v="B2"/>
    <x v="8"/>
  </r>
  <r>
    <n v="78"/>
    <x v="0"/>
    <n v="82"/>
    <s v="A2"/>
    <x v="2"/>
  </r>
  <r>
    <n v="68"/>
    <x v="2"/>
    <n v="90"/>
    <s v="A2"/>
    <x v="8"/>
  </r>
  <r>
    <n v="85"/>
    <x v="1"/>
    <n v="60"/>
    <s v="C1"/>
    <x v="0"/>
  </r>
  <r>
    <n v="78"/>
    <x v="0"/>
    <n v="88"/>
    <s v="A2"/>
    <x v="2"/>
  </r>
  <r>
    <n v="92"/>
    <x v="3"/>
    <n v="88"/>
    <s v="A2"/>
    <x v="9"/>
  </r>
  <r>
    <n v="80.030208333333334"/>
    <x v="1"/>
    <n v="82"/>
    <s v="A2"/>
    <x v="3"/>
  </r>
  <r>
    <n v="78"/>
    <x v="0"/>
    <n v="85"/>
    <s v="A2"/>
    <x v="6"/>
  </r>
  <r>
    <n v="92"/>
    <x v="3"/>
    <n v="86"/>
    <s v="A2"/>
    <x v="5"/>
  </r>
  <r>
    <n v="85"/>
    <x v="1"/>
    <n v="85"/>
    <s v="A2"/>
    <x v="5"/>
  </r>
  <r>
    <n v="90"/>
    <x v="1"/>
    <n v="86"/>
    <s v="A2"/>
    <x v="6"/>
  </r>
  <r>
    <n v="90"/>
    <x v="1"/>
    <n v="65"/>
    <s v="B2"/>
    <x v="1"/>
  </r>
  <r>
    <n v="85"/>
    <x v="1"/>
    <n v="77"/>
    <s v="B1"/>
    <x v="1"/>
  </r>
  <r>
    <n v="72"/>
    <x v="0"/>
    <n v="90"/>
    <s v="A2"/>
    <x v="1"/>
  </r>
  <r>
    <n v="80"/>
    <x v="0"/>
    <n v="65"/>
    <s v="B2"/>
    <x v="6"/>
  </r>
  <r>
    <n v="87"/>
    <x v="1"/>
    <n v="90"/>
    <s v="A2"/>
    <x v="0"/>
  </r>
  <r>
    <n v="78"/>
    <x v="0"/>
    <n v="85"/>
    <s v="A2"/>
    <x v="4"/>
  </r>
  <r>
    <n v="88"/>
    <x v="1"/>
    <n v="88"/>
    <s v="A2"/>
    <x v="8"/>
  </r>
  <r>
    <n v="68"/>
    <x v="2"/>
    <n v="90"/>
    <s v="A2"/>
    <x v="5"/>
  </r>
  <r>
    <n v="72"/>
    <x v="0"/>
    <n v="60"/>
    <s v="C1"/>
    <x v="8"/>
  </r>
  <r>
    <n v="88"/>
    <x v="1"/>
    <n v="65"/>
    <s v="B2"/>
    <x v="4"/>
  </r>
  <r>
    <n v="78"/>
    <x v="0"/>
    <n v="70"/>
    <s v="B2"/>
    <x v="3"/>
  </r>
  <r>
    <n v="85"/>
    <x v="1"/>
    <n v="86"/>
    <s v="A2"/>
    <x v="2"/>
  </r>
  <r>
    <n v="88"/>
    <x v="1"/>
    <n v="70"/>
    <s v="B2"/>
    <x v="8"/>
  </r>
  <r>
    <n v="92"/>
    <x v="3"/>
    <n v="90"/>
    <s v="A2"/>
    <x v="0"/>
  </r>
  <r>
    <n v="88"/>
    <x v="1"/>
    <n v="85"/>
    <s v="A2"/>
    <x v="1"/>
  </r>
  <r>
    <n v="72"/>
    <x v="0"/>
    <n v="78"/>
    <s v="B1"/>
    <x v="3"/>
  </r>
  <r>
    <n v="87"/>
    <x v="1"/>
    <n v="82"/>
    <s v="A2"/>
    <x v="9"/>
  </r>
  <r>
    <n v="90"/>
    <x v="1"/>
    <n v="90"/>
    <s v="A2"/>
    <x v="2"/>
  </r>
  <r>
    <n v="87"/>
    <x v="1"/>
    <n v="60"/>
    <s v="C1"/>
    <x v="8"/>
  </r>
  <r>
    <n v="80"/>
    <x v="0"/>
    <n v="77"/>
    <s v="B1"/>
    <x v="5"/>
  </r>
  <r>
    <n v="92"/>
    <x v="3"/>
    <n v="60"/>
    <s v="C1"/>
    <x v="1"/>
  </r>
  <r>
    <n v="87"/>
    <x v="1"/>
    <n v="88"/>
    <s v="A2"/>
    <x v="8"/>
  </r>
  <r>
    <n v="68"/>
    <x v="2"/>
    <n v="78"/>
    <s v="B1"/>
    <x v="0"/>
  </r>
  <r>
    <n v="68"/>
    <x v="2"/>
    <n v="85"/>
    <s v="A2"/>
    <x v="5"/>
  </r>
  <r>
    <n v="87"/>
    <x v="1"/>
    <n v="78"/>
    <s v="B1"/>
    <x v="1"/>
  </r>
  <r>
    <n v="87"/>
    <x v="1"/>
    <n v="60"/>
    <s v="C1"/>
    <x v="4"/>
  </r>
  <r>
    <n v="68"/>
    <x v="2"/>
    <n v="65"/>
    <s v="B2"/>
    <x v="5"/>
  </r>
  <r>
    <n v="78"/>
    <x v="0"/>
    <n v="65"/>
    <s v="B2"/>
    <x v="5"/>
  </r>
  <r>
    <n v="68"/>
    <x v="2"/>
    <n v="88"/>
    <s v="A2"/>
    <x v="8"/>
  </r>
  <r>
    <n v="72"/>
    <x v="0"/>
    <n v="90"/>
    <s v="A2"/>
    <x v="0"/>
  </r>
  <r>
    <n v="88"/>
    <x v="1"/>
    <n v="85"/>
    <s v="A2"/>
    <x v="0"/>
  </r>
  <r>
    <n v="68"/>
    <x v="2"/>
    <n v="60"/>
    <s v="C1"/>
    <x v="6"/>
  </r>
  <r>
    <n v="62"/>
    <x v="2"/>
    <n v="90"/>
    <s v="A2"/>
    <x v="0"/>
  </r>
  <r>
    <n v="85"/>
    <x v="1"/>
    <n v="70"/>
    <s v="B2"/>
    <x v="1"/>
  </r>
  <r>
    <n v="62"/>
    <x v="2"/>
    <n v="85"/>
    <s v="A2"/>
    <x v="6"/>
  </r>
  <r>
    <n v="80"/>
    <x v="0"/>
    <n v="77"/>
    <s v="B1"/>
    <x v="6"/>
  </r>
  <r>
    <n v="72"/>
    <x v="0"/>
    <n v="65"/>
    <s v="B2"/>
    <x v="2"/>
  </r>
  <r>
    <n v="62"/>
    <x v="2"/>
    <n v="85"/>
    <s v="A2"/>
    <x v="2"/>
  </r>
  <r>
    <n v="88"/>
    <x v="1"/>
    <n v="88"/>
    <s v="A2"/>
    <x v="0"/>
  </r>
  <r>
    <n v="92"/>
    <x v="3"/>
    <n v="77.598759048603924"/>
    <s v="B1"/>
    <x v="3"/>
  </r>
  <r>
    <n v="92"/>
    <x v="3"/>
    <n v="60"/>
    <s v="C1"/>
    <x v="0"/>
  </r>
  <r>
    <n v="80"/>
    <x v="0"/>
    <n v="85"/>
    <s v="A2"/>
    <x v="8"/>
  </r>
  <r>
    <n v="72"/>
    <x v="0"/>
    <n v="82"/>
    <s v="A2"/>
    <x v="0"/>
  </r>
  <r>
    <n v="78"/>
    <x v="0"/>
    <n v="77"/>
    <s v="B1"/>
    <x v="8"/>
  </r>
  <r>
    <n v="72"/>
    <x v="0"/>
    <n v="60"/>
    <s v="C1"/>
    <x v="2"/>
  </r>
  <r>
    <n v="92"/>
    <x v="3"/>
    <n v="85"/>
    <s v="A2"/>
    <x v="6"/>
  </r>
  <r>
    <n v="90"/>
    <x v="1"/>
    <n v="70"/>
    <s v="B2"/>
    <x v="0"/>
  </r>
  <r>
    <n v="62"/>
    <x v="2"/>
    <n v="86"/>
    <s v="A2"/>
    <x v="6"/>
  </r>
  <r>
    <n v="85"/>
    <x v="1"/>
    <n v="88"/>
    <s v="A2"/>
    <x v="5"/>
  </r>
  <r>
    <n v="62"/>
    <x v="2"/>
    <n v="77"/>
    <s v="B1"/>
    <x v="4"/>
  </r>
  <r>
    <n v="85"/>
    <x v="1"/>
    <n v="85"/>
    <s v="A2"/>
    <x v="0"/>
  </r>
  <r>
    <n v="72"/>
    <x v="0"/>
    <n v="90"/>
    <s v="A2"/>
    <x v="2"/>
  </r>
  <r>
    <n v="87"/>
    <x v="1"/>
    <n v="70"/>
    <s v="B2"/>
    <x v="6"/>
  </r>
  <r>
    <n v="90"/>
    <x v="1"/>
    <n v="65"/>
    <s v="B2"/>
    <x v="0"/>
  </r>
  <r>
    <n v="87"/>
    <x v="1"/>
    <n v="90"/>
    <s v="A2"/>
    <x v="0"/>
  </r>
  <r>
    <n v="62"/>
    <x v="2"/>
    <n v="86"/>
    <s v="A2"/>
    <x v="0"/>
  </r>
  <r>
    <n v="68"/>
    <x v="2"/>
    <n v="82"/>
    <s v="A2"/>
    <x v="3"/>
  </r>
  <r>
    <n v="85"/>
    <x v="1"/>
    <n v="77"/>
    <s v="B1"/>
    <x v="6"/>
  </r>
  <r>
    <n v="72"/>
    <x v="0"/>
    <n v="60"/>
    <s v="C1"/>
    <x v="7"/>
  </r>
  <r>
    <n v="80"/>
    <x v="0"/>
    <n v="88"/>
    <s v="A2"/>
    <x v="2"/>
  </r>
  <r>
    <n v="87"/>
    <x v="1"/>
    <n v="86"/>
    <s v="A2"/>
    <x v="4"/>
  </r>
  <r>
    <n v="68"/>
    <x v="2"/>
    <n v="60"/>
    <s v="C1"/>
    <x v="3"/>
  </r>
  <r>
    <n v="78"/>
    <x v="0"/>
    <n v="65"/>
    <s v="B2"/>
    <x v="8"/>
  </r>
  <r>
    <n v="72"/>
    <x v="0"/>
    <n v="86"/>
    <s v="A2"/>
    <x v="0"/>
  </r>
  <r>
    <n v="88"/>
    <x v="1"/>
    <n v="78"/>
    <s v="B1"/>
    <x v="2"/>
  </r>
  <r>
    <n v="90"/>
    <x v="1"/>
    <n v="60"/>
    <s v="C1"/>
    <x v="1"/>
  </r>
  <r>
    <n v="92"/>
    <x v="3"/>
    <n v="70"/>
    <s v="B2"/>
    <x v="5"/>
  </r>
  <r>
    <n v="88"/>
    <x v="1"/>
    <n v="78"/>
    <s v="B1"/>
    <x v="2"/>
  </r>
  <r>
    <n v="90"/>
    <x v="1"/>
    <n v="88"/>
    <s v="A2"/>
    <x v="0"/>
  </r>
  <r>
    <n v="87"/>
    <x v="1"/>
    <n v="90"/>
    <s v="A2"/>
    <x v="0"/>
  </r>
  <r>
    <n v="80.030208333333334"/>
    <x v="1"/>
    <n v="60"/>
    <s v="C1"/>
    <x v="6"/>
  </r>
  <r>
    <n v="80"/>
    <x v="0"/>
    <n v="65"/>
    <s v="B2"/>
    <x v="8"/>
  </r>
  <r>
    <n v="87"/>
    <x v="1"/>
    <n v="60"/>
    <s v="C1"/>
    <x v="5"/>
  </r>
  <r>
    <n v="80"/>
    <x v="0"/>
    <n v="86"/>
    <s v="A2"/>
    <x v="6"/>
  </r>
  <r>
    <n v="62"/>
    <x v="2"/>
    <n v="90"/>
    <s v="A2"/>
    <x v="9"/>
  </r>
  <r>
    <n v="88"/>
    <x v="1"/>
    <n v="85"/>
    <s v="A2"/>
    <x v="0"/>
  </r>
  <r>
    <n v="62"/>
    <x v="2"/>
    <n v="77"/>
    <s v="B1"/>
    <x v="9"/>
  </r>
  <r>
    <n v="78"/>
    <x v="0"/>
    <n v="60"/>
    <s v="C1"/>
    <x v="2"/>
  </r>
  <r>
    <n v="87"/>
    <x v="1"/>
    <n v="78"/>
    <s v="B1"/>
    <x v="4"/>
  </r>
  <r>
    <n v="78"/>
    <x v="0"/>
    <n v="60"/>
    <s v="C1"/>
    <x v="6"/>
  </r>
  <r>
    <n v="88"/>
    <x v="1"/>
    <n v="70"/>
    <s v="B2"/>
    <x v="6"/>
  </r>
  <r>
    <n v="80"/>
    <x v="0"/>
    <n v="90"/>
    <s v="A2"/>
    <x v="2"/>
  </r>
  <r>
    <n v="62"/>
    <x v="2"/>
    <n v="88"/>
    <s v="A2"/>
    <x v="8"/>
  </r>
  <r>
    <n v="87"/>
    <x v="1"/>
    <n v="86"/>
    <s v="A2"/>
    <x v="0"/>
  </r>
  <r>
    <n v="62"/>
    <x v="2"/>
    <n v="88"/>
    <s v="A2"/>
    <x v="9"/>
  </r>
  <r>
    <n v="62"/>
    <x v="2"/>
    <n v="65"/>
    <s v="B2"/>
    <x v="9"/>
  </r>
  <r>
    <n v="80.030208333333334"/>
    <x v="1"/>
    <n v="78"/>
    <s v="B1"/>
    <x v="9"/>
  </r>
  <r>
    <n v="62"/>
    <x v="2"/>
    <n v="88"/>
    <s v="A2"/>
    <x v="9"/>
  </r>
  <r>
    <n v="72"/>
    <x v="0"/>
    <n v="70"/>
    <s v="B2"/>
    <x v="6"/>
  </r>
  <r>
    <n v="92"/>
    <x v="3"/>
    <n v="86"/>
    <s v="A2"/>
    <x v="2"/>
  </r>
  <r>
    <n v="80.030208333333334"/>
    <x v="1"/>
    <n v="88"/>
    <s v="A2"/>
    <x v="0"/>
  </r>
  <r>
    <n v="68"/>
    <x v="2"/>
    <n v="77"/>
    <s v="B1"/>
    <x v="3"/>
  </r>
  <r>
    <n v="80"/>
    <x v="0"/>
    <n v="82"/>
    <s v="A2"/>
    <x v="9"/>
  </r>
  <r>
    <n v="80"/>
    <x v="0"/>
    <n v="60"/>
    <s v="C1"/>
    <x v="3"/>
  </r>
  <r>
    <n v="62"/>
    <x v="2"/>
    <n v="82"/>
    <s v="A2"/>
    <x v="9"/>
  </r>
  <r>
    <n v="87"/>
    <x v="1"/>
    <n v="86"/>
    <s v="A2"/>
    <x v="9"/>
  </r>
  <r>
    <n v="90"/>
    <x v="1"/>
    <n v="85"/>
    <s v="A2"/>
    <x v="1"/>
  </r>
  <r>
    <n v="90"/>
    <x v="1"/>
    <n v="78"/>
    <s v="B1"/>
    <x v="7"/>
  </r>
  <r>
    <n v="80"/>
    <x v="0"/>
    <n v="60"/>
    <s v="C1"/>
    <x v="9"/>
  </r>
  <r>
    <n v="68"/>
    <x v="2"/>
    <n v="88"/>
    <s v="A2"/>
    <x v="7"/>
  </r>
  <r>
    <n v="90"/>
    <x v="1"/>
    <n v="82"/>
    <s v="A2"/>
    <x v="0"/>
  </r>
  <r>
    <n v="85"/>
    <x v="1"/>
    <n v="77.598759048603924"/>
    <s v="B1"/>
    <x v="6"/>
  </r>
  <r>
    <n v="62"/>
    <x v="2"/>
    <n v="70"/>
    <s v="B2"/>
    <x v="0"/>
  </r>
  <r>
    <n v="68"/>
    <x v="2"/>
    <n v="60"/>
    <s v="C1"/>
    <x v="3"/>
  </r>
  <r>
    <n v="78"/>
    <x v="0"/>
    <n v="88"/>
    <s v="A2"/>
    <x v="5"/>
  </r>
  <r>
    <n v="62"/>
    <x v="2"/>
    <n v="86"/>
    <s v="A2"/>
    <x v="1"/>
  </r>
  <r>
    <n v="72"/>
    <x v="0"/>
    <n v="88"/>
    <s v="A2"/>
    <x v="7"/>
  </r>
  <r>
    <n v="72"/>
    <x v="0"/>
    <n v="65"/>
    <s v="B2"/>
    <x v="5"/>
  </r>
  <r>
    <n v="80.030208333333334"/>
    <x v="1"/>
    <n v="70"/>
    <s v="B2"/>
    <x v="9"/>
  </r>
  <r>
    <n v="92"/>
    <x v="3"/>
    <n v="65"/>
    <s v="B2"/>
    <x v="5"/>
  </r>
  <r>
    <n v="85"/>
    <x v="1"/>
    <n v="78"/>
    <s v="B1"/>
    <x v="1"/>
  </r>
  <r>
    <n v="62"/>
    <x v="2"/>
    <n v="85"/>
    <s v="A2"/>
    <x v="0"/>
  </r>
  <r>
    <n v="72"/>
    <x v="0"/>
    <n v="60"/>
    <s v="C1"/>
    <x v="0"/>
  </r>
  <r>
    <n v="87"/>
    <x v="1"/>
    <n v="85"/>
    <s v="A2"/>
    <x v="7"/>
  </r>
  <r>
    <n v="72"/>
    <x v="0"/>
    <n v="82"/>
    <s v="A2"/>
    <x v="5"/>
  </r>
  <r>
    <n v="78"/>
    <x v="0"/>
    <n v="85"/>
    <s v="A2"/>
    <x v="0"/>
  </r>
  <r>
    <n v="80"/>
    <x v="0"/>
    <n v="82"/>
    <s v="A2"/>
    <x v="3"/>
  </r>
  <r>
    <n v="80"/>
    <x v="0"/>
    <n v="85"/>
    <s v="A2"/>
    <x v="5"/>
  </r>
  <r>
    <n v="90"/>
    <x v="1"/>
    <n v="82"/>
    <s v="A2"/>
    <x v="4"/>
  </r>
  <r>
    <n v="68"/>
    <x v="2"/>
    <n v="60"/>
    <s v="C1"/>
    <x v="6"/>
  </r>
  <r>
    <n v="88"/>
    <x v="1"/>
    <n v="86"/>
    <s v="A2"/>
    <x v="8"/>
  </r>
  <r>
    <n v="87"/>
    <x v="1"/>
    <n v="60"/>
    <s v="C1"/>
    <x v="0"/>
  </r>
  <r>
    <n v="62"/>
    <x v="2"/>
    <n v="70"/>
    <s v="B2"/>
    <x v="5"/>
  </r>
  <r>
    <n v="68"/>
    <x v="2"/>
    <n v="86"/>
    <s v="A2"/>
    <x v="2"/>
  </r>
  <r>
    <n v="80"/>
    <x v="0"/>
    <n v="90"/>
    <s v="A2"/>
    <x v="0"/>
  </r>
  <r>
    <n v="87"/>
    <x v="1"/>
    <n v="77"/>
    <s v="B1"/>
    <x v="1"/>
  </r>
  <r>
    <n v="72"/>
    <x v="0"/>
    <n v="77.598759048603924"/>
    <s v="B1"/>
    <x v="0"/>
  </r>
  <r>
    <n v="78"/>
    <x v="0"/>
    <n v="88"/>
    <s v="A2"/>
    <x v="0"/>
  </r>
  <r>
    <n v="90"/>
    <x v="1"/>
    <n v="90"/>
    <s v="A2"/>
    <x v="1"/>
  </r>
  <r>
    <n v="85"/>
    <x v="1"/>
    <n v="65"/>
    <s v="B2"/>
    <x v="2"/>
  </r>
  <r>
    <n v="80"/>
    <x v="0"/>
    <n v="88"/>
    <s v="A2"/>
    <x v="0"/>
  </r>
  <r>
    <n v="72"/>
    <x v="0"/>
    <n v="65"/>
    <s v="B2"/>
    <x v="8"/>
  </r>
  <r>
    <n v="88"/>
    <x v="1"/>
    <n v="65"/>
    <s v="B2"/>
    <x v="8"/>
  </r>
  <r>
    <n v="68"/>
    <x v="2"/>
    <n v="88"/>
    <s v="A2"/>
    <x v="9"/>
  </r>
  <r>
    <n v="85"/>
    <x v="1"/>
    <n v="90"/>
    <s v="A2"/>
    <x v="7"/>
  </r>
  <r>
    <n v="88"/>
    <x v="1"/>
    <n v="70"/>
    <s v="B2"/>
    <x v="1"/>
  </r>
  <r>
    <n v="62"/>
    <x v="2"/>
    <n v="70"/>
    <s v="B2"/>
    <x v="6"/>
  </r>
  <r>
    <n v="85"/>
    <x v="1"/>
    <n v="82"/>
    <s v="A2"/>
    <x v="2"/>
  </r>
  <r>
    <n v="72"/>
    <x v="0"/>
    <n v="70"/>
    <s v="B2"/>
    <x v="1"/>
  </r>
  <r>
    <n v="80"/>
    <x v="0"/>
    <n v="88"/>
    <s v="A2"/>
    <x v="6"/>
  </r>
  <r>
    <n v="92"/>
    <x v="3"/>
    <n v="86"/>
    <s v="A2"/>
    <x v="4"/>
  </r>
  <r>
    <n v="85"/>
    <x v="1"/>
    <n v="60"/>
    <s v="C1"/>
    <x v="7"/>
  </r>
  <r>
    <n v="90"/>
    <x v="1"/>
    <n v="65"/>
    <s v="B2"/>
    <x v="5"/>
  </r>
  <r>
    <n v="72"/>
    <x v="0"/>
    <n v="70"/>
    <s v="B2"/>
    <x v="1"/>
  </r>
  <r>
    <n v="90"/>
    <x v="1"/>
    <n v="90"/>
    <s v="A2"/>
    <x v="1"/>
  </r>
  <r>
    <n v="92"/>
    <x v="3"/>
    <n v="85"/>
    <s v="A2"/>
    <x v="7"/>
  </r>
  <r>
    <n v="85"/>
    <x v="1"/>
    <n v="60"/>
    <s v="C1"/>
    <x v="6"/>
  </r>
  <r>
    <n v="72"/>
    <x v="0"/>
    <n v="82"/>
    <s v="A2"/>
    <x v="0"/>
  </r>
  <r>
    <n v="92"/>
    <x v="3"/>
    <n v="90"/>
    <s v="A2"/>
    <x v="1"/>
  </r>
  <r>
    <n v="87"/>
    <x v="1"/>
    <n v="88"/>
    <s v="A2"/>
    <x v="0"/>
  </r>
  <r>
    <n v="62"/>
    <x v="2"/>
    <n v="60"/>
    <s v="C1"/>
    <x v="9"/>
  </r>
  <r>
    <n v="87"/>
    <x v="1"/>
    <n v="86"/>
    <s v="A2"/>
    <x v="8"/>
  </r>
  <r>
    <n v="62"/>
    <x v="2"/>
    <n v="82"/>
    <s v="A2"/>
    <x v="8"/>
  </r>
  <r>
    <n v="68"/>
    <x v="2"/>
    <n v="70"/>
    <s v="B2"/>
    <x v="2"/>
  </r>
  <r>
    <n v="62"/>
    <x v="2"/>
    <n v="78"/>
    <s v="B1"/>
    <x v="1"/>
  </r>
  <r>
    <n v="68"/>
    <x v="2"/>
    <n v="70"/>
    <s v="B2"/>
    <x v="3"/>
  </r>
  <r>
    <n v="72"/>
    <x v="0"/>
    <n v="70"/>
    <s v="B2"/>
    <x v="8"/>
  </r>
  <r>
    <n v="68"/>
    <x v="2"/>
    <n v="77"/>
    <s v="B1"/>
    <x v="3"/>
  </r>
  <r>
    <n v="88"/>
    <x v="1"/>
    <n v="77"/>
    <s v="B1"/>
    <x v="3"/>
  </r>
  <r>
    <n v="92"/>
    <x v="3"/>
    <n v="78"/>
    <s v="B1"/>
    <x v="4"/>
  </r>
  <r>
    <n v="90"/>
    <x v="1"/>
    <n v="77"/>
    <s v="B1"/>
    <x v="2"/>
  </r>
  <r>
    <n v="87"/>
    <x v="1"/>
    <n v="70"/>
    <s v="B2"/>
    <x v="9"/>
  </r>
  <r>
    <n v="78"/>
    <x v="0"/>
    <n v="82"/>
    <s v="A2"/>
    <x v="0"/>
  </r>
  <r>
    <n v="72"/>
    <x v="0"/>
    <n v="65"/>
    <s v="B2"/>
    <x v="8"/>
  </r>
  <r>
    <n v="88"/>
    <x v="1"/>
    <n v="77"/>
    <s v="B1"/>
    <x v="7"/>
  </r>
  <r>
    <n v="85"/>
    <x v="1"/>
    <n v="77"/>
    <s v="B1"/>
    <x v="0"/>
  </r>
  <r>
    <n v="90"/>
    <x v="1"/>
    <n v="77"/>
    <s v="B1"/>
    <x v="6"/>
  </r>
  <r>
    <n v="87"/>
    <x v="1"/>
    <n v="88"/>
    <s v="A2"/>
    <x v="6"/>
  </r>
  <r>
    <n v="80"/>
    <x v="0"/>
    <n v="77"/>
    <s v="B1"/>
    <x v="5"/>
  </r>
  <r>
    <n v="68"/>
    <x v="2"/>
    <n v="82"/>
    <s v="A2"/>
    <x v="1"/>
  </r>
  <r>
    <n v="92"/>
    <x v="3"/>
    <n v="77"/>
    <s v="B1"/>
    <x v="5"/>
  </r>
  <r>
    <n v="68"/>
    <x v="2"/>
    <n v="86"/>
    <s v="A2"/>
    <x v="0"/>
  </r>
  <r>
    <n v="88"/>
    <x v="1"/>
    <n v="70"/>
    <s v="B2"/>
    <x v="9"/>
  </r>
  <r>
    <n v="92"/>
    <x v="3"/>
    <n v="77"/>
    <s v="B1"/>
    <x v="0"/>
  </r>
  <r>
    <n v="87"/>
    <x v="1"/>
    <n v="77"/>
    <s v="B1"/>
    <x v="2"/>
  </r>
  <r>
    <n v="88"/>
    <x v="1"/>
    <n v="70"/>
    <s v="B2"/>
    <x v="3"/>
  </r>
  <r>
    <n v="80"/>
    <x v="0"/>
    <n v="65"/>
    <s v="B2"/>
    <x v="1"/>
  </r>
  <r>
    <n v="78"/>
    <x v="0"/>
    <n v="70"/>
    <s v="B2"/>
    <x v="5"/>
  </r>
  <r>
    <n v="85"/>
    <x v="1"/>
    <n v="77"/>
    <s v="B1"/>
    <x v="2"/>
  </r>
  <r>
    <n v="72"/>
    <x v="0"/>
    <n v="86"/>
    <s v="A2"/>
    <x v="0"/>
  </r>
  <r>
    <n v="88"/>
    <x v="1"/>
    <n v="65"/>
    <s v="B2"/>
    <x v="5"/>
  </r>
  <r>
    <n v="78"/>
    <x v="0"/>
    <n v="60"/>
    <s v="C1"/>
    <x v="6"/>
  </r>
  <r>
    <n v="87"/>
    <x v="1"/>
    <n v="60"/>
    <s v="C1"/>
    <x v="8"/>
  </r>
  <r>
    <n v="80"/>
    <x v="0"/>
    <n v="88"/>
    <s v="A2"/>
    <x v="7"/>
  </r>
  <r>
    <n v="85"/>
    <x v="1"/>
    <n v="60"/>
    <s v="C1"/>
    <x v="0"/>
  </r>
  <r>
    <n v="68"/>
    <x v="2"/>
    <n v="82"/>
    <s v="A2"/>
    <x v="8"/>
  </r>
  <r>
    <n v="92"/>
    <x v="3"/>
    <n v="86"/>
    <s v="A2"/>
    <x v="3"/>
  </r>
  <r>
    <n v="90"/>
    <x v="1"/>
    <n v="85"/>
    <s v="A2"/>
    <x v="0"/>
  </r>
  <r>
    <n v="72"/>
    <x v="0"/>
    <n v="70"/>
    <s v="B2"/>
    <x v="1"/>
  </r>
  <r>
    <n v="80"/>
    <x v="0"/>
    <n v="77"/>
    <s v="B1"/>
    <x v="8"/>
  </r>
  <r>
    <n v="88"/>
    <x v="1"/>
    <n v="70"/>
    <s v="B2"/>
    <x v="5"/>
  </r>
  <r>
    <n v="78"/>
    <x v="0"/>
    <n v="77"/>
    <s v="B1"/>
    <x v="5"/>
  </r>
  <r>
    <n v="80"/>
    <x v="0"/>
    <n v="88"/>
    <s v="A2"/>
    <x v="5"/>
  </r>
  <r>
    <n v="78"/>
    <x v="0"/>
    <n v="85"/>
    <s v="A2"/>
    <x v="6"/>
  </r>
  <r>
    <n v="92"/>
    <x v="3"/>
    <n v="90"/>
    <s v="A2"/>
    <x v="0"/>
  </r>
  <r>
    <n v="72"/>
    <x v="0"/>
    <n v="77"/>
    <s v="B1"/>
    <x v="1"/>
  </r>
  <r>
    <n v="85"/>
    <x v="1"/>
    <n v="77"/>
    <s v="B1"/>
    <x v="8"/>
  </r>
  <r>
    <n v="62"/>
    <x v="2"/>
    <n v="78"/>
    <s v="B1"/>
    <x v="0"/>
  </r>
  <r>
    <n v="92"/>
    <x v="3"/>
    <n v="88"/>
    <s v="A2"/>
    <x v="7"/>
  </r>
  <r>
    <n v="78"/>
    <x v="0"/>
    <n v="77.598759048603924"/>
    <s v="B1"/>
    <x v="2"/>
  </r>
  <r>
    <n v="62"/>
    <x v="2"/>
    <n v="60"/>
    <s v="C1"/>
    <x v="6"/>
  </r>
  <r>
    <n v="92"/>
    <x v="3"/>
    <n v="70"/>
    <s v="B2"/>
    <x v="9"/>
  </r>
  <r>
    <n v="72"/>
    <x v="0"/>
    <n v="77"/>
    <s v="B1"/>
    <x v="2"/>
  </r>
  <r>
    <n v="68"/>
    <x v="2"/>
    <n v="78"/>
    <s v="B1"/>
    <x v="7"/>
  </r>
  <r>
    <n v="72"/>
    <x v="0"/>
    <n v="88"/>
    <s v="A2"/>
    <x v="5"/>
  </r>
  <r>
    <n v="88"/>
    <x v="1"/>
    <n v="86"/>
    <s v="A2"/>
    <x v="1"/>
  </r>
  <r>
    <n v="62"/>
    <x v="2"/>
    <n v="77"/>
    <s v="B1"/>
    <x v="5"/>
  </r>
  <r>
    <n v="87"/>
    <x v="1"/>
    <n v="86"/>
    <s v="A2"/>
    <x v="6"/>
  </r>
  <r>
    <n v="90"/>
    <x v="1"/>
    <n v="60"/>
    <s v="C1"/>
    <x v="9"/>
  </r>
  <r>
    <n v="85"/>
    <x v="1"/>
    <n v="65"/>
    <s v="B2"/>
    <x v="2"/>
  </r>
  <r>
    <n v="72"/>
    <x v="0"/>
    <n v="85"/>
    <s v="A2"/>
    <x v="6"/>
  </r>
  <r>
    <n v="62"/>
    <x v="2"/>
    <n v="86"/>
    <s v="A2"/>
    <x v="1"/>
  </r>
  <r>
    <n v="90"/>
    <x v="1"/>
    <n v="65"/>
    <s v="B2"/>
    <x v="2"/>
  </r>
  <r>
    <n v="88"/>
    <x v="1"/>
    <n v="65"/>
    <s v="B2"/>
    <x v="7"/>
  </r>
  <r>
    <n v="78"/>
    <x v="0"/>
    <n v="70"/>
    <s v="B2"/>
    <x v="5"/>
  </r>
  <r>
    <n v="85"/>
    <x v="1"/>
    <n v="70"/>
    <s v="B2"/>
    <x v="0"/>
  </r>
  <r>
    <n v="80"/>
    <x v="0"/>
    <n v="82"/>
    <s v="A2"/>
    <x v="0"/>
  </r>
  <r>
    <n v="85"/>
    <x v="1"/>
    <n v="60"/>
    <s v="C1"/>
    <x v="3"/>
  </r>
  <r>
    <n v="87"/>
    <x v="1"/>
    <n v="82"/>
    <s v="A2"/>
    <x v="9"/>
  </r>
  <r>
    <n v="80"/>
    <x v="0"/>
    <n v="77"/>
    <s v="B1"/>
    <x v="9"/>
  </r>
  <r>
    <n v="80"/>
    <x v="0"/>
    <n v="65"/>
    <s v="B2"/>
    <x v="9"/>
  </r>
  <r>
    <n v="78"/>
    <x v="0"/>
    <n v="82"/>
    <s v="A2"/>
    <x v="5"/>
  </r>
  <r>
    <n v="78"/>
    <x v="0"/>
    <n v="60"/>
    <s v="C1"/>
    <x v="0"/>
  </r>
  <r>
    <n v="80"/>
    <x v="0"/>
    <n v="77"/>
    <s v="B1"/>
    <x v="3"/>
  </r>
  <r>
    <n v="80"/>
    <x v="0"/>
    <n v="82"/>
    <s v="A2"/>
    <x v="0"/>
  </r>
  <r>
    <n v="92"/>
    <x v="3"/>
    <n v="88"/>
    <s v="A2"/>
    <x v="9"/>
  </r>
  <r>
    <n v="92"/>
    <x v="3"/>
    <n v="86"/>
    <s v="A2"/>
    <x v="2"/>
  </r>
  <r>
    <n v="88"/>
    <x v="1"/>
    <n v="65"/>
    <s v="B2"/>
    <x v="1"/>
  </r>
  <r>
    <n v="92"/>
    <x v="3"/>
    <n v="85"/>
    <s v="A2"/>
    <x v="2"/>
  </r>
  <r>
    <n v="80"/>
    <x v="0"/>
    <n v="88"/>
    <s v="A2"/>
    <x v="0"/>
  </r>
  <r>
    <n v="80.030208333333334"/>
    <x v="1"/>
    <n v="65"/>
    <s v="B2"/>
    <x v="3"/>
  </r>
  <r>
    <n v="78"/>
    <x v="0"/>
    <n v="82"/>
    <s v="A2"/>
    <x v="0"/>
  </r>
  <r>
    <n v="87"/>
    <x v="1"/>
    <n v="86"/>
    <s v="A2"/>
    <x v="8"/>
  </r>
  <r>
    <n v="62"/>
    <x v="2"/>
    <n v="86"/>
    <s v="A2"/>
    <x v="7"/>
  </r>
  <r>
    <n v="87"/>
    <x v="1"/>
    <n v="65"/>
    <s v="B2"/>
    <x v="0"/>
  </r>
  <r>
    <n v="90"/>
    <x v="1"/>
    <n v="86"/>
    <s v="A2"/>
    <x v="7"/>
  </r>
  <r>
    <n v="72"/>
    <x v="0"/>
    <n v="77"/>
    <s v="B1"/>
    <x v="0"/>
  </r>
  <r>
    <n v="92"/>
    <x v="3"/>
    <n v="85"/>
    <s v="A2"/>
    <x v="7"/>
  </r>
  <r>
    <n v="68"/>
    <x v="2"/>
    <n v="70"/>
    <s v="B2"/>
    <x v="3"/>
  </r>
  <r>
    <n v="72"/>
    <x v="0"/>
    <n v="85"/>
    <s v="A2"/>
    <x v="0"/>
  </r>
  <r>
    <n v="62"/>
    <x v="2"/>
    <n v="70"/>
    <s v="B2"/>
    <x v="5"/>
  </r>
  <r>
    <n v="78"/>
    <x v="0"/>
    <n v="82"/>
    <s v="A2"/>
    <x v="6"/>
  </r>
  <r>
    <n v="92"/>
    <x v="3"/>
    <n v="82"/>
    <s v="A2"/>
    <x v="7"/>
  </r>
  <r>
    <n v="68"/>
    <x v="2"/>
    <n v="77"/>
    <s v="B1"/>
    <x v="1"/>
  </r>
  <r>
    <n v="92"/>
    <x v="3"/>
    <n v="86"/>
    <s v="A2"/>
    <x v="9"/>
  </r>
  <r>
    <n v="85"/>
    <x v="1"/>
    <n v="85"/>
    <s v="A2"/>
    <x v="0"/>
  </r>
  <r>
    <n v="92"/>
    <x v="3"/>
    <n v="60"/>
    <s v="C1"/>
    <x v="5"/>
  </r>
  <r>
    <n v="88"/>
    <x v="1"/>
    <n v="78"/>
    <s v="B1"/>
    <x v="9"/>
  </r>
  <r>
    <n v="87"/>
    <x v="1"/>
    <n v="86"/>
    <s v="A2"/>
    <x v="6"/>
  </r>
  <r>
    <n v="80"/>
    <x v="0"/>
    <n v="77"/>
    <s v="B1"/>
    <x v="5"/>
  </r>
  <r>
    <n v="78"/>
    <x v="0"/>
    <n v="77"/>
    <s v="B1"/>
    <x v="2"/>
  </r>
  <r>
    <n v="88"/>
    <x v="1"/>
    <n v="82"/>
    <s v="A2"/>
    <x v="3"/>
  </r>
  <r>
    <n v="80"/>
    <x v="0"/>
    <n v="88"/>
    <s v="A2"/>
    <x v="5"/>
  </r>
  <r>
    <n v="90"/>
    <x v="1"/>
    <n v="90"/>
    <s v="A2"/>
    <x v="0"/>
  </r>
  <r>
    <n v="90"/>
    <x v="1"/>
    <n v="65"/>
    <s v="B2"/>
    <x v="4"/>
  </r>
  <r>
    <n v="92"/>
    <x v="3"/>
    <n v="90"/>
    <s v="A2"/>
    <x v="0"/>
  </r>
  <r>
    <n v="72"/>
    <x v="0"/>
    <n v="78"/>
    <s v="B1"/>
    <x v="8"/>
  </r>
  <r>
    <n v="80"/>
    <x v="0"/>
    <n v="78"/>
    <s v="B1"/>
    <x v="8"/>
  </r>
  <r>
    <n v="72"/>
    <x v="0"/>
    <n v="60"/>
    <s v="C1"/>
    <x v="0"/>
  </r>
  <r>
    <n v="80.030208333333334"/>
    <x v="1"/>
    <n v="70"/>
    <s v="B2"/>
    <x v="2"/>
  </r>
  <r>
    <n v="90"/>
    <x v="1"/>
    <n v="78"/>
    <s v="B1"/>
    <x v="6"/>
  </r>
  <r>
    <n v="85"/>
    <x v="1"/>
    <n v="60"/>
    <s v="C1"/>
    <x v="0"/>
  </r>
  <r>
    <n v="92"/>
    <x v="3"/>
    <n v="86"/>
    <s v="A2"/>
    <x v="6"/>
  </r>
  <r>
    <n v="72"/>
    <x v="0"/>
    <n v="90"/>
    <s v="A2"/>
    <x v="7"/>
  </r>
  <r>
    <n v="87"/>
    <x v="1"/>
    <n v="86"/>
    <s v="A2"/>
    <x v="6"/>
  </r>
  <r>
    <n v="80.030208333333334"/>
    <x v="1"/>
    <n v="88"/>
    <s v="A2"/>
    <x v="2"/>
  </r>
  <r>
    <n v="88"/>
    <x v="1"/>
    <n v="65"/>
    <s v="B2"/>
    <x v="4"/>
  </r>
  <r>
    <n v="72"/>
    <x v="0"/>
    <n v="85"/>
    <s v="A2"/>
    <x v="0"/>
  </r>
  <r>
    <n v="92"/>
    <x v="3"/>
    <n v="65"/>
    <s v="B2"/>
    <x v="0"/>
  </r>
  <r>
    <n v="80.030208333333334"/>
    <x v="1"/>
    <n v="90"/>
    <s v="A2"/>
    <x v="3"/>
  </r>
  <r>
    <n v="62"/>
    <x v="2"/>
    <n v="78"/>
    <s v="B1"/>
    <x v="6"/>
  </r>
  <r>
    <n v="72"/>
    <x v="0"/>
    <n v="78"/>
    <s v="B1"/>
    <x v="0"/>
  </r>
  <r>
    <n v="85"/>
    <x v="1"/>
    <n v="77"/>
    <s v="B1"/>
    <x v="3"/>
  </r>
  <r>
    <n v="68"/>
    <x v="2"/>
    <n v="85"/>
    <s v="A2"/>
    <x v="0"/>
  </r>
  <r>
    <n v="88"/>
    <x v="1"/>
    <n v="78"/>
    <s v="B1"/>
    <x v="5"/>
  </r>
  <r>
    <n v="78"/>
    <x v="0"/>
    <n v="85"/>
    <s v="A2"/>
    <x v="5"/>
  </r>
  <r>
    <n v="90"/>
    <x v="1"/>
    <n v="60"/>
    <s v="C1"/>
    <x v="6"/>
  </r>
  <r>
    <n v="78"/>
    <x v="0"/>
    <n v="60"/>
    <s v="C1"/>
    <x v="2"/>
  </r>
  <r>
    <n v="78"/>
    <x v="0"/>
    <n v="82"/>
    <s v="A2"/>
    <x v="0"/>
  </r>
  <r>
    <n v="78"/>
    <x v="0"/>
    <n v="77"/>
    <s v="B1"/>
    <x v="3"/>
  </r>
  <r>
    <n v="68"/>
    <x v="2"/>
    <n v="90"/>
    <s v="A2"/>
    <x v="8"/>
  </r>
  <r>
    <n v="80"/>
    <x v="0"/>
    <n v="82"/>
    <s v="A2"/>
    <x v="8"/>
  </r>
  <r>
    <n v="85"/>
    <x v="1"/>
    <n v="88"/>
    <s v="A2"/>
    <x v="0"/>
  </r>
  <r>
    <n v="80.030208333333334"/>
    <x v="1"/>
    <n v="77.598759048603924"/>
    <s v="B1"/>
    <x v="9"/>
  </r>
  <r>
    <n v="88"/>
    <x v="1"/>
    <n v="70"/>
    <s v="B2"/>
    <x v="1"/>
  </r>
  <r>
    <n v="68"/>
    <x v="2"/>
    <n v="86"/>
    <s v="A2"/>
    <x v="9"/>
  </r>
  <r>
    <n v="87"/>
    <x v="1"/>
    <n v="82"/>
    <s v="A2"/>
    <x v="8"/>
  </r>
  <r>
    <n v="92"/>
    <x v="3"/>
    <n v="88"/>
    <s v="A2"/>
    <x v="6"/>
  </r>
  <r>
    <n v="80"/>
    <x v="0"/>
    <n v="70"/>
    <s v="B2"/>
    <x v="9"/>
  </r>
  <r>
    <n v="78"/>
    <x v="0"/>
    <n v="88"/>
    <s v="A2"/>
    <x v="2"/>
  </r>
  <r>
    <n v="80"/>
    <x v="0"/>
    <n v="88"/>
    <s v="A2"/>
    <x v="0"/>
  </r>
  <r>
    <n v="68"/>
    <x v="2"/>
    <n v="77.598759048603924"/>
    <s v="B1"/>
    <x v="3"/>
  </r>
  <r>
    <n v="87"/>
    <x v="1"/>
    <n v="60"/>
    <s v="C1"/>
    <x v="8"/>
  </r>
  <r>
    <n v="90"/>
    <x v="1"/>
    <n v="85"/>
    <s v="A2"/>
    <x v="9"/>
  </r>
  <r>
    <n v="80.030208333333334"/>
    <x v="1"/>
    <n v="88"/>
    <s v="A2"/>
    <x v="2"/>
  </r>
  <r>
    <n v="90"/>
    <x v="1"/>
    <n v="77"/>
    <s v="B1"/>
    <x v="3"/>
  </r>
  <r>
    <n v="85"/>
    <x v="1"/>
    <n v="70"/>
    <s v="B2"/>
    <x v="0"/>
  </r>
  <r>
    <n v="88"/>
    <x v="1"/>
    <n v="70"/>
    <s v="B2"/>
    <x v="0"/>
  </r>
  <r>
    <n v="78"/>
    <x v="0"/>
    <n v="82"/>
    <s v="A2"/>
    <x v="3"/>
  </r>
  <r>
    <n v="87"/>
    <x v="1"/>
    <n v="86"/>
    <s v="A2"/>
    <x v="1"/>
  </r>
  <r>
    <n v="85"/>
    <x v="1"/>
    <n v="90"/>
    <s v="A2"/>
    <x v="9"/>
  </r>
  <r>
    <n v="80"/>
    <x v="0"/>
    <n v="78"/>
    <s v="B1"/>
    <x v="0"/>
  </r>
  <r>
    <n v="78"/>
    <x v="0"/>
    <n v="90"/>
    <s v="A2"/>
    <x v="9"/>
  </r>
  <r>
    <n v="68"/>
    <x v="2"/>
    <n v="77"/>
    <s v="B1"/>
    <x v="9"/>
  </r>
  <r>
    <n v="80"/>
    <x v="0"/>
    <n v="88"/>
    <s v="A2"/>
    <x v="2"/>
  </r>
  <r>
    <n v="68"/>
    <x v="2"/>
    <n v="88"/>
    <s v="A2"/>
    <x v="2"/>
  </r>
  <r>
    <n v="62"/>
    <x v="2"/>
    <n v="77"/>
    <s v="B1"/>
    <x v="9"/>
  </r>
  <r>
    <n v="62"/>
    <x v="2"/>
    <n v="90"/>
    <s v="A2"/>
    <x v="1"/>
  </r>
  <r>
    <n v="78"/>
    <x v="0"/>
    <n v="85"/>
    <s v="A2"/>
    <x v="8"/>
  </r>
  <r>
    <n v="88"/>
    <x v="1"/>
    <n v="86"/>
    <s v="A2"/>
    <x v="6"/>
  </r>
  <r>
    <n v="80"/>
    <x v="0"/>
    <n v="65"/>
    <s v="B2"/>
    <x v="1"/>
  </r>
  <r>
    <n v="92"/>
    <x v="3"/>
    <n v="86"/>
    <s v="A2"/>
    <x v="6"/>
  </r>
  <r>
    <n v="72"/>
    <x v="0"/>
    <n v="86"/>
    <s v="A2"/>
    <x v="5"/>
  </r>
  <r>
    <n v="87"/>
    <x v="1"/>
    <n v="78"/>
    <s v="B1"/>
    <x v="7"/>
  </r>
  <r>
    <n v="72"/>
    <x v="0"/>
    <n v="60"/>
    <s v="C1"/>
    <x v="5"/>
  </r>
  <r>
    <n v="85"/>
    <x v="1"/>
    <n v="88"/>
    <s v="A2"/>
    <x v="7"/>
  </r>
  <r>
    <n v="62"/>
    <x v="2"/>
    <n v="65"/>
    <s v="B2"/>
    <x v="1"/>
  </r>
  <r>
    <n v="78"/>
    <x v="0"/>
    <n v="60"/>
    <s v="C1"/>
    <x v="0"/>
  </r>
  <r>
    <n v="88"/>
    <x v="1"/>
    <n v="60"/>
    <s v="C1"/>
    <x v="3"/>
  </r>
  <r>
    <n v="80"/>
    <x v="0"/>
    <n v="86"/>
    <s v="A2"/>
    <x v="6"/>
  </r>
  <r>
    <n v="72"/>
    <x v="0"/>
    <n v="77.598759048603924"/>
    <s v="B1"/>
    <x v="1"/>
  </r>
  <r>
    <n v="80"/>
    <x v="0"/>
    <n v="86"/>
    <s v="A2"/>
    <x v="1"/>
  </r>
  <r>
    <n v="90"/>
    <x v="1"/>
    <n v="86"/>
    <s v="A2"/>
    <x v="7"/>
  </r>
  <r>
    <n v="78"/>
    <x v="0"/>
    <n v="86"/>
    <s v="A2"/>
    <x v="8"/>
  </r>
  <r>
    <n v="87"/>
    <x v="1"/>
    <n v="85"/>
    <s v="A2"/>
    <x v="9"/>
  </r>
  <r>
    <n v="68"/>
    <x v="2"/>
    <n v="78"/>
    <s v="B1"/>
    <x v="9"/>
  </r>
  <r>
    <n v="72"/>
    <x v="0"/>
    <n v="90"/>
    <s v="A2"/>
    <x v="2"/>
  </r>
  <r>
    <n v="78"/>
    <x v="0"/>
    <n v="60"/>
    <s v="C1"/>
    <x v="0"/>
  </r>
  <r>
    <n v="62"/>
    <x v="2"/>
    <n v="78"/>
    <s v="B1"/>
    <x v="9"/>
  </r>
  <r>
    <n v="80"/>
    <x v="0"/>
    <n v="65"/>
    <s v="B2"/>
    <x v="0"/>
  </r>
  <r>
    <n v="85"/>
    <x v="1"/>
    <n v="88"/>
    <s v="A2"/>
    <x v="1"/>
  </r>
  <r>
    <n v="90"/>
    <x v="1"/>
    <n v="86"/>
    <s v="A2"/>
    <x v="0"/>
  </r>
  <r>
    <n v="72"/>
    <x v="0"/>
    <n v="78"/>
    <s v="B1"/>
    <x v="0"/>
  </r>
  <r>
    <n v="87"/>
    <x v="1"/>
    <n v="78"/>
    <s v="B1"/>
    <x v="9"/>
  </r>
  <r>
    <n v="88"/>
    <x v="1"/>
    <n v="65"/>
    <s v="B2"/>
    <x v="1"/>
  </r>
  <r>
    <n v="62"/>
    <x v="2"/>
    <n v="85"/>
    <s v="A2"/>
    <x v="9"/>
  </r>
  <r>
    <n v="90"/>
    <x v="1"/>
    <n v="78"/>
    <s v="B1"/>
    <x v="1"/>
  </r>
  <r>
    <n v="68"/>
    <x v="2"/>
    <n v="90"/>
    <s v="A2"/>
    <x v="1"/>
  </r>
  <r>
    <n v="85"/>
    <x v="1"/>
    <n v="85"/>
    <s v="A2"/>
    <x v="3"/>
  </r>
  <r>
    <n v="62"/>
    <x v="2"/>
    <n v="65"/>
    <s v="B2"/>
    <x v="0"/>
  </r>
  <r>
    <n v="87"/>
    <x v="1"/>
    <n v="77"/>
    <s v="B1"/>
    <x v="7"/>
  </r>
  <r>
    <n v="85"/>
    <x v="1"/>
    <n v="88"/>
    <s v="A2"/>
    <x v="8"/>
  </r>
  <r>
    <n v="72"/>
    <x v="0"/>
    <n v="77.598759048603924"/>
    <s v="B1"/>
    <x v="1"/>
  </r>
  <r>
    <n v="78"/>
    <x v="0"/>
    <n v="77"/>
    <s v="B1"/>
    <x v="1"/>
  </r>
  <r>
    <n v="72"/>
    <x v="0"/>
    <n v="77"/>
    <s v="B1"/>
    <x v="8"/>
  </r>
  <r>
    <n v="87"/>
    <x v="1"/>
    <n v="88"/>
    <s v="A2"/>
    <x v="5"/>
  </r>
  <r>
    <n v="68"/>
    <x v="2"/>
    <n v="85"/>
    <s v="A2"/>
    <x v="8"/>
  </r>
  <r>
    <n v="87"/>
    <x v="1"/>
    <n v="65"/>
    <s v="B2"/>
    <x v="2"/>
  </r>
  <r>
    <n v="92"/>
    <x v="3"/>
    <n v="86"/>
    <s v="A2"/>
    <x v="0"/>
  </r>
  <r>
    <n v="80.030208333333334"/>
    <x v="1"/>
    <n v="65"/>
    <s v="B2"/>
    <x v="4"/>
  </r>
  <r>
    <n v="68"/>
    <x v="2"/>
    <n v="65"/>
    <s v="B2"/>
    <x v="2"/>
  </r>
  <r>
    <n v="87"/>
    <x v="1"/>
    <n v="65"/>
    <s v="B2"/>
    <x v="8"/>
  </r>
  <r>
    <n v="85"/>
    <x v="1"/>
    <n v="90"/>
    <s v="A2"/>
    <x v="0"/>
  </r>
  <r>
    <n v="85"/>
    <x v="1"/>
    <n v="77"/>
    <s v="B1"/>
    <x v="8"/>
  </r>
  <r>
    <n v="72"/>
    <x v="0"/>
    <n v="86"/>
    <s v="A2"/>
    <x v="7"/>
  </r>
  <r>
    <n v="80.030208333333334"/>
    <x v="1"/>
    <n v="65"/>
    <s v="B2"/>
    <x v="3"/>
  </r>
  <r>
    <n v="80.030208333333334"/>
    <x v="1"/>
    <n v="82"/>
    <s v="A2"/>
    <x v="3"/>
  </r>
  <r>
    <n v="87"/>
    <x v="1"/>
    <n v="77"/>
    <s v="B1"/>
    <x v="2"/>
  </r>
  <r>
    <n v="92"/>
    <x v="3"/>
    <n v="90"/>
    <s v="A2"/>
    <x v="3"/>
  </r>
  <r>
    <n v="80"/>
    <x v="0"/>
    <n v="77"/>
    <s v="B1"/>
    <x v="3"/>
  </r>
  <r>
    <n v="92"/>
    <x v="3"/>
    <n v="65"/>
    <s v="B2"/>
    <x v="6"/>
  </r>
  <r>
    <n v="87"/>
    <x v="1"/>
    <n v="78"/>
    <s v="B1"/>
    <x v="0"/>
  </r>
  <r>
    <n v="88"/>
    <x v="1"/>
    <n v="86"/>
    <s v="A2"/>
    <x v="3"/>
  </r>
  <r>
    <n v="80.030208333333334"/>
    <x v="1"/>
    <n v="90"/>
    <s v="A2"/>
    <x v="7"/>
  </r>
  <r>
    <n v="68"/>
    <x v="2"/>
    <n v="86"/>
    <s v="A2"/>
    <x v="5"/>
  </r>
  <r>
    <n v="62"/>
    <x v="2"/>
    <n v="78"/>
    <s v="B1"/>
    <x v="0"/>
  </r>
  <r>
    <n v="62"/>
    <x v="2"/>
    <n v="70"/>
    <s v="B2"/>
    <x v="3"/>
  </r>
  <r>
    <n v="78"/>
    <x v="0"/>
    <n v="77.598759048603924"/>
    <s v="B1"/>
    <x v="1"/>
  </r>
  <r>
    <n v="78"/>
    <x v="0"/>
    <n v="65"/>
    <s v="B2"/>
    <x v="2"/>
  </r>
  <r>
    <n v="88"/>
    <x v="1"/>
    <n v="82"/>
    <s v="A2"/>
    <x v="7"/>
  </r>
  <r>
    <n v="62"/>
    <x v="2"/>
    <n v="88"/>
    <s v="A2"/>
    <x v="0"/>
  </r>
  <r>
    <n v="92"/>
    <x v="3"/>
    <n v="85"/>
    <s v="A2"/>
    <x v="2"/>
  </r>
  <r>
    <n v="90"/>
    <x v="1"/>
    <n v="90"/>
    <s v="A2"/>
    <x v="0"/>
  </r>
  <r>
    <n v="72"/>
    <x v="0"/>
    <n v="88"/>
    <s v="A2"/>
    <x v="1"/>
  </r>
  <r>
    <n v="78"/>
    <x v="0"/>
    <n v="88"/>
    <s v="A2"/>
    <x v="0"/>
  </r>
  <r>
    <n v="68"/>
    <x v="2"/>
    <n v="82"/>
    <s v="A2"/>
    <x v="1"/>
  </r>
  <r>
    <n v="78"/>
    <x v="0"/>
    <n v="77"/>
    <s v="B1"/>
    <x v="7"/>
  </r>
  <r>
    <n v="88"/>
    <x v="1"/>
    <n v="70"/>
    <s v="B2"/>
    <x v="0"/>
  </r>
  <r>
    <n v="68"/>
    <x v="2"/>
    <n v="77.598759048603924"/>
    <s v="B1"/>
    <x v="0"/>
  </r>
  <r>
    <n v="68"/>
    <x v="2"/>
    <n v="88"/>
    <s v="A2"/>
    <x v="0"/>
  </r>
  <r>
    <n v="90"/>
    <x v="1"/>
    <n v="90"/>
    <s v="A2"/>
    <x v="2"/>
  </r>
  <r>
    <n v="68"/>
    <x v="2"/>
    <n v="77.598759048603924"/>
    <s v="B1"/>
    <x v="3"/>
  </r>
  <r>
    <n v="78"/>
    <x v="0"/>
    <n v="60"/>
    <s v="C1"/>
    <x v="1"/>
  </r>
  <r>
    <n v="68"/>
    <x v="2"/>
    <n v="82"/>
    <s v="A2"/>
    <x v="9"/>
  </r>
  <r>
    <n v="85"/>
    <x v="1"/>
    <n v="77.598759048603924"/>
    <s v="B1"/>
    <x v="0"/>
  </r>
  <r>
    <n v="92"/>
    <x v="3"/>
    <n v="78"/>
    <s v="B1"/>
    <x v="1"/>
  </r>
  <r>
    <n v="62"/>
    <x v="2"/>
    <n v="77"/>
    <s v="B1"/>
    <x v="1"/>
  </r>
  <r>
    <n v="80"/>
    <x v="0"/>
    <n v="88"/>
    <s v="A2"/>
    <x v="2"/>
  </r>
  <r>
    <n v="68"/>
    <x v="2"/>
    <n v="60"/>
    <s v="C1"/>
    <x v="3"/>
  </r>
  <r>
    <n v="90"/>
    <x v="1"/>
    <n v="82"/>
    <s v="A2"/>
    <x v="2"/>
  </r>
  <r>
    <n v="78"/>
    <x v="0"/>
    <n v="60"/>
    <s v="C1"/>
    <x v="6"/>
  </r>
  <r>
    <n v="85"/>
    <x v="1"/>
    <n v="70"/>
    <s v="B2"/>
    <x v="6"/>
  </r>
  <r>
    <n v="78"/>
    <x v="0"/>
    <n v="65"/>
    <s v="B2"/>
    <x v="0"/>
  </r>
  <r>
    <n v="78"/>
    <x v="0"/>
    <n v="78"/>
    <s v="B1"/>
    <x v="0"/>
  </r>
  <r>
    <n v="88"/>
    <x v="1"/>
    <n v="85"/>
    <s v="A2"/>
    <x v="9"/>
  </r>
  <r>
    <n v="80"/>
    <x v="0"/>
    <n v="65"/>
    <s v="B2"/>
    <x v="5"/>
  </r>
  <r>
    <n v="68"/>
    <x v="2"/>
    <n v="85"/>
    <s v="A2"/>
    <x v="9"/>
  </r>
  <r>
    <n v="72"/>
    <x v="0"/>
    <n v="82"/>
    <s v="A2"/>
    <x v="5"/>
  </r>
  <r>
    <n v="87"/>
    <x v="1"/>
    <n v="60"/>
    <s v="C1"/>
    <x v="5"/>
  </r>
  <r>
    <n v="80"/>
    <x v="0"/>
    <n v="85"/>
    <s v="A2"/>
    <x v="6"/>
  </r>
  <r>
    <n v="85"/>
    <x v="1"/>
    <n v="88"/>
    <s v="A2"/>
    <x v="8"/>
  </r>
  <r>
    <n v="87"/>
    <x v="1"/>
    <n v="65"/>
    <s v="B2"/>
    <x v="3"/>
  </r>
  <r>
    <n v="80"/>
    <x v="0"/>
    <n v="78"/>
    <s v="B1"/>
    <x v="0"/>
  </r>
  <r>
    <n v="80"/>
    <x v="0"/>
    <n v="77.598759048603924"/>
    <s v="B1"/>
    <x v="9"/>
  </r>
  <r>
    <n v="85"/>
    <x v="1"/>
    <n v="78"/>
    <s v="B1"/>
    <x v="2"/>
  </r>
  <r>
    <n v="80"/>
    <x v="0"/>
    <n v="85"/>
    <s v="A2"/>
    <x v="7"/>
  </r>
  <r>
    <n v="78"/>
    <x v="0"/>
    <n v="85"/>
    <s v="A2"/>
    <x v="7"/>
  </r>
  <r>
    <n v="72"/>
    <x v="0"/>
    <n v="60"/>
    <s v="C1"/>
    <x v="2"/>
  </r>
  <r>
    <n v="85"/>
    <x v="1"/>
    <n v="65"/>
    <s v="B2"/>
    <x v="1"/>
  </r>
  <r>
    <n v="85"/>
    <x v="1"/>
    <n v="82"/>
    <s v="A2"/>
    <x v="4"/>
  </r>
  <r>
    <n v="90"/>
    <x v="1"/>
    <n v="85"/>
    <s v="A2"/>
    <x v="6"/>
  </r>
  <r>
    <n v="62"/>
    <x v="2"/>
    <n v="85"/>
    <s v="A2"/>
    <x v="0"/>
  </r>
  <r>
    <n v="62"/>
    <x v="2"/>
    <n v="88"/>
    <s v="A2"/>
    <x v="5"/>
  </r>
  <r>
    <n v="78"/>
    <x v="0"/>
    <n v="77"/>
    <s v="B1"/>
    <x v="6"/>
  </r>
  <r>
    <n v="68"/>
    <x v="2"/>
    <n v="77"/>
    <s v="B1"/>
    <x v="9"/>
  </r>
  <r>
    <n v="90"/>
    <x v="1"/>
    <n v="60"/>
    <s v="C1"/>
    <x v="0"/>
  </r>
  <r>
    <n v="72"/>
    <x v="0"/>
    <n v="82"/>
    <s v="A2"/>
    <x v="0"/>
  </r>
  <r>
    <n v="78"/>
    <x v="0"/>
    <n v="77"/>
    <s v="B1"/>
    <x v="1"/>
  </r>
  <r>
    <n v="62"/>
    <x v="2"/>
    <n v="65"/>
    <s v="B2"/>
    <x v="0"/>
  </r>
  <r>
    <n v="62"/>
    <x v="2"/>
    <n v="65"/>
    <s v="B2"/>
    <x v="0"/>
  </r>
  <r>
    <n v="68"/>
    <x v="2"/>
    <n v="78"/>
    <s v="B1"/>
    <x v="5"/>
  </r>
  <r>
    <n v="90"/>
    <x v="1"/>
    <n v="88"/>
    <s v="A2"/>
    <x v="1"/>
  </r>
  <r>
    <n v="90"/>
    <x v="1"/>
    <n v="85"/>
    <s v="A2"/>
    <x v="8"/>
  </r>
  <r>
    <n v="80"/>
    <x v="0"/>
    <n v="70"/>
    <s v="B2"/>
    <x v="6"/>
  </r>
  <r>
    <n v="78"/>
    <x v="0"/>
    <n v="88"/>
    <s v="A2"/>
    <x v="4"/>
  </r>
  <r>
    <n v="90"/>
    <x v="1"/>
    <n v="65"/>
    <s v="B2"/>
    <x v="7"/>
  </r>
  <r>
    <n v="62"/>
    <x v="2"/>
    <n v="78"/>
    <s v="B1"/>
    <x v="9"/>
  </r>
  <r>
    <n v="62"/>
    <x v="2"/>
    <n v="86"/>
    <s v="A2"/>
    <x v="9"/>
  </r>
  <r>
    <n v="62"/>
    <x v="2"/>
    <n v="88"/>
    <s v="A2"/>
    <x v="6"/>
  </r>
  <r>
    <n v="92"/>
    <x v="3"/>
    <n v="65"/>
    <s v="B2"/>
    <x v="0"/>
  </r>
  <r>
    <n v="78"/>
    <x v="0"/>
    <n v="70"/>
    <s v="B2"/>
    <x v="8"/>
  </r>
  <r>
    <n v="85"/>
    <x v="1"/>
    <n v="90"/>
    <s v="A2"/>
    <x v="5"/>
  </r>
  <r>
    <n v="85"/>
    <x v="1"/>
    <n v="90"/>
    <s v="A2"/>
    <x v="1"/>
  </r>
  <r>
    <n v="85"/>
    <x v="1"/>
    <n v="82"/>
    <s v="A2"/>
    <x v="3"/>
  </r>
  <r>
    <n v="85"/>
    <x v="1"/>
    <n v="85"/>
    <s v="A2"/>
    <x v="0"/>
  </r>
  <r>
    <n v="72"/>
    <x v="0"/>
    <n v="85"/>
    <s v="A2"/>
    <x v="2"/>
  </r>
  <r>
    <n v="88"/>
    <x v="1"/>
    <n v="85"/>
    <s v="A2"/>
    <x v="3"/>
  </r>
  <r>
    <n v="78"/>
    <x v="0"/>
    <n v="65"/>
    <s v="B2"/>
    <x v="2"/>
  </r>
  <r>
    <n v="92"/>
    <x v="3"/>
    <n v="70"/>
    <s v="B2"/>
    <x v="1"/>
  </r>
  <r>
    <n v="80"/>
    <x v="0"/>
    <n v="78"/>
    <s v="B1"/>
    <x v="5"/>
  </r>
  <r>
    <n v="78"/>
    <x v="0"/>
    <n v="85"/>
    <s v="A2"/>
    <x v="9"/>
  </r>
  <r>
    <n v="90"/>
    <x v="1"/>
    <n v="90"/>
    <s v="A2"/>
    <x v="3"/>
  </r>
  <r>
    <n v="62"/>
    <x v="2"/>
    <n v="77"/>
    <s v="B1"/>
    <x v="1"/>
  </r>
  <r>
    <n v="80.030208333333334"/>
    <x v="1"/>
    <n v="86"/>
    <s v="A2"/>
    <x v="5"/>
  </r>
  <r>
    <n v="85"/>
    <x v="1"/>
    <n v="60"/>
    <s v="C1"/>
    <x v="2"/>
  </r>
  <r>
    <n v="78"/>
    <x v="0"/>
    <n v="86"/>
    <s v="A2"/>
    <x v="7"/>
  </r>
  <r>
    <n v="62"/>
    <x v="2"/>
    <n v="82"/>
    <s v="A2"/>
    <x v="8"/>
  </r>
  <r>
    <n v="78"/>
    <x v="0"/>
    <n v="86"/>
    <s v="A2"/>
    <x v="0"/>
  </r>
  <r>
    <n v="87"/>
    <x v="1"/>
    <n v="86"/>
    <s v="A2"/>
    <x v="8"/>
  </r>
  <r>
    <n v="92"/>
    <x v="3"/>
    <n v="85"/>
    <s v="A2"/>
    <x v="0"/>
  </r>
  <r>
    <n v="92"/>
    <x v="3"/>
    <n v="60"/>
    <s v="C1"/>
    <x v="6"/>
  </r>
  <r>
    <n v="92"/>
    <x v="3"/>
    <n v="78"/>
    <s v="B1"/>
    <x v="6"/>
  </r>
  <r>
    <n v="62"/>
    <x v="2"/>
    <n v="65"/>
    <s v="B2"/>
    <x v="0"/>
  </r>
  <r>
    <n v="90"/>
    <x v="1"/>
    <n v="70"/>
    <s v="B2"/>
    <x v="1"/>
  </r>
  <r>
    <n v="62"/>
    <x v="2"/>
    <n v="86"/>
    <s v="A2"/>
    <x v="9"/>
  </r>
  <r>
    <n v="68"/>
    <x v="2"/>
    <n v="77"/>
    <s v="B1"/>
    <x v="4"/>
  </r>
  <r>
    <n v="85"/>
    <x v="1"/>
    <n v="78"/>
    <s v="B1"/>
    <x v="1"/>
  </r>
  <r>
    <n v="78"/>
    <x v="0"/>
    <n v="60"/>
    <s v="C1"/>
    <x v="7"/>
  </r>
  <r>
    <n v="78"/>
    <x v="0"/>
    <n v="90"/>
    <s v="A2"/>
    <x v="2"/>
  </r>
  <r>
    <n v="72"/>
    <x v="0"/>
    <n v="77.598759048603924"/>
    <s v="B1"/>
    <x v="0"/>
  </r>
  <r>
    <n v="68"/>
    <x v="2"/>
    <n v="90"/>
    <s v="A2"/>
    <x v="5"/>
  </r>
  <r>
    <n v="87"/>
    <x v="1"/>
    <n v="90"/>
    <s v="A2"/>
    <x v="6"/>
  </r>
  <r>
    <n v="80"/>
    <x v="0"/>
    <n v="85"/>
    <s v="A2"/>
    <x v="5"/>
  </r>
  <r>
    <n v="88"/>
    <x v="1"/>
    <n v="88"/>
    <s v="A2"/>
    <x v="8"/>
  </r>
  <r>
    <n v="88"/>
    <x v="1"/>
    <n v="78"/>
    <s v="B1"/>
    <x v="9"/>
  </r>
  <r>
    <n v="62"/>
    <x v="2"/>
    <n v="78"/>
    <s v="B1"/>
    <x v="6"/>
  </r>
  <r>
    <n v="90"/>
    <x v="1"/>
    <n v="82"/>
    <s v="A2"/>
    <x v="0"/>
  </r>
  <r>
    <n v="62"/>
    <x v="2"/>
    <n v="82"/>
    <s v="A2"/>
    <x v="6"/>
  </r>
  <r>
    <n v="78"/>
    <x v="0"/>
    <n v="78"/>
    <s v="B1"/>
    <x v="6"/>
  </r>
  <r>
    <n v="85"/>
    <x v="1"/>
    <n v="60"/>
    <s v="C1"/>
    <x v="9"/>
  </r>
  <r>
    <n v="80"/>
    <x v="0"/>
    <n v="78"/>
    <s v="B1"/>
    <x v="9"/>
  </r>
  <r>
    <n v="88"/>
    <x v="1"/>
    <n v="82"/>
    <s v="A2"/>
    <x v="0"/>
  </r>
  <r>
    <n v="62"/>
    <x v="2"/>
    <n v="60"/>
    <s v="C1"/>
    <x v="2"/>
  </r>
  <r>
    <n v="68"/>
    <x v="2"/>
    <n v="88"/>
    <s v="A2"/>
    <x v="8"/>
  </r>
  <r>
    <n v="80"/>
    <x v="0"/>
    <n v="78"/>
    <s v="B1"/>
    <x v="7"/>
  </r>
  <r>
    <n v="62"/>
    <x v="2"/>
    <n v="86"/>
    <s v="A2"/>
    <x v="9"/>
  </r>
  <r>
    <n v="92"/>
    <x v="3"/>
    <n v="78"/>
    <s v="B1"/>
    <x v="3"/>
  </r>
  <r>
    <n v="62"/>
    <x v="2"/>
    <n v="77"/>
    <s v="B1"/>
    <x v="1"/>
  </r>
  <r>
    <n v="92"/>
    <x v="3"/>
    <n v="77"/>
    <s v="B1"/>
    <x v="0"/>
  </r>
  <r>
    <n v="88"/>
    <x v="1"/>
    <n v="60"/>
    <s v="C1"/>
    <x v="1"/>
  </r>
  <r>
    <n v="80.030208333333334"/>
    <x v="1"/>
    <n v="70"/>
    <s v="B2"/>
    <x v="6"/>
  </r>
  <r>
    <n v="85"/>
    <x v="1"/>
    <n v="88"/>
    <s v="A2"/>
    <x v="6"/>
  </r>
  <r>
    <n v="68"/>
    <x v="2"/>
    <n v="77"/>
    <s v="B1"/>
    <x v="8"/>
  </r>
  <r>
    <n v="90"/>
    <x v="1"/>
    <n v="90"/>
    <s v="A2"/>
    <x v="3"/>
  </r>
  <r>
    <n v="88"/>
    <x v="1"/>
    <n v="88"/>
    <s v="A2"/>
    <x v="6"/>
  </r>
  <r>
    <n v="87"/>
    <x v="1"/>
    <n v="65"/>
    <s v="B2"/>
    <x v="2"/>
  </r>
  <r>
    <n v="90"/>
    <x v="1"/>
    <n v="77.598759048603924"/>
    <s v="B1"/>
    <x v="7"/>
  </r>
  <r>
    <n v="72"/>
    <x v="0"/>
    <n v="86"/>
    <s v="A2"/>
    <x v="6"/>
  </r>
  <r>
    <n v="87"/>
    <x v="1"/>
    <n v="65"/>
    <s v="B2"/>
    <x v="7"/>
  </r>
  <r>
    <n v="72"/>
    <x v="0"/>
    <n v="85"/>
    <s v="A2"/>
    <x v="8"/>
  </r>
  <r>
    <n v="87"/>
    <x v="1"/>
    <n v="77"/>
    <s v="B1"/>
    <x v="2"/>
  </r>
  <r>
    <n v="78"/>
    <x v="0"/>
    <n v="60"/>
    <s v="C1"/>
    <x v="3"/>
  </r>
  <r>
    <n v="72"/>
    <x v="0"/>
    <n v="88"/>
    <s v="A2"/>
    <x v="5"/>
  </r>
  <r>
    <n v="78"/>
    <x v="0"/>
    <n v="70"/>
    <s v="B2"/>
    <x v="4"/>
  </r>
  <r>
    <n v="80.030208333333334"/>
    <x v="1"/>
    <n v="65"/>
    <s v="B2"/>
    <x v="4"/>
  </r>
  <r>
    <n v="90"/>
    <x v="1"/>
    <n v="77.598759048603924"/>
    <s v="B1"/>
    <x v="6"/>
  </r>
  <r>
    <n v="88"/>
    <x v="1"/>
    <n v="90"/>
    <s v="A2"/>
    <x v="6"/>
  </r>
  <r>
    <n v="62"/>
    <x v="2"/>
    <n v="78"/>
    <s v="B1"/>
    <x v="9"/>
  </r>
  <r>
    <n v="72"/>
    <x v="0"/>
    <n v="70"/>
    <s v="B2"/>
    <x v="3"/>
  </r>
  <r>
    <n v="62"/>
    <x v="2"/>
    <n v="82"/>
    <s v="A2"/>
    <x v="7"/>
  </r>
  <r>
    <n v="87"/>
    <x v="1"/>
    <n v="85"/>
    <s v="A2"/>
    <x v="7"/>
  </r>
  <r>
    <n v="92"/>
    <x v="3"/>
    <n v="86"/>
    <s v="A2"/>
    <x v="3"/>
  </r>
  <r>
    <n v="90"/>
    <x v="1"/>
    <n v="70"/>
    <s v="B2"/>
    <x v="1"/>
  </r>
  <r>
    <n v="92"/>
    <x v="3"/>
    <n v="60"/>
    <s v="C1"/>
    <x v="1"/>
  </r>
  <r>
    <n v="78"/>
    <x v="0"/>
    <n v="77"/>
    <s v="B1"/>
    <x v="9"/>
  </r>
  <r>
    <n v="87"/>
    <x v="1"/>
    <n v="65"/>
    <s v="B2"/>
    <x v="0"/>
  </r>
  <r>
    <n v="87"/>
    <x v="1"/>
    <n v="85"/>
    <s v="A2"/>
    <x v="7"/>
  </r>
  <r>
    <n v="85"/>
    <x v="1"/>
    <n v="82"/>
    <s v="A2"/>
    <x v="1"/>
  </r>
  <r>
    <n v="78"/>
    <x v="0"/>
    <n v="82"/>
    <s v="A2"/>
    <x v="0"/>
  </r>
  <r>
    <n v="78"/>
    <x v="0"/>
    <n v="86"/>
    <s v="A2"/>
    <x v="6"/>
  </r>
  <r>
    <n v="78"/>
    <x v="0"/>
    <n v="77"/>
    <s v="B1"/>
    <x v="2"/>
  </r>
  <r>
    <n v="80"/>
    <x v="0"/>
    <n v="60"/>
    <s v="C1"/>
    <x v="6"/>
  </r>
  <r>
    <n v="87"/>
    <x v="1"/>
    <n v="82"/>
    <s v="A2"/>
    <x v="0"/>
  </r>
  <r>
    <n v="80"/>
    <x v="0"/>
    <n v="90"/>
    <s v="A2"/>
    <x v="8"/>
  </r>
  <r>
    <n v="80.030208333333334"/>
    <x v="1"/>
    <n v="86"/>
    <s v="A2"/>
    <x v="3"/>
  </r>
  <r>
    <n v="72"/>
    <x v="0"/>
    <n v="65"/>
    <s v="B2"/>
    <x v="5"/>
  </r>
  <r>
    <n v="85"/>
    <x v="1"/>
    <n v="82"/>
    <s v="A2"/>
    <x v="7"/>
  </r>
  <r>
    <n v="80"/>
    <x v="0"/>
    <n v="88"/>
    <s v="A2"/>
    <x v="0"/>
  </r>
  <r>
    <n v="92"/>
    <x v="3"/>
    <n v="60"/>
    <s v="C1"/>
    <x v="5"/>
  </r>
  <r>
    <n v="72"/>
    <x v="0"/>
    <n v="78"/>
    <s v="B1"/>
    <x v="1"/>
  </r>
  <r>
    <n v="87"/>
    <x v="1"/>
    <n v="70"/>
    <s v="B2"/>
    <x v="0"/>
  </r>
  <r>
    <n v="90"/>
    <x v="1"/>
    <n v="70"/>
    <s v="B2"/>
    <x v="0"/>
  </r>
  <r>
    <n v="88"/>
    <x v="1"/>
    <n v="78"/>
    <s v="B1"/>
    <x v="7"/>
  </r>
  <r>
    <n v="92"/>
    <x v="3"/>
    <n v="77.598759048603924"/>
    <s v="B1"/>
    <x v="9"/>
  </r>
  <r>
    <n v="62"/>
    <x v="2"/>
    <n v="85"/>
    <s v="A2"/>
    <x v="7"/>
  </r>
  <r>
    <n v="85"/>
    <x v="1"/>
    <n v="88"/>
    <s v="A2"/>
    <x v="8"/>
  </r>
  <r>
    <n v="90"/>
    <x v="1"/>
    <n v="90"/>
    <s v="A2"/>
    <x v="5"/>
  </r>
  <r>
    <n v="78"/>
    <x v="0"/>
    <n v="65"/>
    <s v="B2"/>
    <x v="0"/>
  </r>
  <r>
    <n v="90"/>
    <x v="1"/>
    <n v="88"/>
    <s v="A2"/>
    <x v="0"/>
  </r>
  <r>
    <n v="80"/>
    <x v="0"/>
    <n v="77"/>
    <s v="B1"/>
    <x v="5"/>
  </r>
  <r>
    <n v="90"/>
    <x v="1"/>
    <n v="90"/>
    <s v="A2"/>
    <x v="8"/>
  </r>
  <r>
    <n v="78"/>
    <x v="0"/>
    <n v="77.598759048603924"/>
    <s v="B1"/>
    <x v="6"/>
  </r>
  <r>
    <n v="72"/>
    <x v="0"/>
    <n v="82"/>
    <s v="A2"/>
    <x v="1"/>
  </r>
  <r>
    <n v="80"/>
    <x v="0"/>
    <n v="78"/>
    <s v="B1"/>
    <x v="7"/>
  </r>
  <r>
    <n v="72"/>
    <x v="0"/>
    <n v="77"/>
    <s v="B1"/>
    <x v="1"/>
  </r>
  <r>
    <n v="62"/>
    <x v="2"/>
    <n v="77"/>
    <s v="B1"/>
    <x v="4"/>
  </r>
  <r>
    <n v="85"/>
    <x v="1"/>
    <n v="90"/>
    <s v="A2"/>
    <x v="1"/>
  </r>
  <r>
    <n v="92"/>
    <x v="3"/>
    <n v="86"/>
    <s v="A2"/>
    <x v="6"/>
  </r>
  <r>
    <n v="78"/>
    <x v="0"/>
    <n v="85"/>
    <s v="A2"/>
    <x v="4"/>
  </r>
  <r>
    <n v="87"/>
    <x v="1"/>
    <n v="60"/>
    <s v="C1"/>
    <x v="0"/>
  </r>
  <r>
    <n v="80"/>
    <x v="0"/>
    <n v="85"/>
    <s v="A2"/>
    <x v="8"/>
  </r>
  <r>
    <n v="88"/>
    <x v="1"/>
    <n v="90"/>
    <s v="A2"/>
    <x v="8"/>
  </r>
  <r>
    <n v="88"/>
    <x v="1"/>
    <n v="77"/>
    <s v="B1"/>
    <x v="5"/>
  </r>
  <r>
    <n v="62"/>
    <x v="2"/>
    <n v="70"/>
    <s v="B2"/>
    <x v="8"/>
  </r>
  <r>
    <n v="88"/>
    <x v="1"/>
    <n v="78"/>
    <s v="B1"/>
    <x v="4"/>
  </r>
  <r>
    <n v="85"/>
    <x v="1"/>
    <n v="82"/>
    <s v="A2"/>
    <x v="2"/>
  </r>
  <r>
    <n v="92"/>
    <x v="3"/>
    <n v="78"/>
    <s v="B1"/>
    <x v="7"/>
  </r>
  <r>
    <n v="90"/>
    <x v="1"/>
    <n v="77"/>
    <s v="B1"/>
    <x v="3"/>
  </r>
  <r>
    <n v="78"/>
    <x v="0"/>
    <n v="85"/>
    <s v="A2"/>
    <x v="5"/>
  </r>
  <r>
    <n v="90"/>
    <x v="1"/>
    <n v="90"/>
    <s v="A2"/>
    <x v="4"/>
  </r>
  <r>
    <n v="80"/>
    <x v="0"/>
    <n v="78"/>
    <s v="B1"/>
    <x v="0"/>
  </r>
  <r>
    <n v="92"/>
    <x v="3"/>
    <n v="78"/>
    <s v="B1"/>
    <x v="8"/>
  </r>
  <r>
    <n v="68"/>
    <x v="2"/>
    <n v="65"/>
    <s v="B2"/>
    <x v="7"/>
  </r>
  <r>
    <n v="92"/>
    <x v="3"/>
    <n v="90"/>
    <s v="A2"/>
    <x v="1"/>
  </r>
  <r>
    <n v="92"/>
    <x v="3"/>
    <n v="65"/>
    <s v="B2"/>
    <x v="1"/>
  </r>
  <r>
    <n v="72"/>
    <x v="0"/>
    <n v="86"/>
    <s v="A2"/>
    <x v="3"/>
  </r>
  <r>
    <n v="92"/>
    <x v="3"/>
    <n v="70"/>
    <s v="B2"/>
    <x v="9"/>
  </r>
  <r>
    <n v="72"/>
    <x v="0"/>
    <n v="70"/>
    <s v="B2"/>
    <x v="7"/>
  </r>
  <r>
    <n v="88"/>
    <x v="1"/>
    <n v="82"/>
    <s v="A2"/>
    <x v="0"/>
  </r>
  <r>
    <n v="62"/>
    <x v="2"/>
    <n v="90"/>
    <s v="A2"/>
    <x v="3"/>
  </r>
  <r>
    <n v="92"/>
    <x v="3"/>
    <n v="77"/>
    <s v="B1"/>
    <x v="1"/>
  </r>
  <r>
    <n v="90"/>
    <x v="1"/>
    <n v="60"/>
    <s v="C1"/>
    <x v="0"/>
  </r>
  <r>
    <n v="72"/>
    <x v="0"/>
    <n v="88"/>
    <s v="A2"/>
    <x v="9"/>
  </r>
  <r>
    <n v="72"/>
    <x v="0"/>
    <n v="85"/>
    <s v="A2"/>
    <x v="1"/>
  </r>
  <r>
    <n v="72"/>
    <x v="0"/>
    <n v="86"/>
    <s v="A2"/>
    <x v="9"/>
  </r>
  <r>
    <n v="72"/>
    <x v="0"/>
    <n v="86"/>
    <s v="A2"/>
    <x v="6"/>
  </r>
  <r>
    <n v="72"/>
    <x v="0"/>
    <n v="90"/>
    <s v="A2"/>
    <x v="3"/>
  </r>
  <r>
    <n v="78"/>
    <x v="0"/>
    <n v="60"/>
    <s v="C1"/>
    <x v="5"/>
  </r>
  <r>
    <n v="90"/>
    <x v="1"/>
    <n v="82"/>
    <s v="A2"/>
    <x v="8"/>
  </r>
  <r>
    <n v="68"/>
    <x v="2"/>
    <n v="78"/>
    <s v="B1"/>
    <x v="5"/>
  </r>
  <r>
    <n v="78"/>
    <x v="0"/>
    <n v="70"/>
    <s v="B2"/>
    <x v="6"/>
  </r>
  <r>
    <n v="88"/>
    <x v="1"/>
    <n v="70"/>
    <s v="B2"/>
    <x v="4"/>
  </r>
  <r>
    <n v="72"/>
    <x v="0"/>
    <n v="90"/>
    <s v="A2"/>
    <x v="9"/>
  </r>
  <r>
    <n v="87"/>
    <x v="1"/>
    <n v="60"/>
    <s v="C1"/>
    <x v="2"/>
  </r>
  <r>
    <n v="78"/>
    <x v="0"/>
    <n v="90"/>
    <s v="A2"/>
    <x v="4"/>
  </r>
  <r>
    <n v="87"/>
    <x v="1"/>
    <n v="78"/>
    <s v="B1"/>
    <x v="9"/>
  </r>
  <r>
    <n v="80"/>
    <x v="0"/>
    <n v="77"/>
    <s v="B1"/>
    <x v="8"/>
  </r>
  <r>
    <n v="68"/>
    <x v="2"/>
    <n v="65"/>
    <s v="B2"/>
    <x v="6"/>
  </r>
  <r>
    <n v="80"/>
    <x v="0"/>
    <n v="85"/>
    <s v="A2"/>
    <x v="2"/>
  </r>
  <r>
    <n v="87"/>
    <x v="1"/>
    <n v="77"/>
    <s v="B1"/>
    <x v="1"/>
  </r>
  <r>
    <n v="72"/>
    <x v="0"/>
    <n v="65"/>
    <s v="B2"/>
    <x v="6"/>
  </r>
  <r>
    <n v="80"/>
    <x v="0"/>
    <n v="90"/>
    <s v="A2"/>
    <x v="5"/>
  </r>
  <r>
    <n v="92"/>
    <x v="3"/>
    <n v="85"/>
    <s v="A2"/>
    <x v="0"/>
  </r>
  <r>
    <n v="68"/>
    <x v="2"/>
    <n v="78"/>
    <s v="B1"/>
    <x v="2"/>
  </r>
  <r>
    <n v="68"/>
    <x v="2"/>
    <n v="65"/>
    <s v="B2"/>
    <x v="0"/>
  </r>
  <r>
    <n v="80"/>
    <x v="0"/>
    <n v="60"/>
    <s v="C1"/>
    <x v="7"/>
  </r>
  <r>
    <n v="62"/>
    <x v="2"/>
    <n v="90"/>
    <s v="A2"/>
    <x v="5"/>
  </r>
  <r>
    <n v="62"/>
    <x v="2"/>
    <n v="65"/>
    <s v="B2"/>
    <x v="3"/>
  </r>
  <r>
    <n v="92"/>
    <x v="3"/>
    <n v="60"/>
    <s v="C1"/>
    <x v="7"/>
  </r>
  <r>
    <n v="92"/>
    <x v="3"/>
    <n v="60"/>
    <s v="C1"/>
    <x v="5"/>
  </r>
  <r>
    <n v="87"/>
    <x v="1"/>
    <n v="82"/>
    <s v="A2"/>
    <x v="3"/>
  </r>
  <r>
    <n v="68"/>
    <x v="2"/>
    <n v="60"/>
    <s v="C1"/>
    <x v="8"/>
  </r>
  <r>
    <n v="62"/>
    <x v="2"/>
    <n v="86"/>
    <s v="A2"/>
    <x v="5"/>
  </r>
  <r>
    <n v="92"/>
    <x v="3"/>
    <n v="86"/>
    <s v="A2"/>
    <x v="4"/>
  </r>
  <r>
    <n v="68"/>
    <x v="2"/>
    <n v="77"/>
    <s v="B1"/>
    <x v="2"/>
  </r>
  <r>
    <n v="80"/>
    <x v="0"/>
    <n v="77.598759048603924"/>
    <s v="B1"/>
    <x v="4"/>
  </r>
  <r>
    <n v="80"/>
    <x v="0"/>
    <n v="90"/>
    <s v="A2"/>
    <x v="5"/>
  </r>
  <r>
    <n v="80"/>
    <x v="0"/>
    <n v="65"/>
    <s v="B2"/>
    <x v="7"/>
  </r>
  <r>
    <n v="88"/>
    <x v="1"/>
    <n v="65"/>
    <s v="B2"/>
    <x v="2"/>
  </r>
  <r>
    <n v="92"/>
    <x v="3"/>
    <n v="82"/>
    <s v="A2"/>
    <x v="6"/>
  </r>
  <r>
    <n v="87"/>
    <x v="1"/>
    <n v="90"/>
    <s v="A2"/>
    <x v="8"/>
  </r>
  <r>
    <n v="62"/>
    <x v="2"/>
    <n v="60"/>
    <s v="C1"/>
    <x v="0"/>
  </r>
  <r>
    <n v="68"/>
    <x v="2"/>
    <n v="82"/>
    <s v="A2"/>
    <x v="6"/>
  </r>
  <r>
    <n v="88"/>
    <x v="1"/>
    <n v="82"/>
    <s v="A2"/>
    <x v="9"/>
  </r>
  <r>
    <n v="90"/>
    <x v="1"/>
    <n v="78"/>
    <s v="B1"/>
    <x v="2"/>
  </r>
  <r>
    <n v="80"/>
    <x v="0"/>
    <n v="86"/>
    <s v="A2"/>
    <x v="0"/>
  </r>
  <r>
    <n v="78"/>
    <x v="0"/>
    <n v="88"/>
    <s v="A2"/>
    <x v="6"/>
  </r>
  <r>
    <n v="80"/>
    <x v="0"/>
    <n v="77"/>
    <s v="B1"/>
    <x v="3"/>
  </r>
  <r>
    <n v="68"/>
    <x v="2"/>
    <n v="90"/>
    <s v="A2"/>
    <x v="2"/>
  </r>
  <r>
    <n v="68"/>
    <x v="2"/>
    <n v="70"/>
    <s v="B2"/>
    <x v="8"/>
  </r>
  <r>
    <n v="80.030208333333334"/>
    <x v="1"/>
    <n v="60"/>
    <s v="C1"/>
    <x v="8"/>
  </r>
  <r>
    <n v="80"/>
    <x v="0"/>
    <n v="78"/>
    <s v="B1"/>
    <x v="6"/>
  </r>
  <r>
    <n v="68"/>
    <x v="2"/>
    <n v="65"/>
    <s v="B2"/>
    <x v="9"/>
  </r>
  <r>
    <n v="80"/>
    <x v="0"/>
    <n v="90"/>
    <s v="A2"/>
    <x v="0"/>
  </r>
  <r>
    <n v="85"/>
    <x v="1"/>
    <n v="85"/>
    <s v="A2"/>
    <x v="0"/>
  </r>
  <r>
    <n v="87"/>
    <x v="1"/>
    <n v="90"/>
    <s v="A2"/>
    <x v="0"/>
  </r>
  <r>
    <n v="72"/>
    <x v="0"/>
    <n v="78"/>
    <s v="B1"/>
    <x v="3"/>
  </r>
  <r>
    <n v="90"/>
    <x v="1"/>
    <n v="60"/>
    <s v="C1"/>
    <x v="5"/>
  </r>
  <r>
    <n v="80"/>
    <x v="0"/>
    <n v="88"/>
    <s v="A2"/>
    <x v="8"/>
  </r>
  <r>
    <n v="92"/>
    <x v="3"/>
    <n v="70"/>
    <s v="B2"/>
    <x v="8"/>
  </r>
  <r>
    <n v="90"/>
    <x v="1"/>
    <n v="88"/>
    <s v="A2"/>
    <x v="3"/>
  </r>
  <r>
    <n v="90"/>
    <x v="1"/>
    <n v="60"/>
    <s v="C1"/>
    <x v="8"/>
  </r>
  <r>
    <n v="80.030208333333334"/>
    <x v="1"/>
    <n v="65"/>
    <s v="B2"/>
    <x v="8"/>
  </r>
  <r>
    <n v="72"/>
    <x v="0"/>
    <n v="85"/>
    <s v="A2"/>
    <x v="2"/>
  </r>
  <r>
    <n v="85"/>
    <x v="1"/>
    <n v="65"/>
    <s v="B2"/>
    <x v="6"/>
  </r>
  <r>
    <n v="88"/>
    <x v="1"/>
    <n v="85"/>
    <s v="A2"/>
    <x v="7"/>
  </r>
  <r>
    <n v="85"/>
    <x v="1"/>
    <n v="60"/>
    <s v="C1"/>
    <x v="6"/>
  </r>
  <r>
    <n v="68"/>
    <x v="2"/>
    <n v="85"/>
    <s v="A2"/>
    <x v="8"/>
  </r>
  <r>
    <n v="90"/>
    <x v="1"/>
    <n v="90"/>
    <s v="A2"/>
    <x v="8"/>
  </r>
  <r>
    <n v="90"/>
    <x v="1"/>
    <n v="78"/>
    <s v="B1"/>
    <x v="1"/>
  </r>
  <r>
    <n v="80"/>
    <x v="0"/>
    <n v="82"/>
    <s v="A2"/>
    <x v="2"/>
  </r>
  <r>
    <n v="90"/>
    <x v="1"/>
    <n v="82"/>
    <s v="A2"/>
    <x v="3"/>
  </r>
  <r>
    <n v="68"/>
    <x v="2"/>
    <n v="60"/>
    <s v="C1"/>
    <x v="2"/>
  </r>
  <r>
    <n v="72"/>
    <x v="0"/>
    <n v="60"/>
    <s v="C1"/>
    <x v="0"/>
  </r>
  <r>
    <n v="85"/>
    <x v="1"/>
    <n v="88"/>
    <s v="A2"/>
    <x v="1"/>
  </r>
  <r>
    <n v="92"/>
    <x v="3"/>
    <n v="90"/>
    <s v="A2"/>
    <x v="4"/>
  </r>
  <r>
    <n v="90"/>
    <x v="1"/>
    <n v="65"/>
    <s v="B2"/>
    <x v="6"/>
  </r>
  <r>
    <n v="80"/>
    <x v="0"/>
    <n v="65"/>
    <s v="B2"/>
    <x v="8"/>
  </r>
  <r>
    <n v="78"/>
    <x v="0"/>
    <n v="77"/>
    <s v="B1"/>
    <x v="6"/>
  </r>
  <r>
    <n v="88"/>
    <x v="1"/>
    <n v="90"/>
    <s v="A2"/>
    <x v="0"/>
  </r>
  <r>
    <n v="68"/>
    <x v="2"/>
    <n v="60"/>
    <s v="C1"/>
    <x v="6"/>
  </r>
  <r>
    <n v="87"/>
    <x v="1"/>
    <n v="70"/>
    <s v="B2"/>
    <x v="6"/>
  </r>
  <r>
    <n v="78"/>
    <x v="0"/>
    <n v="65"/>
    <s v="B2"/>
    <x v="2"/>
  </r>
  <r>
    <n v="87"/>
    <x v="1"/>
    <n v="70"/>
    <s v="B2"/>
    <x v="2"/>
  </r>
  <r>
    <n v="72"/>
    <x v="0"/>
    <n v="90"/>
    <s v="A2"/>
    <x v="6"/>
  </r>
  <r>
    <n v="72"/>
    <x v="0"/>
    <n v="88"/>
    <s v="A2"/>
    <x v="5"/>
  </r>
  <r>
    <n v="88"/>
    <x v="1"/>
    <n v="82"/>
    <s v="A2"/>
    <x v="3"/>
  </r>
  <r>
    <n v="85"/>
    <x v="1"/>
    <n v="85"/>
    <s v="A2"/>
    <x v="8"/>
  </r>
  <r>
    <n v="87"/>
    <x v="1"/>
    <n v="65"/>
    <s v="B2"/>
    <x v="9"/>
  </r>
  <r>
    <n v="80"/>
    <x v="0"/>
    <n v="88"/>
    <s v="A2"/>
    <x v="6"/>
  </r>
  <r>
    <n v="90"/>
    <x v="1"/>
    <n v="70"/>
    <s v="B2"/>
    <x v="7"/>
  </r>
  <r>
    <n v="92"/>
    <x v="3"/>
    <n v="78"/>
    <s v="B1"/>
    <x v="3"/>
  </r>
  <r>
    <n v="88"/>
    <x v="1"/>
    <n v="85"/>
    <s v="A2"/>
    <x v="8"/>
  </r>
  <r>
    <n v="72"/>
    <x v="0"/>
    <n v="60"/>
    <s v="C1"/>
    <x v="2"/>
  </r>
  <r>
    <n v="62"/>
    <x v="2"/>
    <n v="77.598759048603924"/>
    <s v="B1"/>
    <x v="0"/>
  </r>
  <r>
    <n v="80.030208333333334"/>
    <x v="1"/>
    <n v="77"/>
    <s v="B1"/>
    <x v="8"/>
  </r>
  <r>
    <n v="62"/>
    <x v="2"/>
    <n v="82"/>
    <s v="A2"/>
    <x v="4"/>
  </r>
  <r>
    <n v="85"/>
    <x v="1"/>
    <n v="86"/>
    <s v="A2"/>
    <x v="1"/>
  </r>
  <r>
    <n v="87"/>
    <x v="1"/>
    <n v="70"/>
    <s v="B2"/>
    <x v="0"/>
  </r>
  <r>
    <n v="88"/>
    <x v="1"/>
    <n v="90"/>
    <s v="A2"/>
    <x v="4"/>
  </r>
  <r>
    <n v="90"/>
    <x v="1"/>
    <n v="88"/>
    <s v="A2"/>
    <x v="2"/>
  </r>
  <r>
    <n v="87"/>
    <x v="1"/>
    <n v="88"/>
    <s v="A2"/>
    <x v="5"/>
  </r>
  <r>
    <n v="72"/>
    <x v="0"/>
    <n v="60"/>
    <s v="C1"/>
    <x v="0"/>
  </r>
  <r>
    <n v="85"/>
    <x v="1"/>
    <n v="86"/>
    <s v="A2"/>
    <x v="5"/>
  </r>
  <r>
    <n v="92"/>
    <x v="3"/>
    <n v="85"/>
    <s v="A2"/>
    <x v="5"/>
  </r>
  <r>
    <n v="78"/>
    <x v="0"/>
    <n v="65"/>
    <s v="B2"/>
    <x v="4"/>
  </r>
  <r>
    <n v="78"/>
    <x v="0"/>
    <n v="85"/>
    <s v="A2"/>
    <x v="4"/>
  </r>
  <r>
    <n v="68"/>
    <x v="2"/>
    <n v="90"/>
    <s v="A2"/>
    <x v="3"/>
  </r>
  <r>
    <n v="78"/>
    <x v="0"/>
    <n v="82"/>
    <s v="A2"/>
    <x v="3"/>
  </r>
  <r>
    <n v="80"/>
    <x v="0"/>
    <n v="65"/>
    <s v="B2"/>
    <x v="7"/>
  </r>
  <r>
    <n v="78"/>
    <x v="0"/>
    <n v="86"/>
    <s v="A2"/>
    <x v="5"/>
  </r>
  <r>
    <n v="85"/>
    <x v="1"/>
    <n v="70"/>
    <s v="B2"/>
    <x v="8"/>
  </r>
  <r>
    <n v="92"/>
    <x v="3"/>
    <n v="70"/>
    <s v="B2"/>
    <x v="0"/>
  </r>
  <r>
    <n v="68"/>
    <x v="2"/>
    <n v="78"/>
    <s v="B1"/>
    <x v="2"/>
  </r>
  <r>
    <n v="92"/>
    <x v="3"/>
    <n v="70"/>
    <s v="B2"/>
    <x v="6"/>
  </r>
  <r>
    <n v="85"/>
    <x v="1"/>
    <n v="85"/>
    <s v="A2"/>
    <x v="0"/>
  </r>
  <r>
    <n v="90"/>
    <x v="1"/>
    <n v="78"/>
    <s v="B1"/>
    <x v="0"/>
  </r>
  <r>
    <n v="85"/>
    <x v="1"/>
    <n v="77.598759048603924"/>
    <s v="B1"/>
    <x v="2"/>
  </r>
  <r>
    <n v="90"/>
    <x v="1"/>
    <n v="86"/>
    <s v="A2"/>
    <x v="5"/>
  </r>
  <r>
    <n v="88"/>
    <x v="1"/>
    <n v="86"/>
    <s v="A2"/>
    <x v="1"/>
  </r>
  <r>
    <n v="85"/>
    <x v="1"/>
    <n v="70"/>
    <s v="B2"/>
    <x v="1"/>
  </r>
  <r>
    <n v="85"/>
    <x v="1"/>
    <n v="90"/>
    <s v="A2"/>
    <x v="0"/>
  </r>
  <r>
    <n v="72"/>
    <x v="0"/>
    <n v="85"/>
    <s v="A2"/>
    <x v="1"/>
  </r>
  <r>
    <n v="80.030208333333334"/>
    <x v="1"/>
    <n v="78"/>
    <s v="B1"/>
    <x v="2"/>
  </r>
  <r>
    <n v="62"/>
    <x v="2"/>
    <n v="70"/>
    <s v="B2"/>
    <x v="2"/>
  </r>
  <r>
    <n v="80"/>
    <x v="0"/>
    <n v="90"/>
    <s v="A2"/>
    <x v="2"/>
  </r>
  <r>
    <n v="87"/>
    <x v="1"/>
    <n v="82"/>
    <s v="A2"/>
    <x v="9"/>
  </r>
  <r>
    <n v="92"/>
    <x v="3"/>
    <n v="65"/>
    <s v="B2"/>
    <x v="2"/>
  </r>
  <r>
    <n v="72"/>
    <x v="0"/>
    <n v="88"/>
    <s v="A2"/>
    <x v="8"/>
  </r>
  <r>
    <n v="85"/>
    <x v="1"/>
    <n v="88"/>
    <s v="A2"/>
    <x v="0"/>
  </r>
  <r>
    <n v="90"/>
    <x v="1"/>
    <n v="90"/>
    <s v="A2"/>
    <x v="8"/>
  </r>
  <r>
    <n v="87"/>
    <x v="1"/>
    <n v="88"/>
    <s v="A2"/>
    <x v="3"/>
  </r>
  <r>
    <n v="85"/>
    <x v="1"/>
    <n v="65"/>
    <s v="B2"/>
    <x v="8"/>
  </r>
  <r>
    <n v="62"/>
    <x v="2"/>
    <n v="60"/>
    <s v="C1"/>
    <x v="2"/>
  </r>
  <r>
    <n v="80"/>
    <x v="0"/>
    <n v="78"/>
    <s v="B1"/>
    <x v="6"/>
  </r>
  <r>
    <n v="90"/>
    <x v="1"/>
    <n v="78"/>
    <s v="B1"/>
    <x v="8"/>
  </r>
  <r>
    <n v="78"/>
    <x v="0"/>
    <n v="65"/>
    <s v="B2"/>
    <x v="8"/>
  </r>
  <r>
    <n v="80.030208333333334"/>
    <x v="1"/>
    <n v="85"/>
    <s v="A2"/>
    <x v="4"/>
  </r>
  <r>
    <n v="90"/>
    <x v="1"/>
    <n v="60"/>
    <s v="C1"/>
    <x v="0"/>
  </r>
  <r>
    <n v="90"/>
    <x v="1"/>
    <n v="90"/>
    <s v="A2"/>
    <x v="2"/>
  </r>
  <r>
    <n v="72"/>
    <x v="0"/>
    <n v="65"/>
    <s v="B2"/>
    <x v="0"/>
  </r>
  <r>
    <n v="78"/>
    <x v="0"/>
    <n v="88"/>
    <s v="A2"/>
    <x v="8"/>
  </r>
  <r>
    <n v="78"/>
    <x v="0"/>
    <n v="65"/>
    <s v="B2"/>
    <x v="2"/>
  </r>
  <r>
    <n v="90"/>
    <x v="1"/>
    <n v="65"/>
    <s v="B2"/>
    <x v="1"/>
  </r>
  <r>
    <n v="78"/>
    <x v="0"/>
    <n v="60"/>
    <s v="C1"/>
    <x v="2"/>
  </r>
  <r>
    <n v="92"/>
    <x v="3"/>
    <n v="70"/>
    <s v="B2"/>
    <x v="8"/>
  </r>
  <r>
    <n v="87"/>
    <x v="1"/>
    <n v="70"/>
    <s v="B2"/>
    <x v="0"/>
  </r>
  <r>
    <n v="92"/>
    <x v="3"/>
    <n v="70"/>
    <s v="B2"/>
    <x v="0"/>
  </r>
  <r>
    <n v="87"/>
    <x v="1"/>
    <n v="60"/>
    <s v="C1"/>
    <x v="6"/>
  </r>
  <r>
    <n v="87"/>
    <x v="1"/>
    <n v="65"/>
    <s v="B2"/>
    <x v="2"/>
  </r>
  <r>
    <n v="90"/>
    <x v="1"/>
    <n v="82"/>
    <s v="A2"/>
    <x v="2"/>
  </r>
  <r>
    <n v="72"/>
    <x v="0"/>
    <n v="78"/>
    <s v="B1"/>
    <x v="2"/>
  </r>
  <r>
    <n v="68"/>
    <x v="2"/>
    <n v="82"/>
    <s v="A2"/>
    <x v="8"/>
  </r>
  <r>
    <n v="68"/>
    <x v="2"/>
    <n v="78"/>
    <s v="B1"/>
    <x v="6"/>
  </r>
  <r>
    <n v="90"/>
    <x v="1"/>
    <n v="60"/>
    <s v="C1"/>
    <x v="5"/>
  </r>
  <r>
    <n v="92"/>
    <x v="3"/>
    <n v="86"/>
    <s v="A2"/>
    <x v="1"/>
  </r>
  <r>
    <n v="92"/>
    <x v="3"/>
    <n v="82"/>
    <s v="A2"/>
    <x v="8"/>
  </r>
  <r>
    <n v="80"/>
    <x v="0"/>
    <n v="78"/>
    <s v="B1"/>
    <x v="8"/>
  </r>
  <r>
    <n v="62"/>
    <x v="2"/>
    <n v="70"/>
    <s v="B2"/>
    <x v="9"/>
  </r>
  <r>
    <n v="88"/>
    <x v="1"/>
    <n v="70"/>
    <s v="B2"/>
    <x v="7"/>
  </r>
  <r>
    <n v="92"/>
    <x v="3"/>
    <n v="85"/>
    <s v="A2"/>
    <x v="2"/>
  </r>
  <r>
    <n v="88"/>
    <x v="1"/>
    <n v="88"/>
    <s v="A2"/>
    <x v="0"/>
  </r>
  <r>
    <n v="88"/>
    <x v="1"/>
    <n v="86"/>
    <s v="A2"/>
    <x v="3"/>
  </r>
  <r>
    <n v="78"/>
    <x v="0"/>
    <n v="85"/>
    <s v="A2"/>
    <x v="9"/>
  </r>
  <r>
    <n v="68"/>
    <x v="2"/>
    <n v="88"/>
    <s v="A2"/>
    <x v="8"/>
  </r>
  <r>
    <n v="80"/>
    <x v="0"/>
    <n v="85"/>
    <s v="A2"/>
    <x v="0"/>
  </r>
  <r>
    <n v="90"/>
    <x v="1"/>
    <n v="70"/>
    <s v="B2"/>
    <x v="0"/>
  </r>
  <r>
    <n v="68"/>
    <x v="2"/>
    <n v="90"/>
    <s v="A2"/>
    <x v="8"/>
  </r>
  <r>
    <n v="87"/>
    <x v="1"/>
    <n v="60"/>
    <s v="C1"/>
    <x v="1"/>
  </r>
  <r>
    <n v="62"/>
    <x v="2"/>
    <n v="60"/>
    <s v="C1"/>
    <x v="2"/>
  </r>
  <r>
    <n v="72"/>
    <x v="0"/>
    <n v="77.598759048603924"/>
    <s v="B1"/>
    <x v="0"/>
  </r>
  <r>
    <n v="90"/>
    <x v="1"/>
    <n v="86"/>
    <s v="A2"/>
    <x v="8"/>
  </r>
  <r>
    <n v="68"/>
    <x v="2"/>
    <n v="82"/>
    <s v="A2"/>
    <x v="0"/>
  </r>
  <r>
    <n v="85"/>
    <x v="1"/>
    <n v="60"/>
    <s v="C1"/>
    <x v="9"/>
  </r>
  <r>
    <n v="80.030208333333334"/>
    <x v="1"/>
    <n v="90"/>
    <s v="A2"/>
    <x v="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John"/>
    <s v="Male"/>
    <x v="0"/>
    <n v="15"/>
    <n v="78"/>
    <n v="1"/>
    <x v="0"/>
    <x v="0"/>
    <x v="0"/>
  </r>
  <r>
    <n v="2"/>
    <s v="Sarah"/>
    <s v="Female"/>
    <x v="1"/>
    <n v="20"/>
    <n v="85"/>
    <n v="2"/>
    <x v="1"/>
    <x v="1"/>
    <x v="1"/>
  </r>
  <r>
    <n v="3"/>
    <s v="Alex"/>
    <s v="Male"/>
    <x v="2"/>
    <n v="10"/>
    <n v="65"/>
    <n v="0"/>
    <x v="2"/>
    <x v="2"/>
    <x v="0"/>
  </r>
  <r>
    <n v="4"/>
    <s v="Michael"/>
    <s v="Male"/>
    <x v="3"/>
    <n v="25"/>
    <n v="90"/>
    <n v="3"/>
    <x v="0"/>
    <x v="3"/>
    <x v="0"/>
  </r>
  <r>
    <n v="5"/>
    <s v="Emma"/>
    <s v="Female"/>
    <x v="4"/>
    <n v="18"/>
    <n v="82"/>
    <n v="2"/>
    <x v="1"/>
    <x v="4"/>
    <x v="1"/>
  </r>
  <r>
    <n v="6"/>
    <s v="Olivia"/>
    <s v="Female"/>
    <x v="5"/>
    <n v="30"/>
    <n v="88"/>
    <n v="1"/>
    <x v="0"/>
    <x v="5"/>
    <x v="0"/>
  </r>
  <r>
    <n v="7"/>
    <s v="Daniel"/>
    <s v="Male"/>
    <x v="6"/>
    <n v="8"/>
    <n v="60"/>
    <n v="0"/>
    <x v="2"/>
    <x v="6"/>
    <x v="0"/>
  </r>
  <r>
    <n v="8"/>
    <s v="Sophia"/>
    <s v="Female"/>
    <x v="4"/>
    <n v="17"/>
    <n v="77"/>
    <n v="1"/>
    <x v="1"/>
    <x v="7"/>
    <x v="1"/>
  </r>
  <r>
    <n v="9"/>
    <s v="James"/>
    <s v="Male"/>
    <x v="7"/>
    <n v="12"/>
    <n v="70"/>
    <n v="2"/>
    <x v="2"/>
    <x v="8"/>
    <x v="0"/>
  </r>
  <r>
    <n v="10"/>
    <s v="Isabella"/>
    <s v="Female"/>
    <x v="8"/>
    <n v="22"/>
    <n v="86"/>
    <n v="3"/>
    <x v="0"/>
    <x v="9"/>
    <x v="1"/>
  </r>
  <r>
    <n v="11"/>
    <s v="Shannon Harrison"/>
    <s v="Male"/>
    <x v="9"/>
    <n v="25"/>
    <n v="90"/>
    <n v="0"/>
    <x v="0"/>
    <x v="1"/>
    <x v="1"/>
  </r>
  <r>
    <n v="12"/>
    <s v="Peter Davila"/>
    <s v="Male"/>
    <x v="0"/>
    <n v="20"/>
    <n v="77.598759048603924"/>
    <n v="3"/>
    <x v="2"/>
    <x v="9"/>
    <x v="0"/>
  </r>
  <r>
    <n v="13"/>
    <s v="Katherine Gray"/>
    <s v="Female"/>
    <x v="8"/>
    <n v="18"/>
    <n v="78"/>
    <n v="0"/>
    <x v="2"/>
    <x v="6"/>
    <x v="1"/>
  </r>
  <r>
    <n v="14"/>
    <s v="Megan Miller"/>
    <s v="Male"/>
    <x v="1"/>
    <n v="8"/>
    <n v="85"/>
    <n v="1"/>
    <x v="1"/>
    <x v="9"/>
    <x v="0"/>
  </r>
  <r>
    <n v="15"/>
    <s v="James Williams"/>
    <s v="Male"/>
    <x v="6"/>
    <n v="20"/>
    <n v="70"/>
    <n v="2"/>
    <x v="2"/>
    <x v="9"/>
    <x v="1"/>
  </r>
  <r>
    <n v="16"/>
    <s v="Derrick Alexander"/>
    <s v="Male"/>
    <x v="4"/>
    <n v="18"/>
    <n v="85"/>
    <n v="3"/>
    <x v="0"/>
    <x v="6"/>
    <x v="0"/>
  </r>
  <r>
    <n v="17"/>
    <s v="Courtney Clark"/>
    <s v="Unknown"/>
    <x v="5"/>
    <n v="25"/>
    <n v="82"/>
    <n v="2"/>
    <x v="2"/>
    <x v="2"/>
    <x v="1"/>
  </r>
  <r>
    <n v="18"/>
    <s v="James Smith"/>
    <s v="Female"/>
    <x v="9"/>
    <n v="12"/>
    <n v="90"/>
    <n v="1"/>
    <x v="0"/>
    <x v="3"/>
    <x v="0"/>
  </r>
  <r>
    <n v="19"/>
    <s v="James Reynolds"/>
    <s v="Male"/>
    <x v="3"/>
    <n v="22"/>
    <n v="88"/>
    <n v="3"/>
    <x v="2"/>
    <x v="7"/>
    <x v="0"/>
  </r>
  <r>
    <n v="20"/>
    <s v="Brittany Sutton"/>
    <s v="Female"/>
    <x v="2"/>
    <n v="25"/>
    <n v="70"/>
    <n v="2"/>
    <x v="1"/>
    <x v="9"/>
    <x v="0"/>
  </r>
  <r>
    <n v="21"/>
    <s v="Annette Medina"/>
    <s v="Male"/>
    <x v="2"/>
    <n v="12"/>
    <n v="77"/>
    <n v="2"/>
    <x v="0"/>
    <x v="1"/>
    <x v="0"/>
  </r>
  <r>
    <n v="22"/>
    <s v="James Duncan"/>
    <s v="Female"/>
    <x v="6"/>
    <n v="22"/>
    <n v="77"/>
    <n v="2"/>
    <x v="1"/>
    <x v="8"/>
    <x v="1"/>
  </r>
  <r>
    <n v="23"/>
    <s v="Donna Taylor"/>
    <s v="Female"/>
    <x v="5"/>
    <n v="20"/>
    <n v="82"/>
    <n v="1"/>
    <x v="0"/>
    <x v="7"/>
    <x v="0"/>
  </r>
  <r>
    <n v="24"/>
    <s v="David Robertson"/>
    <s v="Male"/>
    <x v="7"/>
    <n v="20"/>
    <n v="82"/>
    <n v="1"/>
    <x v="2"/>
    <x v="5"/>
    <x v="1"/>
  </r>
  <r>
    <n v="25"/>
    <s v="Susan Brown"/>
    <s v="Male"/>
    <x v="8"/>
    <n v="30"/>
    <n v="77"/>
    <n v="1"/>
    <x v="0"/>
    <x v="10"/>
    <x v="1"/>
  </r>
  <r>
    <n v="26"/>
    <s v="Jessica Ortega"/>
    <s v="Male"/>
    <x v="8"/>
    <n v="20"/>
    <n v="77.598759048603924"/>
    <n v="1"/>
    <x v="0"/>
    <x v="8"/>
    <x v="0"/>
  </r>
  <r>
    <n v="27"/>
    <s v="Jeremy Hall"/>
    <s v="Female"/>
    <x v="4"/>
    <n v="17.630526315789474"/>
    <n v="60"/>
    <n v="3"/>
    <x v="2"/>
    <x v="3"/>
    <x v="0"/>
  </r>
  <r>
    <n v="28"/>
    <s v="Peter Jones"/>
    <s v="Female"/>
    <x v="1"/>
    <n v="25"/>
    <n v="90"/>
    <n v="2"/>
    <x v="1"/>
    <x v="0"/>
    <x v="1"/>
  </r>
  <r>
    <n v="29"/>
    <s v="Michael Sampson"/>
    <s v="Male"/>
    <x v="0"/>
    <n v="25"/>
    <n v="77.598759048603924"/>
    <n v="1"/>
    <x v="1"/>
    <x v="1"/>
    <x v="0"/>
  </r>
  <r>
    <n v="30"/>
    <s v="Daniel Erickson"/>
    <s v="Male"/>
    <x v="8"/>
    <n v="22"/>
    <n v="77"/>
    <n v="3"/>
    <x v="1"/>
    <x v="6"/>
    <x v="0"/>
  </r>
  <r>
    <n v="31"/>
    <s v="David Aguilar"/>
    <s v="Female"/>
    <x v="6"/>
    <n v="17"/>
    <n v="78"/>
    <n v="2"/>
    <x v="0"/>
    <x v="5"/>
    <x v="1"/>
  </r>
  <r>
    <n v="32"/>
    <s v="Benjamin Vance"/>
    <s v="Male"/>
    <x v="7"/>
    <n v="17"/>
    <n v="65"/>
    <n v="0"/>
    <x v="0"/>
    <x v="4"/>
    <x v="0"/>
  </r>
  <r>
    <n v="33"/>
    <s v="Yolanda Chen"/>
    <s v="Male"/>
    <x v="7"/>
    <n v="15"/>
    <n v="85"/>
    <n v="3"/>
    <x v="0"/>
    <x v="5"/>
    <x v="0"/>
  </r>
  <r>
    <n v="34"/>
    <s v="Kristina Douglas"/>
    <s v="Unknown"/>
    <x v="4"/>
    <n v="15"/>
    <n v="60"/>
    <n v="2"/>
    <x v="1"/>
    <x v="4"/>
    <x v="0"/>
  </r>
  <r>
    <n v="35"/>
    <s v="Scott Davidson"/>
    <s v="Male"/>
    <x v="9"/>
    <n v="25"/>
    <n v="78"/>
    <n v="3"/>
    <x v="2"/>
    <x v="8"/>
    <x v="1"/>
  </r>
  <r>
    <n v="36"/>
    <s v="Alexandra Harrington"/>
    <s v="Female"/>
    <x v="7"/>
    <n v="12"/>
    <n v="65"/>
    <n v="1"/>
    <x v="2"/>
    <x v="1"/>
    <x v="1"/>
  </r>
  <r>
    <n v="37"/>
    <s v="Richard Johnson"/>
    <s v="Female"/>
    <x v="1"/>
    <n v="22"/>
    <n v="90"/>
    <n v="3"/>
    <x v="2"/>
    <x v="0"/>
    <x v="0"/>
  </r>
  <r>
    <n v="38"/>
    <s v="Christopher Chapman"/>
    <s v="Male"/>
    <x v="5"/>
    <n v="25"/>
    <n v="82"/>
    <n v="0"/>
    <x v="0"/>
    <x v="4"/>
    <x v="1"/>
  </r>
  <r>
    <n v="39"/>
    <s v="Jerry Browning"/>
    <s v="Female"/>
    <x v="8"/>
    <n v="22"/>
    <n v="85"/>
    <n v="2"/>
    <x v="2"/>
    <x v="3"/>
    <x v="0"/>
  </r>
  <r>
    <n v="40"/>
    <s v="Carrie Page"/>
    <s v="Male"/>
    <x v="5"/>
    <n v="18"/>
    <n v="65"/>
    <n v="1"/>
    <x v="2"/>
    <x v="4"/>
    <x v="1"/>
  </r>
  <r>
    <n v="41"/>
    <s v="Michelle Benjamin"/>
    <s v="Male"/>
    <x v="2"/>
    <n v="18"/>
    <n v="85"/>
    <n v="2"/>
    <x v="2"/>
    <x v="8"/>
    <x v="1"/>
  </r>
  <r>
    <n v="42"/>
    <s v="James Woods"/>
    <s v="Male"/>
    <x v="9"/>
    <n v="12"/>
    <n v="77"/>
    <n v="2"/>
    <x v="0"/>
    <x v="1"/>
    <x v="1"/>
  </r>
  <r>
    <n v="43"/>
    <s v="Angela Dunn"/>
    <s v="Female"/>
    <x v="2"/>
    <n v="18"/>
    <n v="65"/>
    <n v="1"/>
    <x v="2"/>
    <x v="6"/>
    <x v="1"/>
  </r>
  <r>
    <n v="44"/>
    <s v="Nathan Riley"/>
    <s v="Male"/>
    <x v="5"/>
    <n v="22"/>
    <n v="70"/>
    <n v="0"/>
    <x v="1"/>
    <x v="2"/>
    <x v="1"/>
  </r>
  <r>
    <n v="45"/>
    <s v="Shelby Mahoney"/>
    <s v="Male"/>
    <x v="3"/>
    <n v="20"/>
    <n v="88"/>
    <n v="2"/>
    <x v="1"/>
    <x v="9"/>
    <x v="1"/>
  </r>
  <r>
    <n v="46"/>
    <s v="Andrea Frey"/>
    <s v="Female"/>
    <x v="0"/>
    <n v="10"/>
    <n v="88"/>
    <n v="0"/>
    <x v="2"/>
    <x v="3"/>
    <x v="1"/>
  </r>
  <r>
    <n v="47"/>
    <s v="Justin Martin"/>
    <s v="Male"/>
    <x v="0"/>
    <n v="25"/>
    <n v="90"/>
    <n v="1"/>
    <x v="1"/>
    <x v="4"/>
    <x v="1"/>
  </r>
  <r>
    <n v="48"/>
    <s v="Mark Hartman"/>
    <s v="Male"/>
    <x v="6"/>
    <n v="30"/>
    <n v="82"/>
    <n v="2"/>
    <x v="1"/>
    <x v="10"/>
    <x v="0"/>
  </r>
  <r>
    <n v="49"/>
    <s v="Antonio Hansen"/>
    <s v="Male"/>
    <x v="9"/>
    <n v="10"/>
    <n v="86"/>
    <n v="2"/>
    <x v="0"/>
    <x v="1"/>
    <x v="0"/>
  </r>
  <r>
    <n v="50"/>
    <s v="Lynn Anderson"/>
    <s v="Male"/>
    <x v="6"/>
    <n v="22"/>
    <n v="90"/>
    <n v="2"/>
    <x v="0"/>
    <x v="6"/>
    <x v="1"/>
  </r>
  <r>
    <n v="51"/>
    <s v="Michael Cooley"/>
    <s v="Female"/>
    <x v="1"/>
    <n v="30"/>
    <n v="86"/>
    <n v="1"/>
    <x v="2"/>
    <x v="1"/>
    <x v="0"/>
  </r>
  <r>
    <n v="52"/>
    <s v="Mitchell Sanders"/>
    <s v="Female"/>
    <x v="6"/>
    <n v="18"/>
    <n v="70"/>
    <n v="0"/>
    <x v="0"/>
    <x v="6"/>
    <x v="1"/>
  </r>
  <r>
    <n v="53"/>
    <s v="Maria Cross"/>
    <s v="Female"/>
    <x v="7"/>
    <n v="17.630526315789474"/>
    <n v="82"/>
    <n v="1"/>
    <x v="0"/>
    <x v="6"/>
    <x v="0"/>
  </r>
  <r>
    <n v="54"/>
    <s v="Lisa Castillo"/>
    <s v="Female"/>
    <x v="0"/>
    <n v="25"/>
    <n v="70"/>
    <n v="1"/>
    <x v="2"/>
    <x v="2"/>
    <x v="0"/>
  </r>
  <r>
    <n v="55"/>
    <s v="Theresa Rodriguez"/>
    <s v="Male"/>
    <x v="9"/>
    <n v="25"/>
    <n v="90"/>
    <n v="0"/>
    <x v="0"/>
    <x v="0"/>
    <x v="1"/>
  </r>
  <r>
    <n v="56"/>
    <s v="Kimberly Wood"/>
    <s v="Female"/>
    <x v="8"/>
    <n v="25"/>
    <n v="60"/>
    <n v="1"/>
    <x v="1"/>
    <x v="3"/>
    <x v="1"/>
  </r>
  <r>
    <n v="57"/>
    <s v="Patricia Cox"/>
    <s v="Female"/>
    <x v="3"/>
    <n v="10"/>
    <n v="70"/>
    <n v="1"/>
    <x v="0"/>
    <x v="8"/>
    <x v="0"/>
  </r>
  <r>
    <n v="58"/>
    <s v="Kimberly Blair"/>
    <s v="Female"/>
    <x v="7"/>
    <n v="12"/>
    <n v="86"/>
    <n v="1"/>
    <x v="1"/>
    <x v="9"/>
    <x v="0"/>
  </r>
  <r>
    <n v="59"/>
    <s v="Jason Ramirez"/>
    <s v="Female"/>
    <x v="2"/>
    <n v="17"/>
    <n v="77"/>
    <n v="2"/>
    <x v="0"/>
    <x v="4"/>
    <x v="0"/>
  </r>
  <r>
    <n v="60"/>
    <s v="Gail Dudley"/>
    <s v="Female"/>
    <x v="0"/>
    <n v="20"/>
    <n v="82"/>
    <n v="3"/>
    <x v="1"/>
    <x v="10"/>
    <x v="1"/>
  </r>
  <r>
    <n v="61"/>
    <s v="John West"/>
    <s v="Male"/>
    <x v="3"/>
    <n v="8"/>
    <n v="65"/>
    <n v="3"/>
    <x v="0"/>
    <x v="6"/>
    <x v="0"/>
  </r>
  <r>
    <n v="62"/>
    <s v="Patricia Carr"/>
    <s v="Male"/>
    <x v="3"/>
    <n v="8"/>
    <n v="60"/>
    <n v="3"/>
    <x v="2"/>
    <x v="0"/>
    <x v="0"/>
  </r>
  <r>
    <n v="63"/>
    <s v="David Nunez"/>
    <s v="Male"/>
    <x v="5"/>
    <n v="18"/>
    <n v="60"/>
    <n v="0"/>
    <x v="2"/>
    <x v="8"/>
    <x v="0"/>
  </r>
  <r>
    <n v="64"/>
    <s v="Collin Peterson"/>
    <s v="Female"/>
    <x v="6"/>
    <n v="17"/>
    <n v="78"/>
    <n v="0"/>
    <x v="1"/>
    <x v="6"/>
    <x v="1"/>
  </r>
  <r>
    <n v="65"/>
    <s v="Rebecca Smith"/>
    <s v="Male"/>
    <x v="6"/>
    <n v="22"/>
    <n v="86"/>
    <n v="1"/>
    <x v="0"/>
    <x v="6"/>
    <x v="1"/>
  </r>
  <r>
    <n v="66"/>
    <s v="Lisa Benjamin"/>
    <s v="Female"/>
    <x v="6"/>
    <n v="30"/>
    <n v="90"/>
    <n v="1"/>
    <x v="1"/>
    <x v="10"/>
    <x v="0"/>
  </r>
  <r>
    <n v="67"/>
    <s v="Desiree Reyes"/>
    <s v="Female"/>
    <x v="1"/>
    <n v="17"/>
    <n v="78"/>
    <n v="2"/>
    <x v="0"/>
    <x v="10"/>
    <x v="1"/>
  </r>
  <r>
    <n v="68"/>
    <s v="Megan Diaz"/>
    <s v="Male"/>
    <x v="3"/>
    <n v="15"/>
    <n v="86"/>
    <n v="0"/>
    <x v="0"/>
    <x v="2"/>
    <x v="1"/>
  </r>
  <r>
    <n v="69"/>
    <s v="Joseph Adams"/>
    <s v="Female"/>
    <x v="5"/>
    <n v="10"/>
    <n v="86"/>
    <n v="3"/>
    <x v="2"/>
    <x v="1"/>
    <x v="0"/>
  </r>
  <r>
    <n v="70"/>
    <s v="Sharon Watson"/>
    <s v="Male"/>
    <x v="9"/>
    <n v="22"/>
    <n v="60"/>
    <n v="0"/>
    <x v="2"/>
    <x v="3"/>
    <x v="1"/>
  </r>
  <r>
    <n v="71"/>
    <s v="Tiffany Smith"/>
    <s v="Female"/>
    <x v="8"/>
    <n v="20"/>
    <n v="86"/>
    <n v="1"/>
    <x v="1"/>
    <x v="8"/>
    <x v="1"/>
  </r>
  <r>
    <n v="72"/>
    <s v="Alexander Preston"/>
    <s v="Female"/>
    <x v="0"/>
    <n v="8"/>
    <n v="77"/>
    <n v="2"/>
    <x v="1"/>
    <x v="10"/>
    <x v="1"/>
  </r>
  <r>
    <n v="73"/>
    <s v="Randall Hickman"/>
    <s v="Male"/>
    <x v="7"/>
    <n v="18"/>
    <n v="86"/>
    <n v="2"/>
    <x v="1"/>
    <x v="7"/>
    <x v="0"/>
  </r>
  <r>
    <n v="74"/>
    <s v="David Hernandez"/>
    <s v="Male"/>
    <x v="1"/>
    <n v="18"/>
    <n v="77"/>
    <n v="3"/>
    <x v="1"/>
    <x v="9"/>
    <x v="0"/>
  </r>
  <r>
    <n v="75"/>
    <s v="Michelle Jones"/>
    <s v="Female"/>
    <x v="5"/>
    <n v="10"/>
    <n v="77"/>
    <n v="3"/>
    <x v="1"/>
    <x v="4"/>
    <x v="0"/>
  </r>
  <r>
    <n v="76"/>
    <s v="Tonya Gonzalez"/>
    <s v="Male"/>
    <x v="1"/>
    <n v="25"/>
    <n v="60"/>
    <n v="1"/>
    <x v="2"/>
    <x v="3"/>
    <x v="0"/>
  </r>
  <r>
    <n v="77"/>
    <s v="Sarah Johnson"/>
    <s v="Male"/>
    <x v="1"/>
    <n v="18"/>
    <n v="90"/>
    <n v="0"/>
    <x v="2"/>
    <x v="3"/>
    <x v="0"/>
  </r>
  <r>
    <n v="78"/>
    <s v="Grace Valencia"/>
    <s v="Female"/>
    <x v="6"/>
    <n v="12"/>
    <n v="88"/>
    <n v="1"/>
    <x v="2"/>
    <x v="7"/>
    <x v="1"/>
  </r>
  <r>
    <n v="79"/>
    <s v="Sarah Young"/>
    <s v="Male"/>
    <x v="5"/>
    <n v="20"/>
    <n v="70"/>
    <n v="0"/>
    <x v="0"/>
    <x v="3"/>
    <x v="0"/>
  </r>
  <r>
    <n v="80"/>
    <s v="Gerald Weber"/>
    <s v="Male"/>
    <x v="9"/>
    <n v="25"/>
    <n v="88"/>
    <n v="1"/>
    <x v="1"/>
    <x v="0"/>
    <x v="0"/>
  </r>
  <r>
    <n v="81"/>
    <s v="Gregory Turner"/>
    <s v="Male"/>
    <x v="7"/>
    <n v="18"/>
    <n v="77.598759048603924"/>
    <n v="1"/>
    <x v="0"/>
    <x v="0"/>
    <x v="0"/>
  </r>
  <r>
    <n v="82"/>
    <s v="Laura Cortez"/>
    <s v="Female"/>
    <x v="2"/>
    <n v="15"/>
    <n v="82"/>
    <n v="1"/>
    <x v="0"/>
    <x v="1"/>
    <x v="1"/>
  </r>
  <r>
    <n v="83"/>
    <s v="Lori Miller"/>
    <s v="Male"/>
    <x v="8"/>
    <n v="18"/>
    <n v="85"/>
    <n v="3"/>
    <x v="0"/>
    <x v="8"/>
    <x v="1"/>
  </r>
  <r>
    <n v="84"/>
    <s v="Lori Gomez PhD"/>
    <s v="Female"/>
    <x v="0"/>
    <n v="17"/>
    <n v="82"/>
    <n v="3"/>
    <x v="1"/>
    <x v="4"/>
    <x v="1"/>
  </r>
  <r>
    <n v="85"/>
    <s v="Dawn Foster"/>
    <s v="Male"/>
    <x v="9"/>
    <n v="20"/>
    <n v="65"/>
    <n v="1"/>
    <x v="0"/>
    <x v="8"/>
    <x v="0"/>
  </r>
  <r>
    <n v="86"/>
    <s v="Peter Welch"/>
    <s v="Female"/>
    <x v="9"/>
    <n v="15"/>
    <n v="90"/>
    <n v="2"/>
    <x v="2"/>
    <x v="5"/>
    <x v="1"/>
  </r>
  <r>
    <n v="87"/>
    <s v="Maria Carter"/>
    <s v="Female"/>
    <x v="8"/>
    <n v="25"/>
    <n v="60"/>
    <n v="2"/>
    <x v="2"/>
    <x v="3"/>
    <x v="1"/>
  </r>
  <r>
    <n v="88"/>
    <s v="Daniel Hood"/>
    <s v="Male"/>
    <x v="2"/>
    <n v="18"/>
    <n v="86"/>
    <n v="3"/>
    <x v="1"/>
    <x v="7"/>
    <x v="0"/>
  </r>
  <r>
    <n v="89"/>
    <s v="Amanda Hernandez"/>
    <s v="Female"/>
    <x v="7"/>
    <n v="12"/>
    <n v="77"/>
    <n v="1"/>
    <x v="0"/>
    <x v="9"/>
    <x v="0"/>
  </r>
  <r>
    <n v="90"/>
    <s v="Alyssa Schmidt"/>
    <s v="Unknown"/>
    <x v="1"/>
    <n v="25"/>
    <n v="86"/>
    <n v="3"/>
    <x v="0"/>
    <x v="4"/>
    <x v="1"/>
  </r>
  <r>
    <n v="91"/>
    <s v="Taylor Merritt DVM"/>
    <s v="Female"/>
    <x v="9"/>
    <n v="10"/>
    <n v="86"/>
    <n v="0"/>
    <x v="2"/>
    <x v="7"/>
    <x v="0"/>
  </r>
  <r>
    <n v="92"/>
    <s v="Alyssa Smith"/>
    <s v="Unknown"/>
    <x v="5"/>
    <n v="20"/>
    <n v="65"/>
    <n v="1"/>
    <x v="1"/>
    <x v="7"/>
    <x v="1"/>
  </r>
  <r>
    <n v="93"/>
    <s v="Nathan Navarro"/>
    <s v="Male"/>
    <x v="5"/>
    <n v="18"/>
    <n v="88"/>
    <n v="2"/>
    <x v="1"/>
    <x v="8"/>
    <x v="0"/>
  </r>
  <r>
    <n v="94"/>
    <s v="Lisa Zimmerman"/>
    <s v="Male"/>
    <x v="3"/>
    <n v="12"/>
    <n v="88"/>
    <n v="3"/>
    <x v="1"/>
    <x v="7"/>
    <x v="0"/>
  </r>
  <r>
    <n v="95"/>
    <s v="Jeffrey Howard"/>
    <s v="Male"/>
    <x v="9"/>
    <n v="17"/>
    <n v="77"/>
    <n v="2"/>
    <x v="0"/>
    <x v="9"/>
    <x v="1"/>
  </r>
  <r>
    <n v="96"/>
    <s v="Morgan Bell"/>
    <s v="Male"/>
    <x v="7"/>
    <n v="17.630526315789474"/>
    <n v="85"/>
    <n v="1"/>
    <x v="0"/>
    <x v="7"/>
    <x v="1"/>
  </r>
  <r>
    <n v="97"/>
    <s v="Angelica Steele"/>
    <s v="Female"/>
    <x v="7"/>
    <n v="18"/>
    <n v="60"/>
    <n v="1"/>
    <x v="1"/>
    <x v="3"/>
    <x v="0"/>
  </r>
  <r>
    <n v="98"/>
    <s v="Gregory Daniels"/>
    <s v="Male"/>
    <x v="1"/>
    <n v="18"/>
    <n v="60"/>
    <n v="1"/>
    <x v="2"/>
    <x v="4"/>
    <x v="0"/>
  </r>
  <r>
    <n v="99"/>
    <s v="Eric Davis"/>
    <s v="Male"/>
    <x v="0"/>
    <n v="12"/>
    <n v="77"/>
    <n v="1"/>
    <x v="1"/>
    <x v="8"/>
    <x v="0"/>
  </r>
  <r>
    <n v="100"/>
    <s v="Natalie Kelley"/>
    <s v="Male"/>
    <x v="3"/>
    <n v="22"/>
    <n v="60"/>
    <n v="3"/>
    <x v="1"/>
    <x v="0"/>
    <x v="0"/>
  </r>
  <r>
    <n v="101"/>
    <s v="Ruth Davis"/>
    <s v="Male"/>
    <x v="0"/>
    <n v="15"/>
    <n v="65"/>
    <n v="2"/>
    <x v="2"/>
    <x v="10"/>
    <x v="1"/>
  </r>
  <r>
    <n v="102"/>
    <s v="Emily Torres"/>
    <s v="Unknown"/>
    <x v="0"/>
    <n v="17.630526315789474"/>
    <n v="60"/>
    <n v="0"/>
    <x v="0"/>
    <x v="7"/>
    <x v="0"/>
  </r>
  <r>
    <n v="103"/>
    <s v="Nancy Davis"/>
    <s v="Unknown"/>
    <x v="5"/>
    <n v="12"/>
    <n v="60"/>
    <n v="1"/>
    <x v="2"/>
    <x v="7"/>
    <x v="1"/>
  </r>
  <r>
    <n v="104"/>
    <s v="Amanda Bowers"/>
    <s v="Female"/>
    <x v="3"/>
    <n v="20"/>
    <n v="60"/>
    <n v="1"/>
    <x v="2"/>
    <x v="1"/>
    <x v="0"/>
  </r>
  <r>
    <n v="105"/>
    <s v="Alison Lang"/>
    <s v="Male"/>
    <x v="5"/>
    <n v="15"/>
    <n v="82"/>
    <n v="1"/>
    <x v="1"/>
    <x v="6"/>
    <x v="0"/>
  </r>
  <r>
    <n v="106"/>
    <s v="Matthew Massey"/>
    <s v="Male"/>
    <x v="2"/>
    <n v="20"/>
    <n v="86"/>
    <n v="1"/>
    <x v="2"/>
    <x v="3"/>
    <x v="1"/>
  </r>
  <r>
    <n v="107"/>
    <s v="James Anderson"/>
    <s v="Unknown"/>
    <x v="9"/>
    <n v="17"/>
    <n v="82"/>
    <n v="1"/>
    <x v="1"/>
    <x v="4"/>
    <x v="1"/>
  </r>
  <r>
    <n v="108"/>
    <s v="Robert Howard"/>
    <s v="Female"/>
    <x v="8"/>
    <n v="18"/>
    <n v="60"/>
    <n v="2"/>
    <x v="1"/>
    <x v="4"/>
    <x v="0"/>
  </r>
  <r>
    <n v="109"/>
    <s v="Rebecca Brown"/>
    <s v="Male"/>
    <x v="6"/>
    <n v="22"/>
    <n v="88"/>
    <n v="3"/>
    <x v="1"/>
    <x v="4"/>
    <x v="0"/>
  </r>
  <r>
    <n v="110"/>
    <s v="Kimberly Harrison"/>
    <s v="Male"/>
    <x v="8"/>
    <n v="15"/>
    <n v="86"/>
    <n v="1"/>
    <x v="1"/>
    <x v="3"/>
    <x v="1"/>
  </r>
  <r>
    <n v="111"/>
    <s v="Derek Parks"/>
    <s v="Female"/>
    <x v="2"/>
    <n v="20"/>
    <n v="78"/>
    <n v="2"/>
    <x v="1"/>
    <x v="0"/>
    <x v="1"/>
  </r>
  <r>
    <n v="112"/>
    <s v="Jennifer Baker"/>
    <s v="Female"/>
    <x v="5"/>
    <n v="8"/>
    <n v="65"/>
    <n v="3"/>
    <x v="0"/>
    <x v="8"/>
    <x v="0"/>
  </r>
  <r>
    <n v="113"/>
    <s v="Diana Schultz"/>
    <s v="Female"/>
    <x v="0"/>
    <n v="18"/>
    <n v="88"/>
    <n v="2"/>
    <x v="1"/>
    <x v="1"/>
    <x v="0"/>
  </r>
  <r>
    <n v="114"/>
    <s v="Mrs. Jill Long"/>
    <s v="Male"/>
    <x v="6"/>
    <n v="15"/>
    <n v="82"/>
    <n v="1"/>
    <x v="0"/>
    <x v="7"/>
    <x v="0"/>
  </r>
  <r>
    <n v="115"/>
    <s v="Heather Johnson"/>
    <s v="Female"/>
    <x v="1"/>
    <n v="25"/>
    <n v="77"/>
    <n v="1"/>
    <x v="2"/>
    <x v="8"/>
    <x v="1"/>
  </r>
  <r>
    <n v="116"/>
    <s v="Robert Lowery"/>
    <s v="Female"/>
    <x v="9"/>
    <n v="8"/>
    <n v="85"/>
    <n v="0"/>
    <x v="0"/>
    <x v="0"/>
    <x v="1"/>
  </r>
  <r>
    <n v="117"/>
    <s v="Unknown"/>
    <s v="Male"/>
    <x v="7"/>
    <n v="10"/>
    <n v="60"/>
    <n v="1"/>
    <x v="1"/>
    <x v="8"/>
    <x v="1"/>
  </r>
  <r>
    <n v="118"/>
    <s v="Angela Williams"/>
    <s v="Unknown"/>
    <x v="0"/>
    <n v="22"/>
    <n v="60"/>
    <n v="2"/>
    <x v="0"/>
    <x v="5"/>
    <x v="1"/>
  </r>
  <r>
    <n v="119"/>
    <s v="Brent Burns"/>
    <s v="Male"/>
    <x v="5"/>
    <n v="12"/>
    <n v="88"/>
    <n v="1"/>
    <x v="1"/>
    <x v="4"/>
    <x v="0"/>
  </r>
  <r>
    <n v="120"/>
    <s v="Melissa Barber"/>
    <s v="Male"/>
    <x v="8"/>
    <n v="15"/>
    <n v="78"/>
    <n v="1"/>
    <x v="0"/>
    <x v="2"/>
    <x v="1"/>
  </r>
  <r>
    <n v="121"/>
    <s v="John Warner"/>
    <s v="Male"/>
    <x v="3"/>
    <n v="30"/>
    <n v="65"/>
    <n v="3"/>
    <x v="0"/>
    <x v="5"/>
    <x v="1"/>
  </r>
  <r>
    <n v="122"/>
    <s v="Christopher Baxter"/>
    <s v="Female"/>
    <x v="2"/>
    <n v="17.630526315789474"/>
    <n v="78"/>
    <n v="0"/>
    <x v="0"/>
    <x v="10"/>
    <x v="0"/>
  </r>
  <r>
    <n v="123"/>
    <s v="Courtney Haas"/>
    <s v="Male"/>
    <x v="9"/>
    <n v="15"/>
    <n v="65"/>
    <n v="0"/>
    <x v="2"/>
    <x v="1"/>
    <x v="0"/>
  </r>
  <r>
    <n v="124"/>
    <s v="Sarah Ross"/>
    <s v="Male"/>
    <x v="0"/>
    <n v="12"/>
    <n v="90"/>
    <n v="3"/>
    <x v="0"/>
    <x v="8"/>
    <x v="1"/>
  </r>
  <r>
    <n v="125"/>
    <s v="Manuel Baker"/>
    <s v="Female"/>
    <x v="6"/>
    <n v="8"/>
    <n v="85"/>
    <n v="1"/>
    <x v="2"/>
    <x v="5"/>
    <x v="0"/>
  </r>
  <r>
    <n v="126"/>
    <s v="Jessica Lamb"/>
    <s v="Male"/>
    <x v="2"/>
    <n v="18"/>
    <n v="86"/>
    <n v="1"/>
    <x v="2"/>
    <x v="10"/>
    <x v="0"/>
  </r>
  <r>
    <n v="127"/>
    <s v="Jaime Nguyen"/>
    <s v="Female"/>
    <x v="1"/>
    <n v="20"/>
    <n v="70"/>
    <n v="3"/>
    <x v="1"/>
    <x v="7"/>
    <x v="0"/>
  </r>
  <r>
    <n v="128"/>
    <s v="Tina Chavez"/>
    <s v="Unknown"/>
    <x v="6"/>
    <n v="20"/>
    <n v="88"/>
    <n v="0"/>
    <x v="1"/>
    <x v="4"/>
    <x v="0"/>
  </r>
  <r>
    <n v="129"/>
    <s v="Christina Thompson"/>
    <s v="Male"/>
    <x v="1"/>
    <n v="20"/>
    <n v="60"/>
    <n v="2"/>
    <x v="2"/>
    <x v="10"/>
    <x v="1"/>
  </r>
  <r>
    <n v="130"/>
    <s v="Shari Harrell"/>
    <s v="Male"/>
    <x v="6"/>
    <n v="17.630526315789474"/>
    <n v="60"/>
    <n v="1"/>
    <x v="1"/>
    <x v="9"/>
    <x v="1"/>
  </r>
  <r>
    <n v="131"/>
    <s v="Tracy Gibbs"/>
    <s v="Female"/>
    <x v="3"/>
    <n v="20"/>
    <n v="88"/>
    <n v="2"/>
    <x v="1"/>
    <x v="1"/>
    <x v="1"/>
  </r>
  <r>
    <n v="132"/>
    <s v="David Hoffman"/>
    <s v="Male"/>
    <x v="8"/>
    <n v="17.630526315789474"/>
    <n v="78"/>
    <n v="0"/>
    <x v="1"/>
    <x v="4"/>
    <x v="1"/>
  </r>
  <r>
    <n v="133"/>
    <s v="Robert Davis"/>
    <s v="Male"/>
    <x v="8"/>
    <n v="8"/>
    <n v="85"/>
    <n v="0"/>
    <x v="2"/>
    <x v="0"/>
    <x v="1"/>
  </r>
  <r>
    <n v="134"/>
    <s v="Patricia Greer"/>
    <s v="Female"/>
    <x v="0"/>
    <n v="30"/>
    <n v="77.598759048603924"/>
    <n v="1"/>
    <x v="1"/>
    <x v="10"/>
    <x v="1"/>
  </r>
  <r>
    <n v="135"/>
    <s v="James Stewart"/>
    <s v="Male"/>
    <x v="2"/>
    <n v="22"/>
    <n v="78"/>
    <n v="2"/>
    <x v="1"/>
    <x v="7"/>
    <x v="0"/>
  </r>
  <r>
    <n v="136"/>
    <s v="Brent Mendoza"/>
    <s v="Female"/>
    <x v="3"/>
    <n v="12"/>
    <n v="85"/>
    <n v="1"/>
    <x v="1"/>
    <x v="1"/>
    <x v="0"/>
  </r>
  <r>
    <n v="137"/>
    <s v="Dawn Taylor"/>
    <s v="Female"/>
    <x v="0"/>
    <n v="25"/>
    <n v="60"/>
    <n v="3"/>
    <x v="0"/>
    <x v="0"/>
    <x v="1"/>
  </r>
  <r>
    <n v="138"/>
    <s v="Larry Brown"/>
    <s v="Female"/>
    <x v="5"/>
    <n v="20"/>
    <n v="78"/>
    <n v="1"/>
    <x v="2"/>
    <x v="6"/>
    <x v="1"/>
  </r>
  <r>
    <n v="139"/>
    <s v="Miss Teresa Hernandez MD"/>
    <s v="Female"/>
    <x v="1"/>
    <n v="8"/>
    <n v="78"/>
    <n v="0"/>
    <x v="0"/>
    <x v="7"/>
    <x v="0"/>
  </r>
  <r>
    <n v="140"/>
    <s v="Edward Baker"/>
    <s v="Female"/>
    <x v="9"/>
    <n v="20"/>
    <n v="60"/>
    <n v="1"/>
    <x v="1"/>
    <x v="2"/>
    <x v="0"/>
  </r>
  <r>
    <n v="141"/>
    <s v="Diana Gould"/>
    <s v="Male"/>
    <x v="6"/>
    <n v="20"/>
    <n v="90"/>
    <n v="0"/>
    <x v="2"/>
    <x v="6"/>
    <x v="0"/>
  </r>
  <r>
    <n v="142"/>
    <s v="Amy Rodriguez"/>
    <s v="Male"/>
    <x v="5"/>
    <n v="10"/>
    <n v="85"/>
    <n v="2"/>
    <x v="2"/>
    <x v="5"/>
    <x v="0"/>
  </r>
  <r>
    <n v="143"/>
    <s v="Paul Hull"/>
    <s v="Male"/>
    <x v="3"/>
    <n v="20"/>
    <n v="65"/>
    <n v="2"/>
    <x v="0"/>
    <x v="2"/>
    <x v="1"/>
  </r>
  <r>
    <n v="144"/>
    <s v="Allison Hamilton"/>
    <s v="Female"/>
    <x v="0"/>
    <n v="22"/>
    <n v="86"/>
    <n v="1"/>
    <x v="2"/>
    <x v="9"/>
    <x v="0"/>
  </r>
  <r>
    <n v="145"/>
    <s v="John King"/>
    <s v="Male"/>
    <x v="0"/>
    <n v="20"/>
    <n v="77"/>
    <n v="1"/>
    <x v="2"/>
    <x v="4"/>
    <x v="1"/>
  </r>
  <r>
    <n v="146"/>
    <s v="Tristan Avila"/>
    <s v="Male"/>
    <x v="9"/>
    <n v="17"/>
    <n v="77"/>
    <n v="1"/>
    <x v="0"/>
    <x v="10"/>
    <x v="1"/>
  </r>
  <r>
    <n v="147"/>
    <s v="Connie Cooper"/>
    <s v="Female"/>
    <x v="0"/>
    <n v="22"/>
    <n v="70"/>
    <n v="1"/>
    <x v="1"/>
    <x v="9"/>
    <x v="0"/>
  </r>
  <r>
    <n v="148"/>
    <s v="Judith Santos"/>
    <s v="Male"/>
    <x v="0"/>
    <n v="17"/>
    <n v="85"/>
    <n v="1"/>
    <x v="2"/>
    <x v="1"/>
    <x v="1"/>
  </r>
  <r>
    <n v="149"/>
    <s v="Michaela Powell"/>
    <s v="Female"/>
    <x v="0"/>
    <n v="12"/>
    <n v="70"/>
    <n v="3"/>
    <x v="0"/>
    <x v="10"/>
    <x v="0"/>
  </r>
  <r>
    <n v="150"/>
    <s v="Lawrence Roberts"/>
    <s v="Female"/>
    <x v="8"/>
    <n v="15"/>
    <n v="88"/>
    <n v="2"/>
    <x v="1"/>
    <x v="1"/>
    <x v="0"/>
  </r>
  <r>
    <n v="151"/>
    <s v="Nicholas Robinson DDS"/>
    <s v="Male"/>
    <x v="5"/>
    <n v="20"/>
    <n v="86"/>
    <n v="0"/>
    <x v="1"/>
    <x v="4"/>
    <x v="0"/>
  </r>
  <r>
    <n v="152"/>
    <s v="Jill Smith"/>
    <s v="Male"/>
    <x v="9"/>
    <n v="12"/>
    <n v="60"/>
    <n v="1"/>
    <x v="0"/>
    <x v="8"/>
    <x v="0"/>
  </r>
  <r>
    <n v="153"/>
    <s v="Michael Burns"/>
    <s v="Female"/>
    <x v="0"/>
    <n v="30"/>
    <n v="82"/>
    <n v="0"/>
    <x v="0"/>
    <x v="10"/>
    <x v="1"/>
  </r>
  <r>
    <n v="154"/>
    <s v="Adam Weaver"/>
    <s v="Male"/>
    <x v="2"/>
    <n v="20"/>
    <n v="82"/>
    <n v="2"/>
    <x v="2"/>
    <x v="8"/>
    <x v="1"/>
  </r>
  <r>
    <n v="155"/>
    <s v="Melvin Mcgee"/>
    <s v="Male"/>
    <x v="8"/>
    <n v="8"/>
    <n v="65"/>
    <n v="0"/>
    <x v="0"/>
    <x v="9"/>
    <x v="0"/>
  </r>
  <r>
    <n v="156"/>
    <s v="William Banks"/>
    <s v="Female"/>
    <x v="5"/>
    <n v="25"/>
    <n v="77"/>
    <n v="3"/>
    <x v="1"/>
    <x v="7"/>
    <x v="0"/>
  </r>
  <r>
    <n v="157"/>
    <s v="Dawn Morton"/>
    <s v="Male"/>
    <x v="5"/>
    <n v="22"/>
    <n v="77.598759048603924"/>
    <n v="1"/>
    <x v="1"/>
    <x v="5"/>
    <x v="1"/>
  </r>
  <r>
    <n v="158"/>
    <s v="Frank Dawson"/>
    <s v="Male"/>
    <x v="4"/>
    <n v="15"/>
    <n v="77"/>
    <n v="1"/>
    <x v="2"/>
    <x v="1"/>
    <x v="1"/>
  </r>
  <r>
    <n v="159"/>
    <s v="Gregory Davila"/>
    <s v="Male"/>
    <x v="2"/>
    <n v="18"/>
    <n v="77"/>
    <n v="2"/>
    <x v="0"/>
    <x v="6"/>
    <x v="0"/>
  </r>
  <r>
    <n v="160"/>
    <s v="Rebekah Finley"/>
    <s v="Male"/>
    <x v="6"/>
    <n v="15"/>
    <n v="60"/>
    <n v="2"/>
    <x v="1"/>
    <x v="3"/>
    <x v="0"/>
  </r>
  <r>
    <n v="161"/>
    <s v="Robert Martinez"/>
    <s v="Male"/>
    <x v="5"/>
    <n v="20"/>
    <n v="88"/>
    <n v="0"/>
    <x v="0"/>
    <x v="0"/>
    <x v="1"/>
  </r>
  <r>
    <n v="162"/>
    <s v="Steven Crawford"/>
    <s v="Female"/>
    <x v="8"/>
    <n v="15"/>
    <n v="85"/>
    <n v="1"/>
    <x v="1"/>
    <x v="3"/>
    <x v="0"/>
  </r>
  <r>
    <n v="163"/>
    <s v="Leslie King"/>
    <s v="Female"/>
    <x v="3"/>
    <n v="17.630526315789474"/>
    <n v="85"/>
    <n v="1"/>
    <x v="0"/>
    <x v="5"/>
    <x v="0"/>
  </r>
  <r>
    <n v="164"/>
    <s v="George Cannon"/>
    <s v="Male"/>
    <x v="0"/>
    <n v="22"/>
    <n v="70"/>
    <n v="1"/>
    <x v="2"/>
    <x v="8"/>
    <x v="1"/>
  </r>
  <r>
    <n v="165"/>
    <s v="Adam Carlson"/>
    <s v="Female"/>
    <x v="0"/>
    <n v="22"/>
    <n v="88"/>
    <n v="3"/>
    <x v="0"/>
    <x v="6"/>
    <x v="1"/>
  </r>
  <r>
    <n v="166"/>
    <s v="Stephanie Lawrence"/>
    <s v="Female"/>
    <x v="1"/>
    <n v="12"/>
    <n v="70"/>
    <n v="2"/>
    <x v="2"/>
    <x v="8"/>
    <x v="1"/>
  </r>
  <r>
    <n v="167"/>
    <s v="Unknown"/>
    <s v="Female"/>
    <x v="9"/>
    <n v="15"/>
    <n v="88"/>
    <n v="2"/>
    <x v="1"/>
    <x v="3"/>
    <x v="1"/>
  </r>
  <r>
    <n v="168"/>
    <s v="Adam Blackwell"/>
    <s v="Male"/>
    <x v="0"/>
    <n v="30"/>
    <n v="70"/>
    <n v="1"/>
    <x v="2"/>
    <x v="2"/>
    <x v="0"/>
  </r>
  <r>
    <n v="169"/>
    <s v="Andrew Owens"/>
    <s v="Male"/>
    <x v="2"/>
    <n v="20"/>
    <n v="77"/>
    <n v="1"/>
    <x v="1"/>
    <x v="3"/>
    <x v="1"/>
  </r>
  <r>
    <n v="170"/>
    <s v="John Sexton"/>
    <s v="Female"/>
    <x v="7"/>
    <n v="8"/>
    <n v="70"/>
    <n v="1"/>
    <x v="1"/>
    <x v="0"/>
    <x v="0"/>
  </r>
  <r>
    <n v="171"/>
    <s v="Jasmine Williams"/>
    <s v="Male"/>
    <x v="5"/>
    <n v="18"/>
    <n v="85"/>
    <n v="1"/>
    <x v="1"/>
    <x v="6"/>
    <x v="0"/>
  </r>
  <r>
    <n v="172"/>
    <s v="Leon Nguyen"/>
    <s v="Female"/>
    <x v="0"/>
    <n v="30"/>
    <n v="70"/>
    <n v="2"/>
    <x v="0"/>
    <x v="6"/>
    <x v="1"/>
  </r>
  <r>
    <n v="173"/>
    <s v="John White"/>
    <s v="Female"/>
    <x v="5"/>
    <n v="20"/>
    <n v="85"/>
    <n v="1"/>
    <x v="2"/>
    <x v="4"/>
    <x v="0"/>
  </r>
  <r>
    <n v="174"/>
    <s v="Justin Martinez"/>
    <s v="Female"/>
    <x v="5"/>
    <n v="17"/>
    <n v="78"/>
    <n v="1"/>
    <x v="2"/>
    <x v="6"/>
    <x v="1"/>
  </r>
  <r>
    <n v="175"/>
    <s v="Nathaniel Kemp"/>
    <s v="Female"/>
    <x v="4"/>
    <n v="12"/>
    <n v="65"/>
    <n v="1"/>
    <x v="0"/>
    <x v="9"/>
    <x v="1"/>
  </r>
  <r>
    <n v="176"/>
    <s v="Jacob Murray"/>
    <s v="Male"/>
    <x v="3"/>
    <n v="30"/>
    <n v="88"/>
    <n v="0"/>
    <x v="2"/>
    <x v="0"/>
    <x v="0"/>
  </r>
  <r>
    <n v="177"/>
    <s v="Anthony Green"/>
    <s v="Female"/>
    <x v="0"/>
    <n v="20"/>
    <n v="86"/>
    <n v="0"/>
    <x v="2"/>
    <x v="10"/>
    <x v="0"/>
  </r>
  <r>
    <n v="178"/>
    <s v="Trevor Freeman"/>
    <s v="Male"/>
    <x v="0"/>
    <n v="17.630526315789474"/>
    <n v="77"/>
    <n v="2"/>
    <x v="1"/>
    <x v="8"/>
    <x v="0"/>
  </r>
  <r>
    <n v="179"/>
    <s v="Michael Smith"/>
    <s v="Male"/>
    <x v="8"/>
    <n v="18"/>
    <n v="77"/>
    <n v="3"/>
    <x v="0"/>
    <x v="2"/>
    <x v="1"/>
  </r>
  <r>
    <n v="180"/>
    <s v="William Hogan"/>
    <s v="Male"/>
    <x v="5"/>
    <n v="30"/>
    <n v="85"/>
    <n v="2"/>
    <x v="2"/>
    <x v="4"/>
    <x v="1"/>
  </r>
  <r>
    <n v="181"/>
    <s v="Unknown"/>
    <s v="Male"/>
    <x v="1"/>
    <n v="25"/>
    <n v="65"/>
    <n v="3"/>
    <x v="1"/>
    <x v="0"/>
    <x v="0"/>
  </r>
  <r>
    <n v="182"/>
    <s v="Unknown"/>
    <s v="Male"/>
    <x v="8"/>
    <n v="20"/>
    <n v="85"/>
    <n v="2"/>
    <x v="1"/>
    <x v="7"/>
    <x v="0"/>
  </r>
  <r>
    <n v="183"/>
    <s v="Joshua Juarez"/>
    <s v="Male"/>
    <x v="5"/>
    <n v="20"/>
    <n v="77"/>
    <n v="1"/>
    <x v="0"/>
    <x v="8"/>
    <x v="1"/>
  </r>
  <r>
    <n v="184"/>
    <s v="Keith Wu"/>
    <s v="Female"/>
    <x v="7"/>
    <n v="15"/>
    <n v="85"/>
    <n v="2"/>
    <x v="0"/>
    <x v="4"/>
    <x v="1"/>
  </r>
  <r>
    <n v="185"/>
    <s v="Ryan Williams"/>
    <s v="Female"/>
    <x v="1"/>
    <n v="18"/>
    <n v="90"/>
    <n v="1"/>
    <x v="0"/>
    <x v="2"/>
    <x v="1"/>
  </r>
  <r>
    <n v="186"/>
    <s v="Ronald Stewart"/>
    <s v="Male"/>
    <x v="8"/>
    <n v="22"/>
    <n v="65"/>
    <n v="0"/>
    <x v="2"/>
    <x v="9"/>
    <x v="0"/>
  </r>
  <r>
    <n v="187"/>
    <s v="Ronald Schmidt"/>
    <s v="Male"/>
    <x v="1"/>
    <n v="15"/>
    <n v="86"/>
    <n v="2"/>
    <x v="2"/>
    <x v="3"/>
    <x v="1"/>
  </r>
  <r>
    <n v="188"/>
    <s v="Courtney Bradley"/>
    <s v="Female"/>
    <x v="9"/>
    <n v="17"/>
    <n v="90"/>
    <n v="0"/>
    <x v="1"/>
    <x v="7"/>
    <x v="1"/>
  </r>
  <r>
    <n v="189"/>
    <s v="Deanna Gonzalez"/>
    <s v="Female"/>
    <x v="0"/>
    <n v="17"/>
    <n v="90"/>
    <n v="1"/>
    <x v="2"/>
    <x v="2"/>
    <x v="0"/>
  </r>
  <r>
    <n v="190"/>
    <s v="Darrell Adams"/>
    <s v="Female"/>
    <x v="2"/>
    <n v="30"/>
    <n v="70"/>
    <n v="2"/>
    <x v="0"/>
    <x v="10"/>
    <x v="0"/>
  </r>
  <r>
    <n v="191"/>
    <s v="Michael Mata"/>
    <s v="Male"/>
    <x v="2"/>
    <n v="20"/>
    <n v="78"/>
    <n v="2"/>
    <x v="1"/>
    <x v="9"/>
    <x v="1"/>
  </r>
  <r>
    <n v="192"/>
    <s v="Anthony Dunn"/>
    <s v="Male"/>
    <x v="2"/>
    <n v="17"/>
    <n v="77.598759048603924"/>
    <n v="1"/>
    <x v="1"/>
    <x v="4"/>
    <x v="0"/>
  </r>
  <r>
    <n v="193"/>
    <s v="Jonathan Hodges"/>
    <s v="Female"/>
    <x v="3"/>
    <n v="25"/>
    <n v="86"/>
    <n v="1"/>
    <x v="0"/>
    <x v="0"/>
    <x v="0"/>
  </r>
  <r>
    <n v="194"/>
    <s v="Jill Williams"/>
    <s v="Male"/>
    <x v="1"/>
    <n v="8"/>
    <n v="65"/>
    <n v="2"/>
    <x v="2"/>
    <x v="10"/>
    <x v="1"/>
  </r>
  <r>
    <n v="195"/>
    <s v="Julia Russell"/>
    <s v="Male"/>
    <x v="8"/>
    <n v="12"/>
    <n v="90"/>
    <n v="1"/>
    <x v="2"/>
    <x v="4"/>
    <x v="0"/>
  </r>
  <r>
    <n v="196"/>
    <s v="Shirley Jackson"/>
    <s v="Male"/>
    <x v="2"/>
    <n v="20"/>
    <n v="60"/>
    <n v="1"/>
    <x v="1"/>
    <x v="8"/>
    <x v="1"/>
  </r>
  <r>
    <n v="197"/>
    <s v="Tonya Thompson"/>
    <s v="Female"/>
    <x v="7"/>
    <n v="15"/>
    <n v="78"/>
    <n v="1"/>
    <x v="0"/>
    <x v="10"/>
    <x v="0"/>
  </r>
  <r>
    <n v="198"/>
    <s v="Brandon Williamson"/>
    <s v="Male"/>
    <x v="5"/>
    <n v="17.630526315789474"/>
    <n v="88"/>
    <n v="0"/>
    <x v="1"/>
    <x v="5"/>
    <x v="0"/>
  </r>
  <r>
    <n v="199"/>
    <s v="Joseph Davis"/>
    <s v="Female"/>
    <x v="8"/>
    <n v="18"/>
    <n v="77.598759048603924"/>
    <n v="1"/>
    <x v="1"/>
    <x v="10"/>
    <x v="0"/>
  </r>
  <r>
    <n v="200"/>
    <s v="Elizabeth Andersen"/>
    <s v="Female"/>
    <x v="9"/>
    <n v="22"/>
    <n v="86"/>
    <n v="3"/>
    <x v="2"/>
    <x v="0"/>
    <x v="0"/>
  </r>
  <r>
    <n v="201"/>
    <s v="Jeffrey Meyers"/>
    <s v="Unknown"/>
    <x v="0"/>
    <n v="22"/>
    <n v="85"/>
    <n v="3"/>
    <x v="0"/>
    <x v="7"/>
    <x v="0"/>
  </r>
  <r>
    <n v="202"/>
    <s v="Christopher Jones"/>
    <s v="Female"/>
    <x v="7"/>
    <n v="22"/>
    <n v="77"/>
    <n v="1"/>
    <x v="2"/>
    <x v="2"/>
    <x v="0"/>
  </r>
  <r>
    <n v="203"/>
    <s v="Aimee Rogers"/>
    <s v="Female"/>
    <x v="5"/>
    <n v="10"/>
    <n v="77"/>
    <n v="2"/>
    <x v="1"/>
    <x v="8"/>
    <x v="0"/>
  </r>
  <r>
    <n v="204"/>
    <s v="Alexis Bates"/>
    <s v="Male"/>
    <x v="3"/>
    <n v="18"/>
    <n v="70"/>
    <n v="2"/>
    <x v="0"/>
    <x v="4"/>
    <x v="1"/>
  </r>
  <r>
    <n v="205"/>
    <s v="Michael Evans"/>
    <s v="Female"/>
    <x v="0"/>
    <n v="30"/>
    <n v="70"/>
    <n v="2"/>
    <x v="1"/>
    <x v="1"/>
    <x v="0"/>
  </r>
  <r>
    <n v="206"/>
    <s v="Omar Gonzalez"/>
    <s v="Female"/>
    <x v="2"/>
    <n v="18"/>
    <n v="78"/>
    <n v="2"/>
    <x v="2"/>
    <x v="1"/>
    <x v="0"/>
  </r>
  <r>
    <n v="207"/>
    <s v="Melissa Perry"/>
    <s v="Male"/>
    <x v="3"/>
    <n v="12"/>
    <n v="82"/>
    <n v="2"/>
    <x v="2"/>
    <x v="4"/>
    <x v="1"/>
  </r>
  <r>
    <n v="208"/>
    <s v="Dawn Torres"/>
    <s v="Male"/>
    <x v="7"/>
    <n v="25"/>
    <n v="90"/>
    <n v="1"/>
    <x v="0"/>
    <x v="6"/>
    <x v="1"/>
  </r>
  <r>
    <n v="209"/>
    <s v="Timothy Dean"/>
    <s v="Male"/>
    <x v="7"/>
    <n v="17.630526315789474"/>
    <n v="60"/>
    <n v="1"/>
    <x v="1"/>
    <x v="3"/>
    <x v="0"/>
  </r>
  <r>
    <n v="210"/>
    <s v="Anna Rollins MD"/>
    <s v="Male"/>
    <x v="1"/>
    <n v="22"/>
    <n v="90"/>
    <n v="2"/>
    <x v="2"/>
    <x v="0"/>
    <x v="0"/>
  </r>
  <r>
    <n v="211"/>
    <s v="Timothy Barrera"/>
    <s v="Male"/>
    <x v="6"/>
    <n v="17"/>
    <n v="65"/>
    <n v="2"/>
    <x v="0"/>
    <x v="0"/>
    <x v="1"/>
  </r>
  <r>
    <n v="212"/>
    <s v="Susan Morris"/>
    <s v="Female"/>
    <x v="0"/>
    <n v="12"/>
    <n v="70"/>
    <n v="1"/>
    <x v="0"/>
    <x v="8"/>
    <x v="1"/>
  </r>
  <r>
    <n v="213"/>
    <s v="Gordon Merritt"/>
    <s v="Male"/>
    <x v="0"/>
    <n v="18"/>
    <n v="65"/>
    <n v="1"/>
    <x v="2"/>
    <x v="10"/>
    <x v="1"/>
  </r>
  <r>
    <n v="214"/>
    <s v="Kristy Rhodes"/>
    <s v="Female"/>
    <x v="6"/>
    <n v="12"/>
    <n v="88"/>
    <n v="2"/>
    <x v="1"/>
    <x v="1"/>
    <x v="0"/>
  </r>
  <r>
    <n v="215"/>
    <s v="Kristi Cross"/>
    <s v="Male"/>
    <x v="0"/>
    <n v="18"/>
    <n v="60"/>
    <n v="3"/>
    <x v="1"/>
    <x v="4"/>
    <x v="1"/>
  </r>
  <r>
    <n v="216"/>
    <s v="Ms. Marissa Ramirez"/>
    <s v="Female"/>
    <x v="3"/>
    <n v="15"/>
    <n v="85"/>
    <n v="1"/>
    <x v="0"/>
    <x v="2"/>
    <x v="0"/>
  </r>
  <r>
    <n v="217"/>
    <s v="Paul Hickman"/>
    <s v="Unknown"/>
    <x v="5"/>
    <n v="22"/>
    <n v="90"/>
    <n v="3"/>
    <x v="0"/>
    <x v="7"/>
    <x v="0"/>
  </r>
  <r>
    <n v="218"/>
    <s v="Mrs. Kathy Woodward"/>
    <s v="Female"/>
    <x v="7"/>
    <n v="25"/>
    <n v="90"/>
    <n v="3"/>
    <x v="0"/>
    <x v="8"/>
    <x v="0"/>
  </r>
  <r>
    <n v="219"/>
    <s v="Alexis Horn"/>
    <s v="Male"/>
    <x v="0"/>
    <n v="12"/>
    <n v="70"/>
    <n v="3"/>
    <x v="2"/>
    <x v="8"/>
    <x v="0"/>
  </r>
  <r>
    <n v="220"/>
    <s v="Shannon Harris DDS"/>
    <s v="Male"/>
    <x v="8"/>
    <n v="17"/>
    <n v="85"/>
    <n v="2"/>
    <x v="1"/>
    <x v="0"/>
    <x v="0"/>
  </r>
  <r>
    <n v="221"/>
    <s v="Alicia Ortiz"/>
    <s v="Male"/>
    <x v="7"/>
    <n v="17"/>
    <n v="82"/>
    <n v="1"/>
    <x v="1"/>
    <x v="4"/>
    <x v="1"/>
  </r>
  <r>
    <n v="222"/>
    <s v="Steven Wood"/>
    <s v="Male"/>
    <x v="6"/>
    <n v="30"/>
    <n v="85"/>
    <n v="2"/>
    <x v="0"/>
    <x v="5"/>
    <x v="1"/>
  </r>
  <r>
    <n v="223"/>
    <s v="Alexis Walton"/>
    <s v="Female"/>
    <x v="2"/>
    <n v="10"/>
    <n v="60"/>
    <n v="1"/>
    <x v="1"/>
    <x v="5"/>
    <x v="0"/>
  </r>
  <r>
    <n v="224"/>
    <s v="Martin Mcknight"/>
    <s v="Male"/>
    <x v="5"/>
    <n v="20"/>
    <n v="65"/>
    <n v="2"/>
    <x v="1"/>
    <x v="8"/>
    <x v="1"/>
  </r>
  <r>
    <n v="225"/>
    <s v="Gina Palmer"/>
    <s v="Female"/>
    <x v="0"/>
    <n v="12"/>
    <n v="60"/>
    <n v="2"/>
    <x v="1"/>
    <x v="3"/>
    <x v="1"/>
  </r>
  <r>
    <n v="226"/>
    <s v="Jean Moreno"/>
    <s v="Male"/>
    <x v="1"/>
    <n v="15"/>
    <n v="60"/>
    <n v="3"/>
    <x v="0"/>
    <x v="5"/>
    <x v="1"/>
  </r>
  <r>
    <n v="227"/>
    <s v="David Anderson"/>
    <s v="Male"/>
    <x v="3"/>
    <n v="15"/>
    <n v="60"/>
    <n v="1"/>
    <x v="0"/>
    <x v="8"/>
    <x v="1"/>
  </r>
  <r>
    <n v="228"/>
    <s v="Brian Huffman"/>
    <s v="Female"/>
    <x v="3"/>
    <n v="22"/>
    <n v="77.598759048603924"/>
    <n v="3"/>
    <x v="2"/>
    <x v="10"/>
    <x v="1"/>
  </r>
  <r>
    <n v="229"/>
    <s v="Jose Liu"/>
    <s v="Unknown"/>
    <x v="9"/>
    <n v="15"/>
    <n v="70"/>
    <n v="3"/>
    <x v="2"/>
    <x v="2"/>
    <x v="0"/>
  </r>
  <r>
    <n v="230"/>
    <s v="Cathy Pratt"/>
    <s v="Female"/>
    <x v="4"/>
    <n v="12"/>
    <n v="88"/>
    <n v="0"/>
    <x v="1"/>
    <x v="2"/>
    <x v="0"/>
  </r>
  <r>
    <n v="231"/>
    <s v="Kathy Sandoval"/>
    <s v="Male"/>
    <x v="9"/>
    <n v="10"/>
    <n v="77"/>
    <n v="1"/>
    <x v="2"/>
    <x v="6"/>
    <x v="1"/>
  </r>
  <r>
    <n v="232"/>
    <s v="Michael Webb"/>
    <s v="Male"/>
    <x v="9"/>
    <n v="25"/>
    <n v="88"/>
    <n v="2"/>
    <x v="1"/>
    <x v="10"/>
    <x v="1"/>
  </r>
  <r>
    <n v="233"/>
    <s v="Ronnie Taylor"/>
    <s v="Female"/>
    <x v="6"/>
    <n v="22"/>
    <n v="86"/>
    <n v="1"/>
    <x v="0"/>
    <x v="3"/>
    <x v="1"/>
  </r>
  <r>
    <n v="234"/>
    <s v="Matthew Miller"/>
    <s v="Male"/>
    <x v="5"/>
    <n v="18"/>
    <n v="78"/>
    <n v="3"/>
    <x v="0"/>
    <x v="1"/>
    <x v="0"/>
  </r>
  <r>
    <n v="235"/>
    <s v="Shelly Hurley"/>
    <s v="Male"/>
    <x v="6"/>
    <n v="25"/>
    <n v="70"/>
    <n v="1"/>
    <x v="1"/>
    <x v="6"/>
    <x v="0"/>
  </r>
  <r>
    <n v="236"/>
    <s v="Mr. Martin Dominguez MD"/>
    <s v="Female"/>
    <x v="5"/>
    <n v="12"/>
    <n v="77"/>
    <n v="1"/>
    <x v="0"/>
    <x v="7"/>
    <x v="1"/>
  </r>
  <r>
    <n v="237"/>
    <s v="Jennifer Wiggins"/>
    <s v="Female"/>
    <x v="6"/>
    <n v="17.630526315789474"/>
    <n v="86"/>
    <n v="3"/>
    <x v="2"/>
    <x v="2"/>
    <x v="0"/>
  </r>
  <r>
    <n v="238"/>
    <s v="Anthony Smith"/>
    <s v="Male"/>
    <x v="3"/>
    <n v="30"/>
    <n v="90"/>
    <n v="0"/>
    <x v="2"/>
    <x v="3"/>
    <x v="0"/>
  </r>
  <r>
    <n v="239"/>
    <s v="John Lopez"/>
    <s v="Female"/>
    <x v="0"/>
    <n v="17"/>
    <n v="65"/>
    <n v="1"/>
    <x v="0"/>
    <x v="2"/>
    <x v="1"/>
  </r>
  <r>
    <n v="240"/>
    <s v="Nathan Rodgers"/>
    <s v="Male"/>
    <x v="7"/>
    <n v="15"/>
    <n v="85"/>
    <n v="1"/>
    <x v="0"/>
    <x v="6"/>
    <x v="1"/>
  </r>
  <r>
    <n v="241"/>
    <s v="Martin Walker"/>
    <s v="Male"/>
    <x v="0"/>
    <n v="25"/>
    <n v="70"/>
    <n v="1"/>
    <x v="1"/>
    <x v="0"/>
    <x v="0"/>
  </r>
  <r>
    <n v="242"/>
    <s v="Jesus Wood"/>
    <s v="Male"/>
    <x v="0"/>
    <n v="12"/>
    <n v="70"/>
    <n v="0"/>
    <x v="0"/>
    <x v="0"/>
    <x v="0"/>
  </r>
  <r>
    <n v="243"/>
    <s v="Kelly Bell"/>
    <s v="Female"/>
    <x v="2"/>
    <n v="20"/>
    <n v="85"/>
    <n v="2"/>
    <x v="0"/>
    <x v="3"/>
    <x v="0"/>
  </r>
  <r>
    <n v="244"/>
    <s v="Kathryn Randall"/>
    <s v="Female"/>
    <x v="6"/>
    <n v="20"/>
    <n v="88"/>
    <n v="0"/>
    <x v="1"/>
    <x v="9"/>
    <x v="1"/>
  </r>
  <r>
    <n v="245"/>
    <s v="Sarah Norris"/>
    <s v="Male"/>
    <x v="0"/>
    <n v="20"/>
    <n v="60"/>
    <n v="0"/>
    <x v="1"/>
    <x v="8"/>
    <x v="1"/>
  </r>
  <r>
    <n v="246"/>
    <s v="Matthew Adams"/>
    <s v="Male"/>
    <x v="0"/>
    <n v="8"/>
    <n v="77.598759048603924"/>
    <n v="3"/>
    <x v="0"/>
    <x v="8"/>
    <x v="1"/>
  </r>
  <r>
    <n v="247"/>
    <s v="William Wade"/>
    <s v="Female"/>
    <x v="0"/>
    <n v="20"/>
    <n v="82"/>
    <n v="2"/>
    <x v="2"/>
    <x v="0"/>
    <x v="1"/>
  </r>
  <r>
    <n v="248"/>
    <s v="Brian Castro"/>
    <s v="Male"/>
    <x v="4"/>
    <n v="17.630526315789474"/>
    <n v="82"/>
    <n v="0"/>
    <x v="2"/>
    <x v="3"/>
    <x v="0"/>
  </r>
  <r>
    <n v="249"/>
    <s v="Teresa Sanders"/>
    <s v="Male"/>
    <x v="1"/>
    <n v="12"/>
    <n v="88"/>
    <n v="1"/>
    <x v="0"/>
    <x v="6"/>
    <x v="0"/>
  </r>
  <r>
    <n v="250"/>
    <s v="Richard Oneal"/>
    <s v="Female"/>
    <x v="0"/>
    <n v="18"/>
    <n v="77"/>
    <n v="1"/>
    <x v="0"/>
    <x v="10"/>
    <x v="0"/>
  </r>
  <r>
    <n v="251"/>
    <s v="Christine Cooper"/>
    <s v="Female"/>
    <x v="1"/>
    <n v="22"/>
    <n v="82"/>
    <n v="3"/>
    <x v="2"/>
    <x v="1"/>
    <x v="0"/>
  </r>
  <r>
    <n v="252"/>
    <s v="Michael Foster"/>
    <s v="Female"/>
    <x v="5"/>
    <n v="30"/>
    <n v="77.598759048603924"/>
    <n v="2"/>
    <x v="0"/>
    <x v="4"/>
    <x v="0"/>
  </r>
  <r>
    <n v="253"/>
    <s v="Loretta Gonzalez"/>
    <s v="Male"/>
    <x v="1"/>
    <n v="10"/>
    <n v="60"/>
    <n v="1"/>
    <x v="2"/>
    <x v="8"/>
    <x v="1"/>
  </r>
  <r>
    <n v="254"/>
    <s v="Douglas Ingram"/>
    <s v="Female"/>
    <x v="7"/>
    <n v="20"/>
    <n v="86"/>
    <n v="3"/>
    <x v="1"/>
    <x v="6"/>
    <x v="0"/>
  </r>
  <r>
    <n v="255"/>
    <s v="Randy Anderson"/>
    <s v="Male"/>
    <x v="8"/>
    <n v="12"/>
    <n v="65"/>
    <n v="0"/>
    <x v="0"/>
    <x v="2"/>
    <x v="0"/>
  </r>
  <r>
    <n v="256"/>
    <s v="Donna Shaw"/>
    <s v="Male"/>
    <x v="2"/>
    <n v="8"/>
    <n v="82"/>
    <n v="0"/>
    <x v="1"/>
    <x v="7"/>
    <x v="0"/>
  </r>
  <r>
    <n v="257"/>
    <s v="Joseph Holt"/>
    <s v="Female"/>
    <x v="8"/>
    <n v="22"/>
    <n v="90"/>
    <n v="1"/>
    <x v="0"/>
    <x v="2"/>
    <x v="0"/>
  </r>
  <r>
    <n v="258"/>
    <s v="Taylor Acosta"/>
    <s v="Female"/>
    <x v="0"/>
    <n v="30"/>
    <n v="60"/>
    <n v="3"/>
    <x v="0"/>
    <x v="4"/>
    <x v="1"/>
  </r>
  <r>
    <n v="259"/>
    <s v="Danielle Scott"/>
    <s v="Female"/>
    <x v="2"/>
    <n v="8"/>
    <n v="88"/>
    <n v="2"/>
    <x v="2"/>
    <x v="7"/>
    <x v="1"/>
  </r>
  <r>
    <n v="260"/>
    <s v="Melissa Aguirre"/>
    <s v="Female"/>
    <x v="9"/>
    <n v="8"/>
    <n v="88"/>
    <n v="2"/>
    <x v="2"/>
    <x v="3"/>
    <x v="1"/>
  </r>
  <r>
    <n v="261"/>
    <s v="Cassandra Snyder"/>
    <s v="Female"/>
    <x v="3"/>
    <n v="17"/>
    <n v="82"/>
    <n v="2"/>
    <x v="1"/>
    <x v="5"/>
    <x v="1"/>
  </r>
  <r>
    <n v="262"/>
    <s v="Kimberly Lambert"/>
    <s v="Male"/>
    <x v="6"/>
    <n v="8"/>
    <n v="85"/>
    <n v="1"/>
    <x v="2"/>
    <x v="7"/>
    <x v="0"/>
  </r>
  <r>
    <n v="263"/>
    <s v="Rebecca Mendoza DDS"/>
    <s v="Male"/>
    <x v="5"/>
    <n v="12"/>
    <n v="86"/>
    <n v="2"/>
    <x v="0"/>
    <x v="3"/>
    <x v="1"/>
  </r>
  <r>
    <n v="264"/>
    <s v="Michael Anderson"/>
    <s v="Female"/>
    <x v="5"/>
    <n v="8"/>
    <n v="85"/>
    <n v="1"/>
    <x v="0"/>
    <x v="4"/>
    <x v="1"/>
  </r>
  <r>
    <n v="265"/>
    <s v="Hannah Gentry"/>
    <s v="Female"/>
    <x v="6"/>
    <n v="17"/>
    <n v="86"/>
    <n v="2"/>
    <x v="0"/>
    <x v="10"/>
    <x v="1"/>
  </r>
  <r>
    <n v="266"/>
    <s v="Patrick Reed"/>
    <s v="Female"/>
    <x v="1"/>
    <n v="20"/>
    <n v="65"/>
    <n v="1"/>
    <x v="1"/>
    <x v="10"/>
    <x v="0"/>
  </r>
  <r>
    <n v="267"/>
    <s v="Tiffany Huff"/>
    <s v="Female"/>
    <x v="1"/>
    <n v="17.630526315789474"/>
    <n v="77"/>
    <n v="1"/>
    <x v="0"/>
    <x v="4"/>
    <x v="1"/>
  </r>
  <r>
    <n v="268"/>
    <s v="Thomas Lee"/>
    <s v="Female"/>
    <x v="1"/>
    <n v="10"/>
    <n v="90"/>
    <n v="2"/>
    <x v="0"/>
    <x v="8"/>
    <x v="0"/>
  </r>
  <r>
    <n v="269"/>
    <s v="Justin Clark"/>
    <s v="Male"/>
    <x v="6"/>
    <n v="10"/>
    <n v="65"/>
    <n v="1"/>
    <x v="1"/>
    <x v="0"/>
    <x v="0"/>
  </r>
  <r>
    <n v="270"/>
    <s v="Michael Martinez"/>
    <s v="Female"/>
    <x v="0"/>
    <n v="25"/>
    <n v="90"/>
    <n v="2"/>
    <x v="2"/>
    <x v="1"/>
    <x v="1"/>
  </r>
  <r>
    <n v="271"/>
    <s v="Vincent Smith"/>
    <s v="Female"/>
    <x v="4"/>
    <n v="17"/>
    <n v="85"/>
    <n v="2"/>
    <x v="2"/>
    <x v="7"/>
    <x v="0"/>
  </r>
  <r>
    <n v="272"/>
    <s v="Sean Hull"/>
    <s v="Female"/>
    <x v="8"/>
    <n v="20"/>
    <n v="88"/>
    <n v="1"/>
    <x v="1"/>
    <x v="9"/>
    <x v="0"/>
  </r>
  <r>
    <n v="273"/>
    <s v="Sarah Welch"/>
    <s v="Male"/>
    <x v="5"/>
    <n v="20"/>
    <n v="90"/>
    <n v="2"/>
    <x v="0"/>
    <x v="2"/>
    <x v="0"/>
  </r>
  <r>
    <n v="274"/>
    <s v="Mr. Stephen Gilmore"/>
    <s v="Male"/>
    <x v="8"/>
    <n v="8"/>
    <n v="60"/>
    <n v="0"/>
    <x v="1"/>
    <x v="8"/>
    <x v="1"/>
  </r>
  <r>
    <n v="275"/>
    <s v="Barry Parker"/>
    <s v="Female"/>
    <x v="4"/>
    <n v="10"/>
    <n v="65"/>
    <n v="1"/>
    <x v="1"/>
    <x v="9"/>
    <x v="1"/>
  </r>
  <r>
    <n v="276"/>
    <s v="Joshua Kane"/>
    <s v="Male"/>
    <x v="3"/>
    <n v="8"/>
    <n v="70"/>
    <n v="2"/>
    <x v="2"/>
    <x v="7"/>
    <x v="0"/>
  </r>
  <r>
    <n v="277"/>
    <s v="Anthony Wright"/>
    <s v="Female"/>
    <x v="2"/>
    <n v="20"/>
    <n v="86"/>
    <n v="1"/>
    <x v="0"/>
    <x v="4"/>
    <x v="0"/>
  </r>
  <r>
    <n v="278"/>
    <s v="Nathaniel Lopez"/>
    <s v="Female"/>
    <x v="8"/>
    <n v="17"/>
    <n v="70"/>
    <n v="2"/>
    <x v="0"/>
    <x v="9"/>
    <x v="0"/>
  </r>
  <r>
    <n v="279"/>
    <s v="Darlene Fletcher"/>
    <s v="Male"/>
    <x v="0"/>
    <n v="12"/>
    <n v="90"/>
    <n v="0"/>
    <x v="0"/>
    <x v="3"/>
    <x v="0"/>
  </r>
  <r>
    <n v="280"/>
    <s v="Christopher Moore"/>
    <s v="Female"/>
    <x v="1"/>
    <n v="17"/>
    <n v="85"/>
    <n v="3"/>
    <x v="0"/>
    <x v="9"/>
    <x v="0"/>
  </r>
  <r>
    <n v="281"/>
    <s v="Benjamin White"/>
    <s v="Male"/>
    <x v="3"/>
    <n v="25"/>
    <n v="78"/>
    <n v="3"/>
    <x v="1"/>
    <x v="8"/>
    <x v="1"/>
  </r>
  <r>
    <n v="282"/>
    <s v="Jenny Coleman"/>
    <s v="Female"/>
    <x v="9"/>
    <n v="22"/>
    <n v="82"/>
    <n v="1"/>
    <x v="2"/>
    <x v="1"/>
    <x v="0"/>
  </r>
  <r>
    <n v="283"/>
    <s v="Michael Gomez"/>
    <s v="Female"/>
    <x v="2"/>
    <n v="10"/>
    <n v="90"/>
    <n v="0"/>
    <x v="2"/>
    <x v="10"/>
    <x v="0"/>
  </r>
  <r>
    <n v="284"/>
    <s v="Caleb Serrano"/>
    <s v="Male"/>
    <x v="8"/>
    <n v="18"/>
    <n v="60"/>
    <n v="0"/>
    <x v="1"/>
    <x v="1"/>
    <x v="1"/>
  </r>
  <r>
    <n v="285"/>
    <s v="William Carlson"/>
    <s v="Female"/>
    <x v="5"/>
    <n v="17"/>
    <n v="77"/>
    <n v="1"/>
    <x v="2"/>
    <x v="0"/>
    <x v="1"/>
  </r>
  <r>
    <n v="286"/>
    <s v="Timothy Pruitt"/>
    <s v="Female"/>
    <x v="1"/>
    <n v="12"/>
    <n v="60"/>
    <n v="3"/>
    <x v="1"/>
    <x v="3"/>
    <x v="0"/>
  </r>
  <r>
    <n v="287"/>
    <s v="Mario Johnston"/>
    <s v="Male"/>
    <x v="8"/>
    <n v="17"/>
    <n v="88"/>
    <n v="1"/>
    <x v="0"/>
    <x v="1"/>
    <x v="1"/>
  </r>
  <r>
    <n v="288"/>
    <s v="Rebecca Kim"/>
    <s v="Male"/>
    <x v="0"/>
    <n v="17"/>
    <n v="78"/>
    <n v="0"/>
    <x v="0"/>
    <x v="2"/>
    <x v="1"/>
  </r>
  <r>
    <n v="289"/>
    <s v="Joyce Williams"/>
    <s v="Male"/>
    <x v="5"/>
    <n v="18"/>
    <n v="85"/>
    <n v="1"/>
    <x v="2"/>
    <x v="2"/>
    <x v="0"/>
  </r>
  <r>
    <n v="290"/>
    <s v="Cynthia Sloan"/>
    <s v="Female"/>
    <x v="1"/>
    <n v="20"/>
    <n v="78"/>
    <n v="1"/>
    <x v="1"/>
    <x v="1"/>
    <x v="0"/>
  </r>
  <r>
    <n v="291"/>
    <s v="Unknown"/>
    <s v="Male"/>
    <x v="4"/>
    <n v="20"/>
    <n v="60"/>
    <n v="0"/>
    <x v="1"/>
    <x v="1"/>
    <x v="1"/>
  </r>
  <r>
    <n v="292"/>
    <s v="Unknown"/>
    <s v="Female"/>
    <x v="5"/>
    <n v="18"/>
    <n v="65"/>
    <n v="0"/>
    <x v="0"/>
    <x v="2"/>
    <x v="1"/>
  </r>
  <r>
    <n v="293"/>
    <s v="Patricia Williams"/>
    <s v="Female"/>
    <x v="5"/>
    <n v="25"/>
    <n v="65"/>
    <n v="0"/>
    <x v="2"/>
    <x v="7"/>
    <x v="1"/>
  </r>
  <r>
    <n v="294"/>
    <s v="Michael Payne"/>
    <s v="Male"/>
    <x v="8"/>
    <n v="8"/>
    <n v="88"/>
    <n v="0"/>
    <x v="1"/>
    <x v="2"/>
    <x v="1"/>
  </r>
  <r>
    <n v="295"/>
    <s v="Brooke Friedman"/>
    <s v="Female"/>
    <x v="0"/>
    <n v="18"/>
    <n v="90"/>
    <n v="2"/>
    <x v="2"/>
    <x v="8"/>
    <x v="0"/>
  </r>
  <r>
    <n v="296"/>
    <s v="Daniel Mathis"/>
    <s v="Male"/>
    <x v="0"/>
    <n v="8"/>
    <n v="85"/>
    <n v="3"/>
    <x v="1"/>
    <x v="9"/>
    <x v="0"/>
  </r>
  <r>
    <n v="297"/>
    <s v="Lynn Jennings"/>
    <s v="Unknown"/>
    <x v="6"/>
    <n v="22"/>
    <n v="60"/>
    <n v="1"/>
    <x v="2"/>
    <x v="2"/>
    <x v="1"/>
  </r>
  <r>
    <n v="298"/>
    <s v="Kimberly Randolph"/>
    <s v="Male"/>
    <x v="0"/>
    <n v="18"/>
    <n v="90"/>
    <n v="1"/>
    <x v="0"/>
    <x v="6"/>
    <x v="0"/>
  </r>
  <r>
    <n v="299"/>
    <s v="Jack Simmons"/>
    <s v="Female"/>
    <x v="1"/>
    <n v="12"/>
    <n v="70"/>
    <n v="3"/>
    <x v="0"/>
    <x v="4"/>
    <x v="1"/>
  </r>
  <r>
    <n v="300"/>
    <s v="Daniel Mendez"/>
    <s v="Female"/>
    <x v="6"/>
    <n v="22"/>
    <n v="85"/>
    <n v="2"/>
    <x v="2"/>
    <x v="6"/>
    <x v="1"/>
  </r>
  <r>
    <n v="301"/>
    <s v="Travis Lawson"/>
    <s v="Male"/>
    <x v="6"/>
    <n v="20"/>
    <n v="77"/>
    <n v="3"/>
    <x v="2"/>
    <x v="0"/>
    <x v="1"/>
  </r>
  <r>
    <n v="302"/>
    <s v="Jason Horne DDS"/>
    <s v="Male"/>
    <x v="2"/>
    <n v="15"/>
    <n v="65"/>
    <n v="1"/>
    <x v="1"/>
    <x v="8"/>
    <x v="0"/>
  </r>
  <r>
    <n v="303"/>
    <s v="Shawn Galloway"/>
    <s v="Female"/>
    <x v="2"/>
    <n v="18"/>
    <n v="85"/>
    <n v="1"/>
    <x v="1"/>
    <x v="6"/>
    <x v="0"/>
  </r>
  <r>
    <n v="304"/>
    <s v="Thomas Barnes"/>
    <s v="Female"/>
    <x v="0"/>
    <n v="12"/>
    <n v="88"/>
    <n v="1"/>
    <x v="1"/>
    <x v="9"/>
    <x v="0"/>
  </r>
  <r>
    <n v="305"/>
    <s v="Elizabeth Curry"/>
    <s v="Male"/>
    <x v="3"/>
    <n v="12"/>
    <n v="77.598759048603924"/>
    <n v="1"/>
    <x v="0"/>
    <x v="3"/>
    <x v="0"/>
  </r>
  <r>
    <n v="306"/>
    <s v="Nicole Cunningham"/>
    <s v="Male"/>
    <x v="0"/>
    <n v="12"/>
    <n v="60"/>
    <n v="3"/>
    <x v="0"/>
    <x v="3"/>
    <x v="0"/>
  </r>
  <r>
    <n v="307"/>
    <s v="Patrick Thompson"/>
    <s v="Male"/>
    <x v="8"/>
    <n v="30"/>
    <n v="85"/>
    <n v="2"/>
    <x v="2"/>
    <x v="0"/>
    <x v="1"/>
  </r>
  <r>
    <n v="308"/>
    <s v="Marissa Stewart"/>
    <s v="Male"/>
    <x v="0"/>
    <n v="18"/>
    <n v="82"/>
    <n v="1"/>
    <x v="0"/>
    <x v="8"/>
    <x v="1"/>
  </r>
  <r>
    <n v="309"/>
    <s v="Melissa Wilson"/>
    <s v="Female"/>
    <x v="8"/>
    <n v="25"/>
    <n v="77"/>
    <n v="1"/>
    <x v="2"/>
    <x v="7"/>
    <x v="1"/>
  </r>
  <r>
    <n v="310"/>
    <s v="Jaime Glenn"/>
    <s v="Male"/>
    <x v="2"/>
    <n v="15"/>
    <n v="60"/>
    <n v="1"/>
    <x v="0"/>
    <x v="8"/>
    <x v="1"/>
  </r>
  <r>
    <n v="311"/>
    <s v="Mark Castillo"/>
    <s v="Male"/>
    <x v="6"/>
    <n v="18"/>
    <n v="85"/>
    <n v="3"/>
    <x v="2"/>
    <x v="3"/>
    <x v="1"/>
  </r>
  <r>
    <n v="312"/>
    <s v="Mr. Kent Stanton"/>
    <s v="Male"/>
    <x v="0"/>
    <n v="25"/>
    <n v="70"/>
    <n v="0"/>
    <x v="2"/>
    <x v="10"/>
    <x v="1"/>
  </r>
  <r>
    <n v="313"/>
    <s v="Tyrone Phillips"/>
    <s v="Male"/>
    <x v="6"/>
    <n v="20"/>
    <n v="86"/>
    <n v="3"/>
    <x v="0"/>
    <x v="6"/>
    <x v="1"/>
  </r>
  <r>
    <n v="314"/>
    <s v="Christopher Collins"/>
    <s v="Female"/>
    <x v="5"/>
    <n v="8"/>
    <n v="88"/>
    <n v="1"/>
    <x v="1"/>
    <x v="4"/>
    <x v="1"/>
  </r>
  <r>
    <n v="315"/>
    <s v="David Rowe"/>
    <s v="Male"/>
    <x v="4"/>
    <n v="10"/>
    <n v="77"/>
    <n v="1"/>
    <x v="1"/>
    <x v="6"/>
    <x v="1"/>
  </r>
  <r>
    <n v="316"/>
    <s v="Christopher Mccullough"/>
    <s v="Female"/>
    <x v="0"/>
    <n v="18"/>
    <n v="85"/>
    <n v="2"/>
    <x v="0"/>
    <x v="4"/>
    <x v="1"/>
  </r>
  <r>
    <n v="317"/>
    <s v="Carla Rodriguez"/>
    <s v="Female"/>
    <x v="2"/>
    <n v="20"/>
    <n v="90"/>
    <n v="1"/>
    <x v="1"/>
    <x v="8"/>
    <x v="0"/>
  </r>
  <r>
    <n v="318"/>
    <s v="Makayla Howard"/>
    <s v="Male"/>
    <x v="6"/>
    <n v="17"/>
    <n v="70"/>
    <n v="2"/>
    <x v="0"/>
    <x v="1"/>
    <x v="1"/>
  </r>
  <r>
    <n v="319"/>
    <s v="Barbara White"/>
    <s v="Male"/>
    <x v="0"/>
    <n v="25"/>
    <n v="65"/>
    <n v="3"/>
    <x v="1"/>
    <x v="10"/>
    <x v="1"/>
  </r>
  <r>
    <n v="320"/>
    <s v="Sarah Davis"/>
    <s v="Male"/>
    <x v="0"/>
    <n v="20"/>
    <n v="90"/>
    <n v="1"/>
    <x v="0"/>
    <x v="1"/>
    <x v="1"/>
  </r>
  <r>
    <n v="321"/>
    <s v="Cody Donovan"/>
    <s v="Female"/>
    <x v="0"/>
    <n v="10"/>
    <n v="86"/>
    <n v="0"/>
    <x v="2"/>
    <x v="6"/>
    <x v="0"/>
  </r>
  <r>
    <n v="322"/>
    <s v="Jessica Jenkins"/>
    <s v="Female"/>
    <x v="3"/>
    <n v="10"/>
    <n v="82"/>
    <n v="2"/>
    <x v="0"/>
    <x v="2"/>
    <x v="1"/>
  </r>
  <r>
    <n v="323"/>
    <s v="Benjamin Alexander"/>
    <s v="Female"/>
    <x v="6"/>
    <n v="12"/>
    <n v="77"/>
    <n v="1"/>
    <x v="0"/>
    <x v="4"/>
    <x v="1"/>
  </r>
  <r>
    <n v="324"/>
    <s v="Isaac Lopez"/>
    <s v="Male"/>
    <x v="7"/>
    <n v="15"/>
    <n v="60"/>
    <n v="1"/>
    <x v="1"/>
    <x v="8"/>
    <x v="0"/>
  </r>
  <r>
    <n v="325"/>
    <s v="Ariana Morse"/>
    <s v="Female"/>
    <x v="2"/>
    <n v="15"/>
    <n v="88"/>
    <n v="3"/>
    <x v="0"/>
    <x v="0"/>
    <x v="0"/>
  </r>
  <r>
    <n v="326"/>
    <s v="Brian Avery"/>
    <s v="Female"/>
    <x v="4"/>
    <n v="17.630526315789474"/>
    <n v="86"/>
    <n v="3"/>
    <x v="0"/>
    <x v="1"/>
    <x v="0"/>
  </r>
  <r>
    <n v="327"/>
    <s v="Amy Lawson"/>
    <s v="Male"/>
    <x v="3"/>
    <n v="22"/>
    <n v="60"/>
    <n v="1"/>
    <x v="0"/>
    <x v="2"/>
    <x v="0"/>
  </r>
  <r>
    <n v="328"/>
    <s v="Derek Choi"/>
    <s v="Female"/>
    <x v="8"/>
    <n v="22"/>
    <n v="65"/>
    <n v="3"/>
    <x v="0"/>
    <x v="7"/>
    <x v="0"/>
  </r>
  <r>
    <n v="329"/>
    <s v="Paul Reese"/>
    <s v="Male"/>
    <x v="0"/>
    <n v="25"/>
    <n v="86"/>
    <n v="3"/>
    <x v="0"/>
    <x v="8"/>
    <x v="1"/>
  </r>
  <r>
    <n v="330"/>
    <s v="Francisco Chang"/>
    <s v="Female"/>
    <x v="2"/>
    <n v="30"/>
    <n v="78"/>
    <n v="1"/>
    <x v="0"/>
    <x v="9"/>
    <x v="1"/>
  </r>
  <r>
    <n v="331"/>
    <s v="Christian Knight"/>
    <s v="Female"/>
    <x v="1"/>
    <n v="17.630526315789474"/>
    <n v="60"/>
    <n v="3"/>
    <x v="0"/>
    <x v="10"/>
    <x v="1"/>
  </r>
  <r>
    <n v="332"/>
    <s v="Andrew Wilkerson"/>
    <s v="Female"/>
    <x v="5"/>
    <n v="10"/>
    <n v="70"/>
    <n v="3"/>
    <x v="1"/>
    <x v="3"/>
    <x v="0"/>
  </r>
  <r>
    <n v="333"/>
    <s v="Brandon Alvarez"/>
    <s v="Female"/>
    <x v="2"/>
    <n v="10"/>
    <n v="78"/>
    <n v="3"/>
    <x v="1"/>
    <x v="9"/>
    <x v="0"/>
  </r>
  <r>
    <n v="334"/>
    <s v="Gary Young"/>
    <s v="Male"/>
    <x v="0"/>
    <n v="10"/>
    <n v="88"/>
    <n v="2"/>
    <x v="0"/>
    <x v="10"/>
    <x v="1"/>
  </r>
  <r>
    <n v="335"/>
    <s v="Jessica Wright"/>
    <s v="Female"/>
    <x v="0"/>
    <n v="18"/>
    <n v="90"/>
    <n v="3"/>
    <x v="2"/>
    <x v="1"/>
    <x v="1"/>
  </r>
  <r>
    <n v="336"/>
    <s v="Timothy Clements"/>
    <s v="Male"/>
    <x v="6"/>
    <n v="17"/>
    <n v="60"/>
    <n v="0"/>
    <x v="1"/>
    <x v="5"/>
    <x v="0"/>
  </r>
  <r>
    <n v="337"/>
    <s v="Alexander Gordon DDS"/>
    <s v="Female"/>
    <x v="8"/>
    <n v="25"/>
    <n v="65"/>
    <n v="1"/>
    <x v="0"/>
    <x v="0"/>
    <x v="0"/>
  </r>
  <r>
    <n v="338"/>
    <s v="James Martinez"/>
    <s v="Male"/>
    <x v="5"/>
    <n v="10"/>
    <n v="60"/>
    <n v="0"/>
    <x v="2"/>
    <x v="1"/>
    <x v="0"/>
  </r>
  <r>
    <n v="339"/>
    <s v="Francisco Williams"/>
    <s v="Male"/>
    <x v="6"/>
    <n v="10"/>
    <n v="86"/>
    <n v="0"/>
    <x v="0"/>
    <x v="0"/>
    <x v="1"/>
  </r>
  <r>
    <n v="340"/>
    <s v="Jordan Brooks"/>
    <s v="Female"/>
    <x v="9"/>
    <n v="18"/>
    <n v="90"/>
    <n v="2"/>
    <x v="0"/>
    <x v="6"/>
    <x v="1"/>
  </r>
  <r>
    <n v="341"/>
    <s v="Kurt Boyd"/>
    <s v="Female"/>
    <x v="0"/>
    <n v="8"/>
    <n v="85"/>
    <n v="2"/>
    <x v="2"/>
    <x v="9"/>
    <x v="1"/>
  </r>
  <r>
    <n v="342"/>
    <s v="Bryan Salazar"/>
    <s v="Male"/>
    <x v="9"/>
    <n v="20"/>
    <n v="77"/>
    <n v="2"/>
    <x v="1"/>
    <x v="6"/>
    <x v="0"/>
  </r>
  <r>
    <n v="343"/>
    <s v="Mrs. Heather Roy"/>
    <s v="Female"/>
    <x v="2"/>
    <n v="30"/>
    <n v="60"/>
    <n v="1"/>
    <x v="0"/>
    <x v="7"/>
    <x v="0"/>
  </r>
  <r>
    <n v="344"/>
    <s v="Unknown"/>
    <s v="Male"/>
    <x v="4"/>
    <n v="22"/>
    <n v="78"/>
    <n v="0"/>
    <x v="2"/>
    <x v="1"/>
    <x v="0"/>
  </r>
  <r>
    <n v="345"/>
    <s v="Kathleen Newton"/>
    <s v="Male"/>
    <x v="6"/>
    <n v="12"/>
    <n v="60"/>
    <n v="2"/>
    <x v="2"/>
    <x v="7"/>
    <x v="0"/>
  </r>
  <r>
    <n v="346"/>
    <s v="Julian Fox"/>
    <s v="Male"/>
    <x v="6"/>
    <n v="15"/>
    <n v="70"/>
    <n v="3"/>
    <x v="2"/>
    <x v="9"/>
    <x v="1"/>
  </r>
  <r>
    <n v="347"/>
    <s v="Kylie Hancock"/>
    <s v="Female"/>
    <x v="2"/>
    <n v="10"/>
    <n v="90"/>
    <n v="3"/>
    <x v="0"/>
    <x v="0"/>
    <x v="0"/>
  </r>
  <r>
    <n v="348"/>
    <s v="Matthew Werner"/>
    <s v="Male"/>
    <x v="8"/>
    <n v="18"/>
    <n v="88"/>
    <n v="2"/>
    <x v="0"/>
    <x v="6"/>
    <x v="0"/>
  </r>
  <r>
    <n v="349"/>
    <s v="Kelsey Bush"/>
    <s v="Female"/>
    <x v="0"/>
    <n v="22"/>
    <n v="86"/>
    <n v="2"/>
    <x v="1"/>
    <x v="1"/>
    <x v="1"/>
  </r>
  <r>
    <n v="350"/>
    <s v="Brandon Dickerson"/>
    <s v="Male"/>
    <x v="9"/>
    <n v="12"/>
    <n v="88"/>
    <n v="0"/>
    <x v="1"/>
    <x v="6"/>
    <x v="0"/>
  </r>
  <r>
    <n v="351"/>
    <s v="Jamie Allen"/>
    <s v="Male"/>
    <x v="9"/>
    <n v="8"/>
    <n v="65"/>
    <n v="3"/>
    <x v="2"/>
    <x v="6"/>
    <x v="1"/>
  </r>
  <r>
    <n v="352"/>
    <s v="Taylor Smith"/>
    <s v="Female"/>
    <x v="9"/>
    <n v="30"/>
    <n v="78"/>
    <n v="1"/>
    <x v="1"/>
    <x v="5"/>
    <x v="1"/>
  </r>
  <r>
    <n v="353"/>
    <s v="Elizabeth Chavez"/>
    <s v="Male"/>
    <x v="9"/>
    <n v="17"/>
    <n v="88"/>
    <n v="2"/>
    <x v="2"/>
    <x v="6"/>
    <x v="1"/>
  </r>
  <r>
    <n v="354"/>
    <s v="Melissa Morris"/>
    <s v="Male"/>
    <x v="6"/>
    <n v="17"/>
    <n v="70"/>
    <n v="1"/>
    <x v="0"/>
    <x v="8"/>
    <x v="0"/>
  </r>
  <r>
    <n v="355"/>
    <s v="Donna Hardin"/>
    <s v="Female"/>
    <x v="2"/>
    <n v="12"/>
    <n v="86"/>
    <n v="1"/>
    <x v="0"/>
    <x v="3"/>
    <x v="1"/>
  </r>
  <r>
    <n v="356"/>
    <s v="Andrew Cook"/>
    <s v="Male"/>
    <x v="0"/>
    <n v="15"/>
    <n v="88"/>
    <n v="3"/>
    <x v="1"/>
    <x v="5"/>
    <x v="0"/>
  </r>
  <r>
    <n v="357"/>
    <s v="Dr. Richard Wallace"/>
    <s v="Male"/>
    <x v="3"/>
    <n v="30"/>
    <n v="77"/>
    <n v="3"/>
    <x v="1"/>
    <x v="2"/>
    <x v="0"/>
  </r>
  <r>
    <n v="358"/>
    <s v="Samuel Shaw"/>
    <s v="Male"/>
    <x v="9"/>
    <n v="20"/>
    <n v="82"/>
    <n v="1"/>
    <x v="1"/>
    <x v="0"/>
    <x v="1"/>
  </r>
  <r>
    <n v="359"/>
    <s v="Mike Waters"/>
    <s v="Male"/>
    <x v="3"/>
    <n v="18"/>
    <n v="60"/>
    <n v="2"/>
    <x v="0"/>
    <x v="0"/>
    <x v="1"/>
  </r>
  <r>
    <n v="360"/>
    <s v="Andrea Newman"/>
    <s v="Unknown"/>
    <x v="9"/>
    <n v="22"/>
    <n v="82"/>
    <n v="2"/>
    <x v="1"/>
    <x v="6"/>
    <x v="0"/>
  </r>
  <r>
    <n v="361"/>
    <s v="Unknown"/>
    <s v="Female"/>
    <x v="9"/>
    <n v="12"/>
    <n v="86"/>
    <n v="0"/>
    <x v="2"/>
    <x v="1"/>
    <x v="1"/>
  </r>
  <r>
    <n v="362"/>
    <s v="Barry Jenkins"/>
    <s v="Female"/>
    <x v="1"/>
    <n v="17"/>
    <n v="85"/>
    <n v="1"/>
    <x v="1"/>
    <x v="10"/>
    <x v="0"/>
  </r>
  <r>
    <n v="363"/>
    <s v="Laurie Johnson"/>
    <s v="Male"/>
    <x v="7"/>
    <n v="25"/>
    <n v="78"/>
    <n v="3"/>
    <x v="1"/>
    <x v="10"/>
    <x v="1"/>
  </r>
  <r>
    <n v="364"/>
    <s v="John Coleman"/>
    <s v="Female"/>
    <x v="9"/>
    <n v="8"/>
    <n v="60"/>
    <n v="0"/>
    <x v="2"/>
    <x v="0"/>
    <x v="1"/>
  </r>
  <r>
    <n v="365"/>
    <s v="John Carter"/>
    <s v="Male"/>
    <x v="7"/>
    <n v="17"/>
    <n v="88"/>
    <n v="2"/>
    <x v="1"/>
    <x v="2"/>
    <x v="1"/>
  </r>
  <r>
    <n v="366"/>
    <s v="Mr. Devon Garrett"/>
    <s v="Male"/>
    <x v="0"/>
    <n v="10"/>
    <n v="82"/>
    <n v="2"/>
    <x v="0"/>
    <x v="10"/>
    <x v="0"/>
  </r>
  <r>
    <n v="367"/>
    <s v="Jill Kelly"/>
    <s v="Female"/>
    <x v="6"/>
    <n v="30"/>
    <n v="77.598759048603924"/>
    <n v="2"/>
    <x v="2"/>
    <x v="4"/>
    <x v="0"/>
  </r>
  <r>
    <n v="368"/>
    <s v="Richard Gonzalez"/>
    <s v="Male"/>
    <x v="0"/>
    <n v="25"/>
    <n v="70"/>
    <n v="2"/>
    <x v="2"/>
    <x v="6"/>
    <x v="1"/>
  </r>
  <r>
    <n v="369"/>
    <s v="Alex White"/>
    <s v="Male"/>
    <x v="3"/>
    <n v="30"/>
    <n v="60"/>
    <n v="3"/>
    <x v="1"/>
    <x v="2"/>
    <x v="1"/>
  </r>
  <r>
    <n v="370"/>
    <s v="Michael Gonzales"/>
    <s v="Female"/>
    <x v="5"/>
    <n v="10"/>
    <n v="88"/>
    <n v="1"/>
    <x v="0"/>
    <x v="7"/>
    <x v="1"/>
  </r>
  <r>
    <n v="371"/>
    <s v="John Williams"/>
    <s v="Female"/>
    <x v="1"/>
    <n v="10"/>
    <n v="86"/>
    <n v="1"/>
    <x v="2"/>
    <x v="6"/>
    <x v="0"/>
  </r>
  <r>
    <n v="372"/>
    <s v="Daniel Herrera"/>
    <s v="Male"/>
    <x v="7"/>
    <n v="25"/>
    <n v="88"/>
    <n v="1"/>
    <x v="1"/>
    <x v="8"/>
    <x v="1"/>
  </r>
  <r>
    <n v="373"/>
    <s v="Jessica Richardson"/>
    <s v="Male"/>
    <x v="5"/>
    <n v="18"/>
    <n v="65"/>
    <n v="2"/>
    <x v="1"/>
    <x v="8"/>
    <x v="1"/>
  </r>
  <r>
    <n v="374"/>
    <s v="Ian Glass"/>
    <s v="Female"/>
    <x v="9"/>
    <n v="17"/>
    <n v="70"/>
    <n v="3"/>
    <x v="2"/>
    <x v="5"/>
    <x v="1"/>
  </r>
  <r>
    <n v="375"/>
    <s v="Heidi Simmons"/>
    <s v="Female"/>
    <x v="5"/>
    <n v="25"/>
    <n v="65"/>
    <n v="0"/>
    <x v="0"/>
    <x v="3"/>
    <x v="1"/>
  </r>
  <r>
    <n v="376"/>
    <s v="Andrea Fuller"/>
    <s v="Male"/>
    <x v="1"/>
    <n v="30"/>
    <n v="78"/>
    <n v="0"/>
    <x v="2"/>
    <x v="4"/>
    <x v="1"/>
  </r>
  <r>
    <n v="377"/>
    <s v="David Dunlap"/>
    <s v="Male"/>
    <x v="0"/>
    <n v="15"/>
    <n v="85"/>
    <n v="0"/>
    <x v="1"/>
    <x v="6"/>
    <x v="0"/>
  </r>
  <r>
    <n v="378"/>
    <s v="Antonio Mitchell"/>
    <s v="Male"/>
    <x v="0"/>
    <n v="18"/>
    <n v="60"/>
    <n v="2"/>
    <x v="2"/>
    <x v="8"/>
    <x v="1"/>
  </r>
  <r>
    <n v="379"/>
    <s v="Mariah Cole"/>
    <s v="Male"/>
    <x v="7"/>
    <n v="22"/>
    <n v="85"/>
    <n v="2"/>
    <x v="0"/>
    <x v="1"/>
    <x v="1"/>
  </r>
  <r>
    <n v="380"/>
    <s v="Rhonda Ramos"/>
    <s v="Male"/>
    <x v="5"/>
    <n v="8"/>
    <n v="82"/>
    <n v="0"/>
    <x v="0"/>
    <x v="8"/>
    <x v="0"/>
  </r>
  <r>
    <n v="381"/>
    <s v="Raymond Murillo"/>
    <s v="Male"/>
    <x v="0"/>
    <n v="15"/>
    <n v="85"/>
    <n v="2"/>
    <x v="2"/>
    <x v="7"/>
    <x v="1"/>
  </r>
  <r>
    <n v="382"/>
    <s v="Andrea Bradley"/>
    <s v="Female"/>
    <x v="3"/>
    <n v="17"/>
    <n v="82"/>
    <n v="2"/>
    <x v="1"/>
    <x v="0"/>
    <x v="1"/>
  </r>
  <r>
    <n v="383"/>
    <s v="Unknown"/>
    <s v="Female"/>
    <x v="5"/>
    <n v="8"/>
    <n v="85"/>
    <n v="2"/>
    <x v="0"/>
    <x v="0"/>
    <x v="1"/>
  </r>
  <r>
    <n v="384"/>
    <s v="Tina Velazquez"/>
    <s v="Female"/>
    <x v="4"/>
    <n v="22"/>
    <n v="82"/>
    <n v="2"/>
    <x v="1"/>
    <x v="10"/>
    <x v="0"/>
  </r>
  <r>
    <n v="385"/>
    <s v="Bonnie Callahan"/>
    <s v="Female"/>
    <x v="6"/>
    <n v="17"/>
    <n v="60"/>
    <n v="0"/>
    <x v="0"/>
    <x v="2"/>
    <x v="1"/>
  </r>
  <r>
    <n v="386"/>
    <s v="Eric Scott"/>
    <s v="Female"/>
    <x v="8"/>
    <n v="17"/>
    <n v="86"/>
    <n v="1"/>
    <x v="0"/>
    <x v="9"/>
    <x v="1"/>
  </r>
  <r>
    <n v="387"/>
    <s v="Maria Leblanc"/>
    <s v="Female"/>
    <x v="0"/>
    <n v="20"/>
    <n v="60"/>
    <n v="1"/>
    <x v="0"/>
    <x v="1"/>
    <x v="1"/>
  </r>
  <r>
    <n v="388"/>
    <s v="Michael Valenzuela"/>
    <s v="Male"/>
    <x v="5"/>
    <n v="12"/>
    <n v="70"/>
    <n v="1"/>
    <x v="0"/>
    <x v="6"/>
    <x v="0"/>
  </r>
  <r>
    <n v="389"/>
    <s v="Robin Spears"/>
    <s v="Female"/>
    <x v="2"/>
    <n v="12"/>
    <n v="86"/>
    <n v="1"/>
    <x v="0"/>
    <x v="2"/>
    <x v="0"/>
  </r>
  <r>
    <n v="390"/>
    <s v="David Owens"/>
    <s v="Male"/>
    <x v="0"/>
    <n v="30"/>
    <n v="90"/>
    <n v="1"/>
    <x v="1"/>
    <x v="0"/>
    <x v="0"/>
  </r>
  <r>
    <n v="391"/>
    <s v="Unknown"/>
    <s v="Unknown"/>
    <x v="1"/>
    <n v="17"/>
    <n v="77"/>
    <n v="3"/>
    <x v="1"/>
    <x v="1"/>
    <x v="0"/>
  </r>
  <r>
    <n v="392"/>
    <s v="Elizabeth Clark"/>
    <s v="Female"/>
    <x v="0"/>
    <n v="20"/>
    <n v="77.598759048603924"/>
    <n v="0"/>
    <x v="0"/>
    <x v="8"/>
    <x v="0"/>
  </r>
  <r>
    <n v="393"/>
    <s v="Beverly Fisher"/>
    <s v="Male"/>
    <x v="0"/>
    <n v="30"/>
    <n v="88"/>
    <n v="1"/>
    <x v="0"/>
    <x v="7"/>
    <x v="0"/>
  </r>
  <r>
    <n v="394"/>
    <s v="Sarah Bailey"/>
    <s v="Female"/>
    <x v="1"/>
    <n v="20"/>
    <n v="90"/>
    <n v="1"/>
    <x v="1"/>
    <x v="10"/>
    <x v="0"/>
  </r>
  <r>
    <n v="395"/>
    <s v="Kendra Ramirez"/>
    <s v="Male"/>
    <x v="2"/>
    <n v="17"/>
    <n v="65"/>
    <n v="0"/>
    <x v="0"/>
    <x v="4"/>
    <x v="1"/>
  </r>
  <r>
    <n v="396"/>
    <s v="Diane Ross"/>
    <s v="Male"/>
    <x v="0"/>
    <n v="25"/>
    <n v="88"/>
    <n v="2"/>
    <x v="1"/>
    <x v="0"/>
    <x v="1"/>
  </r>
  <r>
    <n v="397"/>
    <s v="Stephanie Mcfarland"/>
    <s v="Female"/>
    <x v="8"/>
    <n v="12"/>
    <n v="65"/>
    <n v="1"/>
    <x v="0"/>
    <x v="8"/>
    <x v="0"/>
  </r>
  <r>
    <n v="398"/>
    <s v="Michelle Woods"/>
    <s v="Male"/>
    <x v="8"/>
    <n v="10"/>
    <n v="65"/>
    <n v="2"/>
    <x v="1"/>
    <x v="9"/>
    <x v="0"/>
  </r>
  <r>
    <n v="399"/>
    <s v="David Ruiz"/>
    <s v="Male"/>
    <x v="9"/>
    <n v="8"/>
    <n v="88"/>
    <n v="2"/>
    <x v="1"/>
    <x v="2"/>
    <x v="0"/>
  </r>
  <r>
    <n v="400"/>
    <s v="Jason Castro"/>
    <s v="Female"/>
    <x v="7"/>
    <n v="17.630526315789474"/>
    <n v="90"/>
    <n v="3"/>
    <x v="2"/>
    <x v="4"/>
    <x v="1"/>
  </r>
  <r>
    <n v="401"/>
    <s v="Kathleen Montgomery"/>
    <s v="Female"/>
    <x v="1"/>
    <n v="17.630526315789474"/>
    <n v="70"/>
    <n v="1"/>
    <x v="2"/>
    <x v="9"/>
    <x v="0"/>
  </r>
  <r>
    <n v="402"/>
    <s v="James Bennett"/>
    <s v="Female"/>
    <x v="6"/>
    <n v="17.630526315789474"/>
    <n v="70"/>
    <n v="2"/>
    <x v="0"/>
    <x v="6"/>
    <x v="1"/>
  </r>
  <r>
    <n v="403"/>
    <s v="Kelsey Watkins"/>
    <s v="Female"/>
    <x v="2"/>
    <n v="17.630526315789474"/>
    <n v="82"/>
    <n v="0"/>
    <x v="0"/>
    <x v="4"/>
    <x v="1"/>
  </r>
  <r>
    <n v="404"/>
    <s v="David Park"/>
    <s v="Female"/>
    <x v="1"/>
    <n v="22"/>
    <n v="70"/>
    <n v="3"/>
    <x v="2"/>
    <x v="8"/>
    <x v="0"/>
  </r>
  <r>
    <n v="405"/>
    <s v="Christopher Poole"/>
    <s v="Female"/>
    <x v="6"/>
    <n v="8"/>
    <n v="88"/>
    <n v="2"/>
    <x v="0"/>
    <x v="0"/>
    <x v="0"/>
  </r>
  <r>
    <n v="406"/>
    <s v="Rebecca Baxter"/>
    <s v="Female"/>
    <x v="4"/>
    <n v="12"/>
    <n v="86"/>
    <n v="3"/>
    <x v="2"/>
    <x v="3"/>
    <x v="1"/>
  </r>
  <r>
    <n v="407"/>
    <s v="Virginia Daniel"/>
    <s v="Male"/>
    <x v="7"/>
    <n v="20"/>
    <n v="60"/>
    <n v="1"/>
    <x v="1"/>
    <x v="4"/>
    <x v="1"/>
  </r>
  <r>
    <n v="408"/>
    <s v="Melissa Gordon"/>
    <s v="Male"/>
    <x v="5"/>
    <n v="17"/>
    <n v="65"/>
    <n v="1"/>
    <x v="0"/>
    <x v="10"/>
    <x v="1"/>
  </r>
  <r>
    <n v="409"/>
    <s v="Brett Barrett"/>
    <s v="Female"/>
    <x v="1"/>
    <n v="30"/>
    <n v="70"/>
    <n v="3"/>
    <x v="0"/>
    <x v="8"/>
    <x v="1"/>
  </r>
  <r>
    <n v="410"/>
    <s v="Brandon Townsend"/>
    <s v="Female"/>
    <x v="1"/>
    <n v="30"/>
    <n v="90"/>
    <n v="3"/>
    <x v="2"/>
    <x v="10"/>
    <x v="1"/>
  </r>
  <r>
    <n v="411"/>
    <s v="Haley Robertson"/>
    <s v="Female"/>
    <x v="7"/>
    <n v="15"/>
    <n v="85"/>
    <n v="1"/>
    <x v="1"/>
    <x v="3"/>
    <x v="1"/>
  </r>
  <r>
    <n v="412"/>
    <s v="Michelle Gonzalez"/>
    <s v="Female"/>
    <x v="6"/>
    <n v="20"/>
    <n v="60"/>
    <n v="2"/>
    <x v="2"/>
    <x v="4"/>
    <x v="0"/>
  </r>
  <r>
    <n v="413"/>
    <s v="Gary Holland"/>
    <s v="Female"/>
    <x v="0"/>
    <n v="17.630526315789474"/>
    <n v="82"/>
    <n v="3"/>
    <x v="1"/>
    <x v="8"/>
    <x v="1"/>
  </r>
  <r>
    <n v="414"/>
    <s v="Felicia Howard"/>
    <s v="Male"/>
    <x v="1"/>
    <n v="25"/>
    <n v="90"/>
    <n v="0"/>
    <x v="0"/>
    <x v="3"/>
    <x v="0"/>
  </r>
  <r>
    <n v="415"/>
    <s v="Sean Walker"/>
    <s v="Male"/>
    <x v="0"/>
    <n v="17"/>
    <n v="88"/>
    <n v="1"/>
    <x v="0"/>
    <x v="1"/>
    <x v="0"/>
  </r>
  <r>
    <n v="416"/>
    <s v="Brianna Mills"/>
    <s v="Male"/>
    <x v="9"/>
    <n v="8"/>
    <n v="60"/>
    <n v="1"/>
    <x v="2"/>
    <x v="6"/>
    <x v="0"/>
  </r>
  <r>
    <n v="417"/>
    <s v="Michael Case"/>
    <s v="Male"/>
    <x v="8"/>
    <n v="20"/>
    <n v="86"/>
    <n v="1"/>
    <x v="2"/>
    <x v="1"/>
    <x v="1"/>
  </r>
  <r>
    <n v="418"/>
    <s v="Felicia Houston"/>
    <s v="Female"/>
    <x v="8"/>
    <n v="20"/>
    <n v="82"/>
    <n v="1"/>
    <x v="1"/>
    <x v="6"/>
    <x v="0"/>
  </r>
  <r>
    <n v="419"/>
    <s v="Kevin Wilson"/>
    <s v="Male"/>
    <x v="2"/>
    <n v="8"/>
    <n v="70"/>
    <n v="2"/>
    <x v="2"/>
    <x v="2"/>
    <x v="0"/>
  </r>
  <r>
    <n v="420"/>
    <s v="Mary Vaughn"/>
    <s v="Male"/>
    <x v="1"/>
    <n v="15"/>
    <n v="78"/>
    <n v="3"/>
    <x v="2"/>
    <x v="6"/>
    <x v="1"/>
  </r>
  <r>
    <n v="421"/>
    <s v="Unknown"/>
    <s v="Female"/>
    <x v="3"/>
    <n v="8"/>
    <n v="70"/>
    <n v="0"/>
    <x v="0"/>
    <x v="2"/>
    <x v="1"/>
  </r>
  <r>
    <n v="422"/>
    <s v="Maurice Martinez"/>
    <s v="Unknown"/>
    <x v="8"/>
    <n v="15"/>
    <n v="70"/>
    <n v="1"/>
    <x v="2"/>
    <x v="8"/>
    <x v="1"/>
  </r>
  <r>
    <n v="423"/>
    <s v="Jonathon Perry"/>
    <s v="Unknown"/>
    <x v="3"/>
    <n v="22"/>
    <n v="77"/>
    <n v="1"/>
    <x v="1"/>
    <x v="2"/>
    <x v="1"/>
  </r>
  <r>
    <n v="424"/>
    <s v="Unknown"/>
    <s v="Male"/>
    <x v="3"/>
    <n v="30"/>
    <n v="77"/>
    <n v="1"/>
    <x v="1"/>
    <x v="9"/>
    <x v="1"/>
  </r>
  <r>
    <n v="425"/>
    <s v="Rebecca Evans"/>
    <s v="Female"/>
    <x v="4"/>
    <n v="10"/>
    <n v="78"/>
    <n v="1"/>
    <x v="0"/>
    <x v="3"/>
    <x v="0"/>
  </r>
  <r>
    <n v="426"/>
    <s v="Paul Williams"/>
    <s v="Female"/>
    <x v="2"/>
    <n v="30"/>
    <n v="77"/>
    <n v="1"/>
    <x v="1"/>
    <x v="10"/>
    <x v="1"/>
  </r>
  <r>
    <n v="427"/>
    <s v="Tyler Boyer"/>
    <s v="Male"/>
    <x v="9"/>
    <n v="10"/>
    <n v="70"/>
    <n v="3"/>
    <x v="1"/>
    <x v="1"/>
    <x v="1"/>
  </r>
  <r>
    <n v="428"/>
    <s v="Kristy Nichols"/>
    <s v="Male"/>
    <x v="0"/>
    <n v="12"/>
    <n v="82"/>
    <n v="2"/>
    <x v="2"/>
    <x v="7"/>
    <x v="0"/>
  </r>
  <r>
    <n v="429"/>
    <s v="Darren Martin"/>
    <s v="Male"/>
    <x v="8"/>
    <n v="18"/>
    <n v="65"/>
    <n v="1"/>
    <x v="2"/>
    <x v="8"/>
    <x v="1"/>
  </r>
  <r>
    <n v="430"/>
    <s v="Katelyn Morgan"/>
    <s v="Male"/>
    <x v="7"/>
    <n v="10"/>
    <n v="77"/>
    <n v="0"/>
    <x v="0"/>
    <x v="9"/>
    <x v="1"/>
  </r>
  <r>
    <n v="431"/>
    <s v="Dennis Elliott"/>
    <s v="Unknown"/>
    <x v="0"/>
    <n v="25"/>
    <n v="77"/>
    <n v="3"/>
    <x v="0"/>
    <x v="4"/>
    <x v="1"/>
  </r>
  <r>
    <n v="432"/>
    <s v="Jesus Henson"/>
    <s v="Female"/>
    <x v="6"/>
    <n v="17"/>
    <n v="77"/>
    <n v="1"/>
    <x v="0"/>
    <x v="10"/>
    <x v="0"/>
  </r>
  <r>
    <n v="433"/>
    <s v="Robin Stewart"/>
    <s v="Male"/>
    <x v="6"/>
    <n v="8"/>
    <n v="88"/>
    <n v="3"/>
    <x v="2"/>
    <x v="1"/>
    <x v="1"/>
  </r>
  <r>
    <n v="434"/>
    <s v="Lawrence Miller"/>
    <s v="Female"/>
    <x v="5"/>
    <n v="30"/>
    <n v="77"/>
    <n v="1"/>
    <x v="2"/>
    <x v="0"/>
    <x v="0"/>
  </r>
  <r>
    <n v="435"/>
    <s v="Ronnie White"/>
    <s v="Male"/>
    <x v="1"/>
    <n v="12"/>
    <n v="82"/>
    <n v="3"/>
    <x v="0"/>
    <x v="2"/>
    <x v="1"/>
  </r>
  <r>
    <n v="436"/>
    <s v="John Fox"/>
    <s v="Female"/>
    <x v="5"/>
    <n v="20"/>
    <n v="77"/>
    <n v="1"/>
    <x v="1"/>
    <x v="3"/>
    <x v="0"/>
  </r>
  <r>
    <n v="437"/>
    <s v="Unknown"/>
    <s v="Male"/>
    <x v="0"/>
    <n v="10"/>
    <n v="86"/>
    <n v="3"/>
    <x v="0"/>
    <x v="2"/>
    <x v="1"/>
  </r>
  <r>
    <n v="438"/>
    <s v="Daniel Scott"/>
    <s v="Male"/>
    <x v="9"/>
    <n v="10"/>
    <n v="70"/>
    <n v="0"/>
    <x v="2"/>
    <x v="9"/>
    <x v="0"/>
  </r>
  <r>
    <n v="439"/>
    <s v="Unknown"/>
    <s v="Male"/>
    <x v="0"/>
    <n v="22"/>
    <n v="77"/>
    <n v="1"/>
    <x v="0"/>
    <x v="3"/>
    <x v="1"/>
  </r>
  <r>
    <n v="440"/>
    <s v="Jonathan Mann"/>
    <s v="Female"/>
    <x v="2"/>
    <n v="17.630526315789474"/>
    <n v="77"/>
    <n v="3"/>
    <x v="2"/>
    <x v="1"/>
    <x v="1"/>
  </r>
  <r>
    <n v="441"/>
    <s v="Bethany Andersen"/>
    <s v="Male"/>
    <x v="3"/>
    <n v="17.630526315789474"/>
    <n v="70"/>
    <n v="0"/>
    <x v="0"/>
    <x v="9"/>
    <x v="1"/>
  </r>
  <r>
    <n v="442"/>
    <s v="Tiffany Moore"/>
    <s v="Male"/>
    <x v="1"/>
    <n v="17"/>
    <n v="65"/>
    <n v="3"/>
    <x v="2"/>
    <x v="0"/>
    <x v="0"/>
  </r>
  <r>
    <n v="443"/>
    <s v="Sylvia Chavez"/>
    <s v="Female"/>
    <x v="5"/>
    <n v="15"/>
    <n v="70"/>
    <n v="0"/>
    <x v="0"/>
    <x v="7"/>
    <x v="0"/>
  </r>
  <r>
    <n v="444"/>
    <s v="Gerald Reilly"/>
    <s v="Female"/>
    <x v="2"/>
    <n v="18"/>
    <n v="77"/>
    <n v="3"/>
    <x v="0"/>
    <x v="4"/>
    <x v="0"/>
  </r>
  <r>
    <n v="445"/>
    <s v="Ashlee Wilcox"/>
    <s v="Male"/>
    <x v="0"/>
    <n v="15"/>
    <n v="86"/>
    <n v="2"/>
    <x v="0"/>
    <x v="8"/>
    <x v="1"/>
  </r>
  <r>
    <n v="446"/>
    <s v="Lance Johnson"/>
    <s v="Female"/>
    <x v="5"/>
    <n v="20"/>
    <n v="65"/>
    <n v="0"/>
    <x v="2"/>
    <x v="9"/>
    <x v="0"/>
  </r>
  <r>
    <n v="447"/>
    <s v="Unknown"/>
    <s v="Female"/>
    <x v="6"/>
    <n v="25"/>
    <n v="60"/>
    <n v="2"/>
    <x v="2"/>
    <x v="7"/>
    <x v="0"/>
  </r>
  <r>
    <n v="448"/>
    <s v="Unknown"/>
    <s v="Female"/>
    <x v="8"/>
    <n v="17.630526315789474"/>
    <n v="60"/>
    <n v="0"/>
    <x v="2"/>
    <x v="1"/>
    <x v="1"/>
  </r>
  <r>
    <n v="449"/>
    <s v="Patrick Gonzalez MD"/>
    <s v="Male"/>
    <x v="7"/>
    <n v="8"/>
    <n v="88"/>
    <n v="2"/>
    <x v="2"/>
    <x v="0"/>
    <x v="1"/>
  </r>
  <r>
    <n v="450"/>
    <s v="Cole Gomez"/>
    <s v="Male"/>
    <x v="0"/>
    <n v="22"/>
    <n v="60"/>
    <n v="2"/>
    <x v="0"/>
    <x v="4"/>
    <x v="1"/>
  </r>
  <r>
    <n v="451"/>
    <s v="Alejandro Gutierrez"/>
    <s v="Female"/>
    <x v="8"/>
    <n v="12"/>
    <n v="82"/>
    <n v="3"/>
    <x v="0"/>
    <x v="2"/>
    <x v="1"/>
  </r>
  <r>
    <n v="452"/>
    <s v="Natalie Long"/>
    <s v="Female"/>
    <x v="3"/>
    <n v="15"/>
    <n v="86"/>
    <n v="2"/>
    <x v="2"/>
    <x v="3"/>
    <x v="1"/>
  </r>
  <r>
    <n v="453"/>
    <s v="Abigail Ingram"/>
    <s v="Male"/>
    <x v="0"/>
    <n v="10"/>
    <n v="85"/>
    <n v="2"/>
    <x v="1"/>
    <x v="10"/>
    <x v="1"/>
  </r>
  <r>
    <n v="454"/>
    <s v="Eileen Lee"/>
    <s v="Male"/>
    <x v="1"/>
    <n v="20"/>
    <n v="70"/>
    <n v="2"/>
    <x v="2"/>
    <x v="8"/>
    <x v="0"/>
  </r>
  <r>
    <n v="455"/>
    <s v="Nancy Moore"/>
    <s v="Unknown"/>
    <x v="8"/>
    <n v="25"/>
    <n v="77"/>
    <n v="0"/>
    <x v="2"/>
    <x v="0"/>
    <x v="1"/>
  </r>
  <r>
    <n v="456"/>
    <s v="Melanie Wilson"/>
    <s v="Female"/>
    <x v="5"/>
    <n v="20"/>
    <n v="70"/>
    <n v="2"/>
    <x v="2"/>
    <x v="9"/>
    <x v="0"/>
  </r>
  <r>
    <n v="457"/>
    <s v="Gloria Henderson"/>
    <s v="Male"/>
    <x v="5"/>
    <n v="17"/>
    <n v="77"/>
    <n v="3"/>
    <x v="0"/>
    <x v="7"/>
    <x v="0"/>
  </r>
  <r>
    <n v="458"/>
    <s v="Christopher Payne"/>
    <s v="Male"/>
    <x v="5"/>
    <n v="8"/>
    <n v="88"/>
    <n v="2"/>
    <x v="2"/>
    <x v="0"/>
    <x v="1"/>
  </r>
  <r>
    <n v="459"/>
    <s v="John Franklin"/>
    <s v="Male"/>
    <x v="6"/>
    <n v="30"/>
    <n v="85"/>
    <n v="2"/>
    <x v="0"/>
    <x v="7"/>
    <x v="0"/>
  </r>
  <r>
    <n v="460"/>
    <s v="Angel Stout"/>
    <s v="Male"/>
    <x v="0"/>
    <n v="25"/>
    <n v="90"/>
    <n v="3"/>
    <x v="1"/>
    <x v="3"/>
    <x v="0"/>
  </r>
  <r>
    <n v="461"/>
    <s v="James Watkins"/>
    <s v="Male"/>
    <x v="1"/>
    <n v="20"/>
    <n v="77"/>
    <n v="3"/>
    <x v="0"/>
    <x v="8"/>
    <x v="0"/>
  </r>
  <r>
    <n v="462"/>
    <s v="Candace Kelly"/>
    <s v="Female"/>
    <x v="8"/>
    <n v="18"/>
    <n v="77"/>
    <n v="0"/>
    <x v="0"/>
    <x v="4"/>
    <x v="1"/>
  </r>
  <r>
    <n v="463"/>
    <s v="Zachary Daniel"/>
    <s v="Female"/>
    <x v="0"/>
    <n v="12"/>
    <n v="78"/>
    <n v="2"/>
    <x v="1"/>
    <x v="6"/>
    <x v="1"/>
  </r>
  <r>
    <n v="464"/>
    <s v="Angel Howard"/>
    <s v="Male"/>
    <x v="7"/>
    <n v="17"/>
    <n v="88"/>
    <n v="1"/>
    <x v="0"/>
    <x v="3"/>
    <x v="0"/>
  </r>
  <r>
    <n v="465"/>
    <s v="Heather Hill"/>
    <s v="Female"/>
    <x v="2"/>
    <n v="12"/>
    <n v="77.598759048603924"/>
    <n v="3"/>
    <x v="1"/>
    <x v="7"/>
    <x v="0"/>
  </r>
  <r>
    <n v="466"/>
    <s v="Heather Gamble"/>
    <s v="Unknown"/>
    <x v="6"/>
    <n v="25"/>
    <n v="60"/>
    <n v="1"/>
    <x v="1"/>
    <x v="6"/>
    <x v="1"/>
  </r>
  <r>
    <n v="467"/>
    <s v="Sean Levine"/>
    <s v="Male"/>
    <x v="9"/>
    <n v="25"/>
    <n v="70"/>
    <n v="0"/>
    <x v="1"/>
    <x v="3"/>
    <x v="1"/>
  </r>
  <r>
    <n v="468"/>
    <s v="Brian Diaz"/>
    <s v="Male"/>
    <x v="2"/>
    <n v="8"/>
    <n v="77"/>
    <n v="0"/>
    <x v="2"/>
    <x v="8"/>
    <x v="0"/>
  </r>
  <r>
    <n v="469"/>
    <s v="Catherine Koch"/>
    <s v="Female"/>
    <x v="7"/>
    <n v="22"/>
    <n v="78"/>
    <n v="0"/>
    <x v="0"/>
    <x v="2"/>
    <x v="0"/>
  </r>
  <r>
    <n v="470"/>
    <s v="Unknown"/>
    <s v="Female"/>
    <x v="5"/>
    <n v="18"/>
    <n v="88"/>
    <n v="1"/>
    <x v="2"/>
    <x v="8"/>
    <x v="0"/>
  </r>
  <r>
    <n v="471"/>
    <s v="Anne Martin"/>
    <s v="Female"/>
    <x v="1"/>
    <n v="30"/>
    <n v="86"/>
    <n v="1"/>
    <x v="2"/>
    <x v="9"/>
    <x v="1"/>
  </r>
  <r>
    <n v="472"/>
    <s v="Mary Warren"/>
    <s v="Female"/>
    <x v="5"/>
    <n v="12"/>
    <n v="77"/>
    <n v="1"/>
    <x v="0"/>
    <x v="6"/>
    <x v="1"/>
  </r>
  <r>
    <n v="473"/>
    <s v="Amanda Bryant"/>
    <s v="Female"/>
    <x v="6"/>
    <n v="22"/>
    <n v="86"/>
    <n v="0"/>
    <x v="0"/>
    <x v="1"/>
    <x v="0"/>
  </r>
  <r>
    <n v="474"/>
    <s v="Joel Ford"/>
    <s v="Female"/>
    <x v="9"/>
    <n v="22"/>
    <n v="60"/>
    <n v="2"/>
    <x v="1"/>
    <x v="10"/>
    <x v="0"/>
  </r>
  <r>
    <n v="475"/>
    <s v="Mark Miller"/>
    <s v="Male"/>
    <x v="2"/>
    <n v="15"/>
    <n v="65"/>
    <n v="3"/>
    <x v="2"/>
    <x v="4"/>
    <x v="1"/>
  </r>
  <r>
    <n v="476"/>
    <s v="Sarah Russell"/>
    <s v="Unknown"/>
    <x v="6"/>
    <n v="20"/>
    <n v="85"/>
    <n v="2"/>
    <x v="1"/>
    <x v="8"/>
    <x v="0"/>
  </r>
  <r>
    <n v="477"/>
    <s v="Lisa Mitchell"/>
    <s v="Male"/>
    <x v="1"/>
    <n v="18"/>
    <n v="86"/>
    <n v="0"/>
    <x v="0"/>
    <x v="6"/>
    <x v="0"/>
  </r>
  <r>
    <n v="478"/>
    <s v="William White"/>
    <s v="Male"/>
    <x v="2"/>
    <n v="12"/>
    <n v="65"/>
    <n v="1"/>
    <x v="0"/>
    <x v="10"/>
    <x v="0"/>
  </r>
  <r>
    <n v="479"/>
    <s v="Jacqueline Garcia"/>
    <s v="Female"/>
    <x v="7"/>
    <n v="17"/>
    <n v="65"/>
    <n v="2"/>
    <x v="0"/>
    <x v="9"/>
    <x v="0"/>
  </r>
  <r>
    <n v="480"/>
    <s v="Elizabeth Wright"/>
    <s v="Female"/>
    <x v="5"/>
    <n v="17"/>
    <n v="70"/>
    <n v="3"/>
    <x v="0"/>
    <x v="7"/>
    <x v="0"/>
  </r>
  <r>
    <n v="481"/>
    <s v="Pamela Woods"/>
    <s v="Unknown"/>
    <x v="0"/>
    <n v="15"/>
    <n v="70"/>
    <n v="0"/>
    <x v="1"/>
    <x v="4"/>
    <x v="0"/>
  </r>
  <r>
    <n v="482"/>
    <s v="Sydney Patterson"/>
    <s v="Female"/>
    <x v="0"/>
    <n v="8"/>
    <n v="82"/>
    <n v="3"/>
    <x v="0"/>
    <x v="0"/>
    <x v="0"/>
  </r>
  <r>
    <n v="483"/>
    <s v="Lisa Johnson"/>
    <s v="Female"/>
    <x v="3"/>
    <n v="10"/>
    <n v="60"/>
    <n v="0"/>
    <x v="0"/>
    <x v="4"/>
    <x v="1"/>
  </r>
  <r>
    <n v="484"/>
    <s v="Todd Jackson"/>
    <s v="Female"/>
    <x v="9"/>
    <n v="12"/>
    <n v="82"/>
    <n v="0"/>
    <x v="0"/>
    <x v="1"/>
    <x v="1"/>
  </r>
  <r>
    <n v="485"/>
    <s v="Shelby Richards"/>
    <s v="Female"/>
    <x v="9"/>
    <n v="22"/>
    <n v="77"/>
    <n v="3"/>
    <x v="1"/>
    <x v="0"/>
    <x v="1"/>
  </r>
  <r>
    <n v="486"/>
    <s v="Joseph Roberts"/>
    <s v="Male"/>
    <x v="9"/>
    <n v="18"/>
    <n v="65"/>
    <n v="1"/>
    <x v="2"/>
    <x v="0"/>
    <x v="1"/>
  </r>
  <r>
    <n v="487"/>
    <s v="Samantha Burton"/>
    <s v="Male"/>
    <x v="5"/>
    <n v="8"/>
    <n v="82"/>
    <n v="1"/>
    <x v="1"/>
    <x v="7"/>
    <x v="0"/>
  </r>
  <r>
    <n v="488"/>
    <s v="Cynthia Mcdonald"/>
    <s v="Male"/>
    <x v="0"/>
    <n v="18"/>
    <n v="60"/>
    <n v="2"/>
    <x v="2"/>
    <x v="7"/>
    <x v="0"/>
  </r>
  <r>
    <n v="489"/>
    <s v="Kimberly Petty"/>
    <s v="Male"/>
    <x v="3"/>
    <n v="8"/>
    <n v="77"/>
    <n v="3"/>
    <x v="2"/>
    <x v="0"/>
    <x v="1"/>
  </r>
  <r>
    <n v="490"/>
    <s v="Joshua Carpenter"/>
    <s v="Male"/>
    <x v="0"/>
    <n v="8"/>
    <n v="82"/>
    <n v="1"/>
    <x v="0"/>
    <x v="0"/>
    <x v="1"/>
  </r>
  <r>
    <n v="491"/>
    <s v="Jessica Fuller"/>
    <s v="Female"/>
    <x v="9"/>
    <n v="25"/>
    <n v="88"/>
    <n v="1"/>
    <x v="2"/>
    <x v="3"/>
    <x v="0"/>
  </r>
  <r>
    <n v="492"/>
    <s v="Andrea Barber"/>
    <s v="Male"/>
    <x v="2"/>
    <n v="18"/>
    <n v="86"/>
    <n v="2"/>
    <x v="1"/>
    <x v="3"/>
    <x v="0"/>
  </r>
  <r>
    <n v="493"/>
    <s v="Brian Lyons"/>
    <s v="Female"/>
    <x v="1"/>
    <n v="25"/>
    <n v="65"/>
    <n v="1"/>
    <x v="0"/>
    <x v="9"/>
    <x v="1"/>
  </r>
  <r>
    <n v="494"/>
    <s v="Tammy Fuentes"/>
    <s v="Female"/>
    <x v="2"/>
    <n v="12"/>
    <n v="85"/>
    <n v="0"/>
    <x v="1"/>
    <x v="3"/>
    <x v="0"/>
  </r>
  <r>
    <n v="495"/>
    <s v="Robert Taylor"/>
    <s v="Male"/>
    <x v="0"/>
    <n v="8"/>
    <n v="88"/>
    <n v="0"/>
    <x v="1"/>
    <x v="0"/>
    <x v="0"/>
  </r>
  <r>
    <n v="496"/>
    <s v="David Gonzalez"/>
    <s v="Female"/>
    <x v="3"/>
    <n v="22"/>
    <n v="65"/>
    <n v="2"/>
    <x v="1"/>
    <x v="5"/>
    <x v="1"/>
  </r>
  <r>
    <n v="497"/>
    <s v="Steven Myers"/>
    <s v="Male"/>
    <x v="0"/>
    <n v="18"/>
    <n v="82"/>
    <n v="2"/>
    <x v="1"/>
    <x v="7"/>
    <x v="0"/>
  </r>
  <r>
    <n v="498"/>
    <s v="Cassandra Perez"/>
    <s v="Male"/>
    <x v="8"/>
    <n v="30"/>
    <n v="86"/>
    <n v="3"/>
    <x v="1"/>
    <x v="1"/>
    <x v="0"/>
  </r>
  <r>
    <n v="499"/>
    <s v="Jacqueline Eaton"/>
    <s v="Female"/>
    <x v="7"/>
    <n v="10"/>
    <n v="86"/>
    <n v="2"/>
    <x v="0"/>
    <x v="6"/>
    <x v="1"/>
  </r>
  <r>
    <n v="500"/>
    <s v="Carrie Mccoy"/>
    <s v="Male"/>
    <x v="0"/>
    <n v="10"/>
    <n v="65"/>
    <n v="1"/>
    <x v="0"/>
    <x v="1"/>
    <x v="1"/>
  </r>
  <r>
    <n v="501"/>
    <s v="Amy Fisher"/>
    <s v="Female"/>
    <x v="7"/>
    <n v="22"/>
    <n v="86"/>
    <n v="2"/>
    <x v="0"/>
    <x v="10"/>
    <x v="1"/>
  </r>
  <r>
    <n v="502"/>
    <s v="Stephanie Reid"/>
    <s v="Male"/>
    <x v="0"/>
    <n v="20"/>
    <n v="77"/>
    <n v="1"/>
    <x v="1"/>
    <x v="8"/>
    <x v="0"/>
  </r>
  <r>
    <n v="503"/>
    <s v="Reginald Hoover"/>
    <s v="Female"/>
    <x v="7"/>
    <n v="15"/>
    <n v="85"/>
    <n v="1"/>
    <x v="0"/>
    <x v="3"/>
    <x v="1"/>
  </r>
  <r>
    <n v="504"/>
    <s v="Christina Russo"/>
    <s v="Female"/>
    <x v="3"/>
    <n v="25"/>
    <n v="70"/>
    <n v="3"/>
    <x v="2"/>
    <x v="2"/>
    <x v="0"/>
  </r>
  <r>
    <n v="505"/>
    <s v="Raymond Howell"/>
    <s v="Female"/>
    <x v="0"/>
    <n v="8"/>
    <n v="85"/>
    <n v="0"/>
    <x v="0"/>
    <x v="8"/>
    <x v="1"/>
  </r>
  <r>
    <n v="506"/>
    <s v="Angela Perez"/>
    <s v="Female"/>
    <x v="5"/>
    <n v="30"/>
    <n v="70"/>
    <n v="1"/>
    <x v="1"/>
    <x v="6"/>
    <x v="0"/>
  </r>
  <r>
    <n v="507"/>
    <s v="Charles Aguilar"/>
    <s v="Male"/>
    <x v="6"/>
    <n v="12"/>
    <n v="82"/>
    <n v="1"/>
    <x v="1"/>
    <x v="7"/>
    <x v="1"/>
  </r>
  <r>
    <n v="508"/>
    <s v="Caitlyn Green"/>
    <s v="Male"/>
    <x v="7"/>
    <n v="10"/>
    <n v="82"/>
    <n v="1"/>
    <x v="1"/>
    <x v="3"/>
    <x v="1"/>
  </r>
  <r>
    <n v="509"/>
    <s v="Ronald Davis"/>
    <s v="Unknown"/>
    <x v="1"/>
    <n v="15"/>
    <n v="77"/>
    <n v="1"/>
    <x v="0"/>
    <x v="2"/>
    <x v="1"/>
  </r>
  <r>
    <n v="510"/>
    <s v="Melissa Lucas"/>
    <s v="Female"/>
    <x v="9"/>
    <n v="20"/>
    <n v="86"/>
    <n v="0"/>
    <x v="2"/>
    <x v="3"/>
    <x v="0"/>
  </r>
  <r>
    <n v="511"/>
    <s v="Heidi Leonard"/>
    <s v="Male"/>
    <x v="0"/>
    <n v="22"/>
    <n v="85"/>
    <n v="3"/>
    <x v="2"/>
    <x v="4"/>
    <x v="0"/>
  </r>
  <r>
    <n v="512"/>
    <s v="Samantha Patton"/>
    <s v="Male"/>
    <x v="5"/>
    <n v="30"/>
    <n v="60"/>
    <n v="0"/>
    <x v="0"/>
    <x v="3"/>
    <x v="1"/>
  </r>
  <r>
    <n v="513"/>
    <s v="Richard Swanson"/>
    <s v="Male"/>
    <x v="9"/>
    <n v="12"/>
    <n v="78"/>
    <n v="1"/>
    <x v="2"/>
    <x v="9"/>
    <x v="1"/>
  </r>
  <r>
    <n v="514"/>
    <s v="Lauren Simpson"/>
    <s v="Male"/>
    <x v="6"/>
    <n v="17"/>
    <n v="86"/>
    <n v="3"/>
    <x v="2"/>
    <x v="1"/>
    <x v="0"/>
  </r>
  <r>
    <n v="515"/>
    <s v="Kimberly Raymond"/>
    <s v="Male"/>
    <x v="5"/>
    <n v="20"/>
    <n v="77"/>
    <n v="3"/>
    <x v="2"/>
    <x v="0"/>
    <x v="1"/>
  </r>
  <r>
    <n v="516"/>
    <s v="Marissa Raymond"/>
    <s v="Unknown"/>
    <x v="2"/>
    <n v="10"/>
    <n v="77"/>
    <n v="2"/>
    <x v="0"/>
    <x v="7"/>
    <x v="1"/>
  </r>
  <r>
    <n v="517"/>
    <s v="Joyce Bishop"/>
    <s v="Male"/>
    <x v="3"/>
    <n v="17.630526315789474"/>
    <n v="82"/>
    <n v="0"/>
    <x v="1"/>
    <x v="9"/>
    <x v="0"/>
  </r>
  <r>
    <n v="518"/>
    <s v="Michael Kelly"/>
    <s v="Female"/>
    <x v="5"/>
    <n v="25"/>
    <n v="88"/>
    <n v="1"/>
    <x v="2"/>
    <x v="0"/>
    <x v="0"/>
  </r>
  <r>
    <n v="519"/>
    <s v="Peggy Hill"/>
    <s v="Male"/>
    <x v="0"/>
    <n v="15"/>
    <n v="90"/>
    <n v="3"/>
    <x v="2"/>
    <x v="10"/>
    <x v="1"/>
  </r>
  <r>
    <n v="520"/>
    <s v="Derrick Love"/>
    <s v="Male"/>
    <x v="4"/>
    <n v="22"/>
    <n v="65"/>
    <n v="2"/>
    <x v="0"/>
    <x v="10"/>
    <x v="0"/>
  </r>
  <r>
    <n v="521"/>
    <s v="Laura Stevens"/>
    <s v="Female"/>
    <x v="0"/>
    <n v="30"/>
    <n v="90"/>
    <n v="2"/>
    <x v="0"/>
    <x v="3"/>
    <x v="0"/>
  </r>
  <r>
    <n v="522"/>
    <s v="Terri Potter"/>
    <s v="Female"/>
    <x v="8"/>
    <n v="10"/>
    <n v="78"/>
    <n v="0"/>
    <x v="2"/>
    <x v="8"/>
    <x v="1"/>
  </r>
  <r>
    <n v="523"/>
    <s v="Veronica Saunders"/>
    <s v="Male"/>
    <x v="8"/>
    <n v="18"/>
    <n v="78"/>
    <n v="1"/>
    <x v="2"/>
    <x v="0"/>
    <x v="0"/>
  </r>
  <r>
    <n v="524"/>
    <s v="Emily Townsend"/>
    <s v="Male"/>
    <x v="0"/>
    <n v="18"/>
    <n v="60"/>
    <n v="3"/>
    <x v="1"/>
    <x v="8"/>
    <x v="1"/>
  </r>
  <r>
    <n v="525"/>
    <s v="James Long"/>
    <s v="Male"/>
    <x v="2"/>
    <n v="25"/>
    <n v="70"/>
    <n v="1"/>
    <x v="2"/>
    <x v="5"/>
    <x v="0"/>
  </r>
  <r>
    <n v="526"/>
    <s v="Jennifer Dickson"/>
    <s v="Female"/>
    <x v="6"/>
    <n v="10"/>
    <n v="78"/>
    <n v="1"/>
    <x v="2"/>
    <x v="10"/>
    <x v="1"/>
  </r>
  <r>
    <n v="527"/>
    <s v="Alexa West"/>
    <s v="Female"/>
    <x v="0"/>
    <n v="18"/>
    <n v="60"/>
    <n v="1"/>
    <x v="2"/>
    <x v="4"/>
    <x v="0"/>
  </r>
  <r>
    <n v="528"/>
    <s v="Phillip Donovan"/>
    <s v="Male"/>
    <x v="6"/>
    <n v="12"/>
    <n v="86"/>
    <n v="3"/>
    <x v="1"/>
    <x v="3"/>
    <x v="0"/>
  </r>
  <r>
    <n v="529"/>
    <s v="Monique King"/>
    <s v="Female"/>
    <x v="7"/>
    <n v="10"/>
    <n v="90"/>
    <n v="0"/>
    <x v="2"/>
    <x v="8"/>
    <x v="1"/>
  </r>
  <r>
    <n v="530"/>
    <s v="Karl Murray"/>
    <s v="Male"/>
    <x v="6"/>
    <n v="17.630526315789474"/>
    <n v="86"/>
    <n v="0"/>
    <x v="1"/>
    <x v="1"/>
    <x v="1"/>
  </r>
  <r>
    <n v="531"/>
    <s v="Julia Brooks"/>
    <s v="Female"/>
    <x v="2"/>
    <n v="15"/>
    <n v="88"/>
    <n v="0"/>
    <x v="1"/>
    <x v="5"/>
    <x v="0"/>
  </r>
  <r>
    <n v="532"/>
    <s v="Lauren Montgomery"/>
    <s v="Male"/>
    <x v="4"/>
    <n v="10"/>
    <n v="65"/>
    <n v="1"/>
    <x v="2"/>
    <x v="9"/>
    <x v="1"/>
  </r>
  <r>
    <n v="533"/>
    <s v="Nathan Wall"/>
    <s v="Male"/>
    <x v="0"/>
    <n v="30"/>
    <n v="85"/>
    <n v="1"/>
    <x v="0"/>
    <x v="8"/>
    <x v="0"/>
  </r>
  <r>
    <n v="534"/>
    <s v="Kristin Macias"/>
    <s v="Female"/>
    <x v="0"/>
    <n v="17"/>
    <n v="65"/>
    <n v="0"/>
    <x v="0"/>
    <x v="3"/>
    <x v="1"/>
  </r>
  <r>
    <n v="535"/>
    <s v="Samuel Smith"/>
    <s v="Female"/>
    <x v="3"/>
    <n v="25"/>
    <n v="90"/>
    <n v="2"/>
    <x v="0"/>
    <x v="5"/>
    <x v="0"/>
  </r>
  <r>
    <n v="536"/>
    <s v="Unknown"/>
    <s v="Male"/>
    <x v="6"/>
    <n v="8"/>
    <n v="78"/>
    <n v="3"/>
    <x v="2"/>
    <x v="6"/>
    <x v="1"/>
  </r>
  <r>
    <n v="537"/>
    <s v="Bradley Stevens"/>
    <s v="Male"/>
    <x v="0"/>
    <n v="17"/>
    <n v="78"/>
    <n v="3"/>
    <x v="2"/>
    <x v="8"/>
    <x v="1"/>
  </r>
  <r>
    <n v="538"/>
    <s v="Morgan Hampton"/>
    <s v="Male"/>
    <x v="3"/>
    <n v="18"/>
    <n v="77"/>
    <n v="0"/>
    <x v="1"/>
    <x v="4"/>
    <x v="0"/>
  </r>
  <r>
    <n v="539"/>
    <s v="Lori Carrillo"/>
    <s v="Male"/>
    <x v="0"/>
    <n v="17"/>
    <n v="85"/>
    <n v="2"/>
    <x v="0"/>
    <x v="2"/>
    <x v="1"/>
  </r>
  <r>
    <n v="540"/>
    <s v="Samantha Novak"/>
    <s v="Female"/>
    <x v="5"/>
    <n v="17"/>
    <n v="78"/>
    <n v="0"/>
    <x v="1"/>
    <x v="9"/>
    <x v="0"/>
  </r>
  <r>
    <n v="541"/>
    <s v="Audrey Robinson"/>
    <s v="Female"/>
    <x v="5"/>
    <n v="10"/>
    <n v="85"/>
    <n v="2"/>
    <x v="0"/>
    <x v="7"/>
    <x v="0"/>
  </r>
  <r>
    <n v="542"/>
    <s v="Lindsey Kerr"/>
    <s v="Male"/>
    <x v="6"/>
    <n v="12"/>
    <n v="60"/>
    <n v="1"/>
    <x v="0"/>
    <x v="10"/>
    <x v="1"/>
  </r>
  <r>
    <n v="543"/>
    <s v="Cynthia Nguyen"/>
    <s v="Male"/>
    <x v="2"/>
    <n v="15"/>
    <n v="60"/>
    <n v="2"/>
    <x v="1"/>
    <x v="7"/>
    <x v="1"/>
  </r>
  <r>
    <n v="544"/>
    <s v="Ryan Hood"/>
    <s v="Male"/>
    <x v="0"/>
    <n v="22"/>
    <n v="82"/>
    <n v="1"/>
    <x v="1"/>
    <x v="7"/>
    <x v="1"/>
  </r>
  <r>
    <n v="545"/>
    <s v="Matthew Stevenson"/>
    <s v="Male"/>
    <x v="3"/>
    <n v="22"/>
    <n v="77"/>
    <n v="1"/>
    <x v="1"/>
    <x v="7"/>
    <x v="1"/>
  </r>
  <r>
    <n v="546"/>
    <s v="Rhonda White"/>
    <s v="Female"/>
    <x v="8"/>
    <n v="12"/>
    <n v="90"/>
    <n v="1"/>
    <x v="0"/>
    <x v="2"/>
    <x v="1"/>
  </r>
  <r>
    <n v="547"/>
    <s v="Larry Ramsey"/>
    <s v="Male"/>
    <x v="8"/>
    <n v="22"/>
    <n v="82"/>
    <n v="1"/>
    <x v="0"/>
    <x v="0"/>
    <x v="1"/>
  </r>
  <r>
    <n v="548"/>
    <s v="Kimberly Anderson"/>
    <s v="Male"/>
    <x v="0"/>
    <n v="22"/>
    <n v="88"/>
    <n v="1"/>
    <x v="0"/>
    <x v="4"/>
    <x v="1"/>
  </r>
  <r>
    <n v="549"/>
    <s v="Brian Miles"/>
    <s v="Male"/>
    <x v="9"/>
    <n v="17"/>
    <n v="77.598759048603924"/>
    <n v="2"/>
    <x v="2"/>
    <x v="5"/>
    <x v="1"/>
  </r>
  <r>
    <n v="550"/>
    <s v="Kelly Baker"/>
    <s v="Male"/>
    <x v="1"/>
    <n v="22"/>
    <n v="70"/>
    <n v="2"/>
    <x v="1"/>
    <x v="9"/>
    <x v="0"/>
  </r>
  <r>
    <n v="551"/>
    <s v="Wendy Miller"/>
    <s v="Female"/>
    <x v="9"/>
    <n v="12"/>
    <n v="86"/>
    <n v="3"/>
    <x v="1"/>
    <x v="2"/>
    <x v="0"/>
  </r>
  <r>
    <n v="552"/>
    <s v="Michael Webster"/>
    <s v="Male"/>
    <x v="8"/>
    <n v="25"/>
    <n v="82"/>
    <n v="3"/>
    <x v="0"/>
    <x v="1"/>
    <x v="1"/>
  </r>
  <r>
    <n v="553"/>
    <s v="Michelle Ryan"/>
    <s v="Female"/>
    <x v="6"/>
    <n v="15"/>
    <n v="88"/>
    <n v="1"/>
    <x v="2"/>
    <x v="3"/>
    <x v="0"/>
  </r>
  <r>
    <n v="554"/>
    <s v="Justin Jennings"/>
    <s v="Male"/>
    <x v="9"/>
    <n v="18"/>
    <n v="70"/>
    <n v="2"/>
    <x v="1"/>
    <x v="0"/>
    <x v="0"/>
  </r>
  <r>
    <n v="555"/>
    <s v="Norma Ward"/>
    <s v="Male"/>
    <x v="2"/>
    <n v="25"/>
    <n v="88"/>
    <n v="1"/>
    <x v="2"/>
    <x v="7"/>
    <x v="1"/>
  </r>
  <r>
    <n v="556"/>
    <s v="Unknown"/>
    <s v="Male"/>
    <x v="0"/>
    <n v="12"/>
    <n v="88"/>
    <n v="1"/>
    <x v="1"/>
    <x v="0"/>
    <x v="0"/>
  </r>
  <r>
    <n v="557"/>
    <s v="Vincent Johnson"/>
    <s v="Male"/>
    <x v="3"/>
    <n v="22"/>
    <n v="77.598759048603924"/>
    <n v="1"/>
    <x v="0"/>
    <x v="2"/>
    <x v="0"/>
  </r>
  <r>
    <n v="558"/>
    <s v="David Stone"/>
    <s v="Unknown"/>
    <x v="8"/>
    <n v="22"/>
    <n v="60"/>
    <n v="0"/>
    <x v="2"/>
    <x v="1"/>
    <x v="0"/>
  </r>
  <r>
    <n v="559"/>
    <s v="Amy Evans"/>
    <s v="Male"/>
    <x v="9"/>
    <n v="8"/>
    <n v="85"/>
    <n v="1"/>
    <x v="0"/>
    <x v="10"/>
    <x v="1"/>
  </r>
  <r>
    <n v="560"/>
    <s v="Caleb Walker"/>
    <s v="Female"/>
    <x v="2"/>
    <n v="20"/>
    <n v="88"/>
    <n v="1"/>
    <x v="0"/>
    <x v="5"/>
    <x v="0"/>
  </r>
  <r>
    <n v="561"/>
    <s v="Stephen Ramirez"/>
    <s v="Male"/>
    <x v="3"/>
    <n v="30"/>
    <n v="77"/>
    <n v="2"/>
    <x v="1"/>
    <x v="10"/>
    <x v="1"/>
  </r>
  <r>
    <n v="562"/>
    <s v="Nicholas Baxter"/>
    <s v="Male"/>
    <x v="0"/>
    <n v="8"/>
    <n v="70"/>
    <n v="2"/>
    <x v="0"/>
    <x v="4"/>
    <x v="1"/>
  </r>
  <r>
    <n v="563"/>
    <s v="Raymond Smith"/>
    <s v="Female"/>
    <x v="0"/>
    <n v="20"/>
    <n v="70"/>
    <n v="2"/>
    <x v="0"/>
    <x v="9"/>
    <x v="1"/>
  </r>
  <r>
    <n v="564"/>
    <s v="Roy Johnson"/>
    <s v="Male"/>
    <x v="3"/>
    <n v="18"/>
    <n v="82"/>
    <n v="2"/>
    <x v="1"/>
    <x v="7"/>
    <x v="1"/>
  </r>
  <r>
    <n v="565"/>
    <s v="Ryan Vasquez"/>
    <s v="Unknown"/>
    <x v="1"/>
    <n v="15"/>
    <n v="86"/>
    <n v="2"/>
    <x v="2"/>
    <x v="1"/>
    <x v="0"/>
  </r>
  <r>
    <n v="566"/>
    <s v="Justin Johnson"/>
    <s v="Male"/>
    <x v="9"/>
    <n v="22"/>
    <n v="90"/>
    <n v="0"/>
    <x v="0"/>
    <x v="4"/>
    <x v="0"/>
  </r>
  <r>
    <n v="567"/>
    <s v="Unknown"/>
    <s v="Male"/>
    <x v="0"/>
    <n v="17.630526315789474"/>
    <n v="78"/>
    <n v="2"/>
    <x v="1"/>
    <x v="0"/>
    <x v="1"/>
  </r>
  <r>
    <n v="568"/>
    <s v="Kaylee Benjamin"/>
    <s v="Female"/>
    <x v="9"/>
    <n v="30"/>
    <n v="90"/>
    <n v="2"/>
    <x v="0"/>
    <x v="7"/>
    <x v="0"/>
  </r>
  <r>
    <n v="569"/>
    <s v="Charles Murphy"/>
    <s v="Female"/>
    <x v="9"/>
    <n v="17"/>
    <n v="77"/>
    <n v="3"/>
    <x v="0"/>
    <x v="2"/>
    <x v="0"/>
  </r>
  <r>
    <n v="570"/>
    <s v="Grant Henderson"/>
    <s v="Female"/>
    <x v="2"/>
    <n v="17.630526315789474"/>
    <n v="88"/>
    <n v="1"/>
    <x v="1"/>
    <x v="0"/>
    <x v="0"/>
  </r>
  <r>
    <n v="571"/>
    <s v="Michael Woods"/>
    <s v="Female"/>
    <x v="2"/>
    <n v="18"/>
    <n v="88"/>
    <n v="3"/>
    <x v="2"/>
    <x v="2"/>
    <x v="1"/>
  </r>
  <r>
    <n v="572"/>
    <s v="Michael Kane"/>
    <s v="Male"/>
    <x v="9"/>
    <n v="12"/>
    <n v="77"/>
    <n v="0"/>
    <x v="2"/>
    <x v="6"/>
    <x v="1"/>
  </r>
  <r>
    <n v="573"/>
    <s v="Susan Benson"/>
    <s v="Female"/>
    <x v="1"/>
    <n v="30"/>
    <n v="90"/>
    <n v="3"/>
    <x v="1"/>
    <x v="6"/>
    <x v="1"/>
  </r>
  <r>
    <n v="574"/>
    <s v="Timothy Armstrong"/>
    <s v="Male"/>
    <x v="8"/>
    <n v="17"/>
    <n v="85"/>
    <n v="3"/>
    <x v="2"/>
    <x v="7"/>
    <x v="0"/>
  </r>
  <r>
    <n v="575"/>
    <s v="Cindy Harvey"/>
    <s v="Female"/>
    <x v="6"/>
    <n v="20"/>
    <n v="86"/>
    <n v="2"/>
    <x v="2"/>
    <x v="9"/>
    <x v="0"/>
  </r>
  <r>
    <n v="576"/>
    <s v="Caitlin Carter"/>
    <s v="Male"/>
    <x v="1"/>
    <n v="25"/>
    <n v="65"/>
    <n v="3"/>
    <x v="2"/>
    <x v="0"/>
    <x v="1"/>
  </r>
  <r>
    <n v="577"/>
    <s v="Ricky Johnson"/>
    <s v="Female"/>
    <x v="6"/>
    <n v="22"/>
    <n v="86"/>
    <n v="1"/>
    <x v="0"/>
    <x v="3"/>
    <x v="0"/>
  </r>
  <r>
    <n v="578"/>
    <s v="Bryan Hoover"/>
    <s v="Female"/>
    <x v="5"/>
    <n v="20"/>
    <n v="86"/>
    <n v="1"/>
    <x v="2"/>
    <x v="8"/>
    <x v="0"/>
  </r>
  <r>
    <n v="579"/>
    <s v="Elijah Wagner"/>
    <s v="Female"/>
    <x v="7"/>
    <n v="15"/>
    <n v="78"/>
    <n v="2"/>
    <x v="1"/>
    <x v="1"/>
    <x v="1"/>
  </r>
  <r>
    <n v="580"/>
    <s v="Felicia Davis"/>
    <s v="Female"/>
    <x v="5"/>
    <n v="8"/>
    <n v="60"/>
    <n v="0"/>
    <x v="1"/>
    <x v="8"/>
    <x v="0"/>
  </r>
  <r>
    <n v="581"/>
    <s v="Jonathan Hess"/>
    <s v="Male"/>
    <x v="7"/>
    <n v="8"/>
    <n v="88"/>
    <n v="0"/>
    <x v="0"/>
    <x v="4"/>
    <x v="1"/>
  </r>
  <r>
    <n v="582"/>
    <s v="Michael Yoder"/>
    <s v="Male"/>
    <x v="1"/>
    <n v="15"/>
    <n v="65"/>
    <n v="1"/>
    <x v="2"/>
    <x v="6"/>
    <x v="1"/>
  </r>
  <r>
    <n v="583"/>
    <s v="Samantha York"/>
    <s v="Female"/>
    <x v="0"/>
    <n v="22"/>
    <n v="60"/>
    <n v="3"/>
    <x v="0"/>
    <x v="7"/>
    <x v="0"/>
  </r>
  <r>
    <n v="584"/>
    <s v="Joanna Martinez"/>
    <s v="Female"/>
    <x v="3"/>
    <n v="10"/>
    <n v="60"/>
    <n v="3"/>
    <x v="0"/>
    <x v="9"/>
    <x v="1"/>
  </r>
  <r>
    <n v="585"/>
    <s v="Penny Hopkins"/>
    <s v="Female"/>
    <x v="6"/>
    <n v="12"/>
    <n v="86"/>
    <n v="1"/>
    <x v="0"/>
    <x v="0"/>
    <x v="0"/>
  </r>
  <r>
    <n v="586"/>
    <s v="Justin Foster"/>
    <s v="Female"/>
    <x v="1"/>
    <n v="17.630526315789474"/>
    <n v="77.598759048603924"/>
    <n v="2"/>
    <x v="1"/>
    <x v="8"/>
    <x v="1"/>
  </r>
  <r>
    <n v="587"/>
    <s v="Jennifer Morgan"/>
    <s v="Female"/>
    <x v="1"/>
    <n v="12"/>
    <n v="86"/>
    <n v="2"/>
    <x v="2"/>
    <x v="0"/>
    <x v="1"/>
  </r>
  <r>
    <n v="588"/>
    <s v="Dalton Chen"/>
    <s v="Female"/>
    <x v="7"/>
    <n v="17"/>
    <n v="86"/>
    <n v="1"/>
    <x v="1"/>
    <x v="10"/>
    <x v="0"/>
  </r>
  <r>
    <n v="589"/>
    <s v="Mrs. Amy Carney MD"/>
    <s v="Male"/>
    <x v="8"/>
    <n v="18"/>
    <n v="86"/>
    <n v="2"/>
    <x v="0"/>
    <x v="7"/>
    <x v="1"/>
  </r>
  <r>
    <n v="590"/>
    <s v="Melissa Wang"/>
    <s v="Male"/>
    <x v="9"/>
    <n v="17"/>
    <n v="85"/>
    <n v="0"/>
    <x v="2"/>
    <x v="1"/>
    <x v="0"/>
  </r>
  <r>
    <n v="591"/>
    <s v="Chelsea Porter"/>
    <s v="Female"/>
    <x v="9"/>
    <n v="17.630526315789474"/>
    <n v="78"/>
    <n v="2"/>
    <x v="2"/>
    <x v="2"/>
    <x v="1"/>
  </r>
  <r>
    <n v="592"/>
    <s v="Cameron Bender"/>
    <s v="Female"/>
    <x v="2"/>
    <n v="17.630526315789474"/>
    <n v="90"/>
    <n v="1"/>
    <x v="0"/>
    <x v="8"/>
    <x v="1"/>
  </r>
  <r>
    <n v="593"/>
    <s v="Vanessa Hall"/>
    <s v="Male"/>
    <x v="0"/>
    <n v="8"/>
    <n v="60"/>
    <n v="3"/>
    <x v="2"/>
    <x v="7"/>
    <x v="1"/>
  </r>
  <r>
    <n v="594"/>
    <s v="Daniel Solomon"/>
    <s v="Male"/>
    <x v="9"/>
    <n v="20"/>
    <n v="78"/>
    <n v="1"/>
    <x v="1"/>
    <x v="6"/>
    <x v="1"/>
  </r>
  <r>
    <n v="595"/>
    <s v="Deanna Jones"/>
    <s v="Female"/>
    <x v="0"/>
    <n v="18"/>
    <n v="65"/>
    <n v="2"/>
    <x v="1"/>
    <x v="0"/>
    <x v="0"/>
  </r>
  <r>
    <n v="596"/>
    <s v="Alicia Young"/>
    <s v="Unknown"/>
    <x v="1"/>
    <n v="12"/>
    <n v="88"/>
    <n v="0"/>
    <x v="2"/>
    <x v="4"/>
    <x v="1"/>
  </r>
  <r>
    <n v="597"/>
    <s v="Peter Figueroa"/>
    <s v="Female"/>
    <x v="0"/>
    <n v="25"/>
    <n v="86"/>
    <n v="3"/>
    <x v="2"/>
    <x v="10"/>
    <x v="0"/>
  </r>
  <r>
    <n v="598"/>
    <s v="Jacob Thompson"/>
    <s v="Male"/>
    <x v="0"/>
    <n v="20"/>
    <n v="78"/>
    <n v="0"/>
    <x v="0"/>
    <x v="8"/>
    <x v="0"/>
  </r>
  <r>
    <n v="599"/>
    <s v="Jonathon Woodward"/>
    <s v="Female"/>
    <x v="9"/>
    <n v="25"/>
    <n v="78"/>
    <n v="1"/>
    <x v="2"/>
    <x v="1"/>
    <x v="1"/>
  </r>
  <r>
    <n v="600"/>
    <s v="Brian Hayes"/>
    <s v="Male"/>
    <x v="1"/>
    <n v="22"/>
    <n v="65"/>
    <n v="0"/>
    <x v="2"/>
    <x v="9"/>
    <x v="1"/>
  </r>
  <r>
    <n v="601"/>
    <s v="Lisa Carroll"/>
    <s v="Female"/>
    <x v="9"/>
    <n v="17"/>
    <n v="85"/>
    <n v="1"/>
    <x v="1"/>
    <x v="6"/>
    <x v="1"/>
  </r>
  <r>
    <n v="602"/>
    <s v="Cassandra Ryan"/>
    <s v="Male"/>
    <x v="1"/>
    <n v="18"/>
    <n v="78"/>
    <n v="0"/>
    <x v="1"/>
    <x v="10"/>
    <x v="0"/>
  </r>
  <r>
    <n v="603"/>
    <s v="Terri Hayden"/>
    <s v="Female"/>
    <x v="1"/>
    <n v="17"/>
    <n v="90"/>
    <n v="3"/>
    <x v="1"/>
    <x v="2"/>
    <x v="1"/>
  </r>
  <r>
    <n v="604"/>
    <s v="Taylor Burns"/>
    <s v="Female"/>
    <x v="3"/>
    <n v="22"/>
    <n v="85"/>
    <n v="1"/>
    <x v="2"/>
    <x v="4"/>
    <x v="1"/>
  </r>
  <r>
    <n v="605"/>
    <s v="Andrew Jimenez"/>
    <s v="Female"/>
    <x v="0"/>
    <n v="17"/>
    <n v="65"/>
    <n v="1"/>
    <x v="0"/>
    <x v="6"/>
    <x v="0"/>
  </r>
  <r>
    <n v="606"/>
    <s v="Wendy King"/>
    <s v="Male"/>
    <x v="7"/>
    <n v="17"/>
    <n v="77"/>
    <n v="0"/>
    <x v="1"/>
    <x v="1"/>
    <x v="0"/>
  </r>
  <r>
    <n v="607"/>
    <s v="Luis Carter"/>
    <s v="Male"/>
    <x v="8"/>
    <n v="12"/>
    <n v="88"/>
    <n v="1"/>
    <x v="2"/>
    <x v="4"/>
    <x v="1"/>
  </r>
  <r>
    <n v="608"/>
    <s v="Nicholas Jones"/>
    <s v="Female"/>
    <x v="1"/>
    <n v="17"/>
    <n v="77.598759048603924"/>
    <n v="3"/>
    <x v="0"/>
    <x v="8"/>
    <x v="1"/>
  </r>
  <r>
    <n v="609"/>
    <s v="Tiffany Sanders"/>
    <s v="Female"/>
    <x v="1"/>
    <n v="30"/>
    <n v="77"/>
    <n v="2"/>
    <x v="2"/>
    <x v="7"/>
    <x v="1"/>
  </r>
  <r>
    <n v="610"/>
    <s v="Unknown"/>
    <s v="Male"/>
    <x v="8"/>
    <n v="25"/>
    <n v="77"/>
    <n v="0"/>
    <x v="0"/>
    <x v="8"/>
    <x v="0"/>
  </r>
  <r>
    <n v="611"/>
    <s v="Tina Knight"/>
    <s v="Male"/>
    <x v="5"/>
    <n v="15"/>
    <n v="88"/>
    <n v="1"/>
    <x v="1"/>
    <x v="1"/>
    <x v="0"/>
  </r>
  <r>
    <n v="612"/>
    <s v="Brittany Andrews"/>
    <s v="Male"/>
    <x v="8"/>
    <n v="25"/>
    <n v="85"/>
    <n v="1"/>
    <x v="2"/>
    <x v="2"/>
    <x v="0"/>
  </r>
  <r>
    <n v="613"/>
    <s v="William Weber"/>
    <s v="Male"/>
    <x v="2"/>
    <n v="15"/>
    <n v="65"/>
    <n v="1"/>
    <x v="1"/>
    <x v="1"/>
    <x v="1"/>
  </r>
  <r>
    <n v="614"/>
    <s v="Angela Ortiz"/>
    <s v="Male"/>
    <x v="0"/>
    <n v="22"/>
    <n v="86"/>
    <n v="3"/>
    <x v="0"/>
    <x v="3"/>
    <x v="0"/>
  </r>
  <r>
    <n v="615"/>
    <s v="David Meyer"/>
    <s v="Male"/>
    <x v="4"/>
    <n v="12"/>
    <n v="65"/>
    <n v="1"/>
    <x v="0"/>
    <x v="5"/>
    <x v="1"/>
  </r>
  <r>
    <n v="616"/>
    <s v="Michelle Aguilar"/>
    <s v="Female"/>
    <x v="2"/>
    <n v="8"/>
    <n v="65"/>
    <n v="1"/>
    <x v="2"/>
    <x v="2"/>
    <x v="1"/>
  </r>
  <r>
    <n v="617"/>
    <s v="Travis Harrell"/>
    <s v="Male"/>
    <x v="8"/>
    <n v="8"/>
    <n v="65"/>
    <n v="1"/>
    <x v="1"/>
    <x v="1"/>
    <x v="1"/>
  </r>
  <r>
    <n v="618"/>
    <s v="Craig Mccann"/>
    <s v="Female"/>
    <x v="0"/>
    <n v="10"/>
    <n v="90"/>
    <n v="0"/>
    <x v="2"/>
    <x v="4"/>
    <x v="1"/>
  </r>
  <r>
    <n v="619"/>
    <s v="Scott Edwards"/>
    <s v="Male"/>
    <x v="8"/>
    <n v="10"/>
    <n v="77"/>
    <n v="3"/>
    <x v="0"/>
    <x v="4"/>
    <x v="1"/>
  </r>
  <r>
    <n v="620"/>
    <s v="Kelly Cohen"/>
    <s v="Male"/>
    <x v="7"/>
    <n v="20"/>
    <n v="86"/>
    <n v="1"/>
    <x v="2"/>
    <x v="8"/>
    <x v="1"/>
  </r>
  <r>
    <n v="621"/>
    <s v="David Diaz"/>
    <s v="Male"/>
    <x v="3"/>
    <n v="20"/>
    <n v="65"/>
    <n v="1"/>
    <x v="1"/>
    <x v="5"/>
    <x v="1"/>
  </r>
  <r>
    <n v="622"/>
    <s v="Joseph Green"/>
    <s v="Female"/>
    <x v="3"/>
    <n v="8"/>
    <n v="82"/>
    <n v="1"/>
    <x v="2"/>
    <x v="5"/>
    <x v="1"/>
  </r>
  <r>
    <n v="623"/>
    <s v="Henry Johnson"/>
    <s v="Male"/>
    <x v="2"/>
    <n v="15"/>
    <n v="77"/>
    <n v="2"/>
    <x v="0"/>
    <x v="1"/>
    <x v="0"/>
  </r>
  <r>
    <n v="624"/>
    <s v="Keith Wilson"/>
    <s v="Female"/>
    <x v="3"/>
    <n v="30"/>
    <n v="90"/>
    <n v="2"/>
    <x v="1"/>
    <x v="3"/>
    <x v="0"/>
  </r>
  <r>
    <n v="625"/>
    <s v="Jordan Chase"/>
    <s v="Female"/>
    <x v="3"/>
    <n v="20"/>
    <n v="77"/>
    <n v="3"/>
    <x v="1"/>
    <x v="0"/>
    <x v="1"/>
  </r>
  <r>
    <n v="626"/>
    <s v="Kayla Solomon"/>
    <s v="Male"/>
    <x v="6"/>
    <n v="30"/>
    <n v="65"/>
    <n v="1"/>
    <x v="2"/>
    <x v="3"/>
    <x v="1"/>
  </r>
  <r>
    <n v="627"/>
    <s v="Hayley Johnson"/>
    <s v="Male"/>
    <x v="0"/>
    <n v="22"/>
    <n v="78"/>
    <n v="2"/>
    <x v="0"/>
    <x v="1"/>
    <x v="0"/>
  </r>
  <r>
    <n v="628"/>
    <s v="John Bender"/>
    <s v="Female"/>
    <x v="3"/>
    <n v="18"/>
    <n v="86"/>
    <n v="0"/>
    <x v="2"/>
    <x v="9"/>
    <x v="1"/>
  </r>
  <r>
    <n v="629"/>
    <s v="William Christian"/>
    <s v="Female"/>
    <x v="7"/>
    <n v="17"/>
    <n v="90"/>
    <n v="3"/>
    <x v="1"/>
    <x v="5"/>
    <x v="0"/>
  </r>
  <r>
    <n v="630"/>
    <s v="Michael Willis"/>
    <s v="Male"/>
    <x v="5"/>
    <n v="8"/>
    <n v="86"/>
    <n v="3"/>
    <x v="2"/>
    <x v="2"/>
    <x v="0"/>
  </r>
  <r>
    <n v="631"/>
    <s v="James Simmons"/>
    <s v="Male"/>
    <x v="0"/>
    <n v="12"/>
    <n v="78"/>
    <n v="0"/>
    <x v="2"/>
    <x v="6"/>
    <x v="1"/>
  </r>
  <r>
    <n v="632"/>
    <s v="Christopher Sullivan"/>
    <s v="Unknown"/>
    <x v="3"/>
    <n v="17.630526315789474"/>
    <n v="70"/>
    <n v="1"/>
    <x v="2"/>
    <x v="6"/>
    <x v="0"/>
  </r>
  <r>
    <n v="633"/>
    <s v="Michelle Santos"/>
    <s v="Male"/>
    <x v="1"/>
    <n v="15"/>
    <n v="77.598759048603924"/>
    <n v="2"/>
    <x v="0"/>
    <x v="7"/>
    <x v="1"/>
  </r>
  <r>
    <n v="634"/>
    <s v="Michael Walters"/>
    <s v="Female"/>
    <x v="2"/>
    <n v="8"/>
    <n v="65"/>
    <n v="1"/>
    <x v="2"/>
    <x v="7"/>
    <x v="1"/>
  </r>
  <r>
    <n v="635"/>
    <s v="Jason Anderson"/>
    <s v="Female"/>
    <x v="7"/>
    <n v="15"/>
    <n v="82"/>
    <n v="0"/>
    <x v="1"/>
    <x v="9"/>
    <x v="1"/>
  </r>
  <r>
    <n v="636"/>
    <s v="Unknown"/>
    <s v="Female"/>
    <x v="0"/>
    <n v="12"/>
    <n v="88"/>
    <n v="1"/>
    <x v="0"/>
    <x v="6"/>
    <x v="1"/>
  </r>
  <r>
    <n v="637"/>
    <s v="James Hoover"/>
    <s v="Female"/>
    <x v="2"/>
    <n v="12"/>
    <n v="85"/>
    <n v="2"/>
    <x v="2"/>
    <x v="3"/>
    <x v="1"/>
  </r>
  <r>
    <n v="638"/>
    <s v="Julie Garza"/>
    <s v="Male"/>
    <x v="0"/>
    <n v="22"/>
    <n v="90"/>
    <n v="3"/>
    <x v="1"/>
    <x v="10"/>
    <x v="0"/>
  </r>
  <r>
    <n v="639"/>
    <s v="Lisa Williams"/>
    <s v="Unknown"/>
    <x v="1"/>
    <n v="30"/>
    <n v="88"/>
    <n v="1"/>
    <x v="1"/>
    <x v="8"/>
    <x v="0"/>
  </r>
  <r>
    <n v="640"/>
    <s v="Erica Thomas"/>
    <s v="Female"/>
    <x v="0"/>
    <n v="22"/>
    <n v="88"/>
    <n v="2"/>
    <x v="0"/>
    <x v="7"/>
    <x v="1"/>
  </r>
  <r>
    <n v="641"/>
    <s v="Calvin Vargas"/>
    <s v="Male"/>
    <x v="1"/>
    <n v="10"/>
    <n v="82"/>
    <n v="2"/>
    <x v="0"/>
    <x v="2"/>
    <x v="1"/>
  </r>
  <r>
    <n v="642"/>
    <s v="Molly Jones"/>
    <s v="Female"/>
    <x v="7"/>
    <n v="10"/>
    <n v="77"/>
    <n v="1"/>
    <x v="1"/>
    <x v="7"/>
    <x v="0"/>
  </r>
  <r>
    <n v="643"/>
    <s v="Shannon Hogan"/>
    <s v="Male"/>
    <x v="0"/>
    <n v="17.630526315789474"/>
    <n v="70"/>
    <n v="1"/>
    <x v="1"/>
    <x v="9"/>
    <x v="0"/>
  </r>
  <r>
    <n v="644"/>
    <s v="James Fields"/>
    <s v="Female"/>
    <x v="0"/>
    <n v="18"/>
    <n v="77.598759048603924"/>
    <n v="0"/>
    <x v="1"/>
    <x v="2"/>
    <x v="0"/>
  </r>
  <r>
    <n v="645"/>
    <s v="Arthur Johnson"/>
    <s v="Female"/>
    <x v="0"/>
    <n v="10"/>
    <n v="88"/>
    <n v="2"/>
    <x v="1"/>
    <x v="2"/>
    <x v="0"/>
  </r>
  <r>
    <n v="646"/>
    <s v="Collin Edwards"/>
    <s v="Male"/>
    <x v="2"/>
    <n v="10"/>
    <n v="90"/>
    <n v="2"/>
    <x v="0"/>
    <x v="10"/>
    <x v="0"/>
  </r>
  <r>
    <n v="647"/>
    <s v="Kimberly Smith"/>
    <s v="Male"/>
    <x v="3"/>
    <n v="17.630526315789474"/>
    <n v="77.598759048603924"/>
    <n v="1"/>
    <x v="1"/>
    <x v="2"/>
    <x v="1"/>
  </r>
  <r>
    <n v="648"/>
    <s v="Mr. Clinton Camacho"/>
    <s v="Female"/>
    <x v="1"/>
    <n v="15"/>
    <n v="60"/>
    <n v="1"/>
    <x v="0"/>
    <x v="7"/>
    <x v="1"/>
  </r>
  <r>
    <n v="649"/>
    <s v="Taylor Moyer"/>
    <s v="Unknown"/>
    <x v="9"/>
    <n v="17"/>
    <n v="82"/>
    <n v="3"/>
    <x v="0"/>
    <x v="2"/>
    <x v="0"/>
  </r>
  <r>
    <n v="650"/>
    <s v="Unknown"/>
    <s v="Male"/>
    <x v="0"/>
    <n v="15"/>
    <n v="77.598759048603924"/>
    <n v="2"/>
    <x v="0"/>
    <x v="4"/>
    <x v="1"/>
  </r>
  <r>
    <n v="651"/>
    <s v="David Jimenez"/>
    <s v="Female"/>
    <x v="1"/>
    <n v="30"/>
    <n v="78"/>
    <n v="3"/>
    <x v="2"/>
    <x v="3"/>
    <x v="0"/>
  </r>
  <r>
    <n v="652"/>
    <s v="Kyle Coleman"/>
    <s v="Male"/>
    <x v="1"/>
    <n v="17.630526315789474"/>
    <n v="77"/>
    <n v="2"/>
    <x v="2"/>
    <x v="6"/>
    <x v="1"/>
  </r>
  <r>
    <n v="653"/>
    <s v="Marvin Cardenas"/>
    <s v="Female"/>
    <x v="2"/>
    <n v="8"/>
    <n v="88"/>
    <n v="0"/>
    <x v="1"/>
    <x v="0"/>
    <x v="0"/>
  </r>
  <r>
    <n v="654"/>
    <s v="Eddie Robertson"/>
    <s v="Male"/>
    <x v="3"/>
    <n v="17"/>
    <n v="60"/>
    <n v="1"/>
    <x v="1"/>
    <x v="2"/>
    <x v="0"/>
  </r>
  <r>
    <n v="655"/>
    <s v="Christopher Diaz"/>
    <s v="Male"/>
    <x v="2"/>
    <n v="25"/>
    <n v="82"/>
    <n v="1"/>
    <x v="2"/>
    <x v="10"/>
    <x v="0"/>
  </r>
  <r>
    <n v="656"/>
    <s v="Christopher Taylor"/>
    <s v="Male"/>
    <x v="6"/>
    <n v="18"/>
    <n v="60"/>
    <n v="0"/>
    <x v="2"/>
    <x v="7"/>
    <x v="1"/>
  </r>
  <r>
    <n v="657"/>
    <s v="Brenda Bell"/>
    <s v="Male"/>
    <x v="6"/>
    <n v="18"/>
    <n v="70"/>
    <n v="1"/>
    <x v="0"/>
    <x v="4"/>
    <x v="0"/>
  </r>
  <r>
    <n v="658"/>
    <s v="Ashley Nguyen"/>
    <s v="Male"/>
    <x v="0"/>
    <n v="15"/>
    <n v="65"/>
    <n v="2"/>
    <x v="1"/>
    <x v="7"/>
    <x v="0"/>
  </r>
  <r>
    <n v="659"/>
    <s v="Michael Bailey"/>
    <s v="Male"/>
    <x v="0"/>
    <n v="25"/>
    <n v="78"/>
    <n v="2"/>
    <x v="1"/>
    <x v="7"/>
    <x v="0"/>
  </r>
  <r>
    <n v="660"/>
    <s v="Maria Scott"/>
    <s v="Female"/>
    <x v="9"/>
    <n v="17.630526315789474"/>
    <n v="85"/>
    <n v="1"/>
    <x v="2"/>
    <x v="9"/>
    <x v="1"/>
  </r>
  <r>
    <n v="661"/>
    <s v="Katherine Mclaughlin"/>
    <s v="Male"/>
    <x v="5"/>
    <n v="17"/>
    <n v="65"/>
    <n v="1"/>
    <x v="0"/>
    <x v="0"/>
    <x v="1"/>
  </r>
  <r>
    <n v="662"/>
    <s v="Karen Cruz"/>
    <s v="Female"/>
    <x v="9"/>
    <n v="12"/>
    <n v="85"/>
    <n v="2"/>
    <x v="0"/>
    <x v="2"/>
    <x v="1"/>
  </r>
  <r>
    <n v="663"/>
    <s v="Jodi Taylor"/>
    <s v="Female"/>
    <x v="5"/>
    <n v="18"/>
    <n v="82"/>
    <n v="1"/>
    <x v="0"/>
    <x v="8"/>
    <x v="1"/>
  </r>
  <r>
    <n v="664"/>
    <s v="Thomas Mcgrath"/>
    <s v="Female"/>
    <x v="5"/>
    <n v="17"/>
    <n v="60"/>
    <n v="1"/>
    <x v="0"/>
    <x v="1"/>
    <x v="1"/>
  </r>
  <r>
    <n v="665"/>
    <s v="Alec Peterson"/>
    <s v="Male"/>
    <x v="6"/>
    <n v="17"/>
    <n v="85"/>
    <n v="2"/>
    <x v="0"/>
    <x v="0"/>
    <x v="0"/>
  </r>
  <r>
    <n v="666"/>
    <s v="Kathy Bailey"/>
    <s v="Unknown"/>
    <x v="8"/>
    <n v="12"/>
    <n v="88"/>
    <n v="0"/>
    <x v="2"/>
    <x v="4"/>
    <x v="1"/>
  </r>
  <r>
    <n v="667"/>
    <s v="Karen Wolf"/>
    <s v="Male"/>
    <x v="3"/>
    <n v="18"/>
    <n v="65"/>
    <n v="3"/>
    <x v="0"/>
    <x v="1"/>
    <x v="1"/>
  </r>
  <r>
    <n v="668"/>
    <s v="Mary Jones"/>
    <s v="Male"/>
    <x v="0"/>
    <n v="8"/>
    <n v="78"/>
    <n v="3"/>
    <x v="0"/>
    <x v="0"/>
    <x v="1"/>
  </r>
  <r>
    <n v="669"/>
    <s v="Lisa Houston"/>
    <s v="Male"/>
    <x v="9"/>
    <n v="15"/>
    <n v="77.598759048603924"/>
    <n v="2"/>
    <x v="2"/>
    <x v="0"/>
    <x v="1"/>
  </r>
  <r>
    <n v="670"/>
    <s v="Ashley Jordan"/>
    <s v="Male"/>
    <x v="2"/>
    <n v="30"/>
    <n v="78"/>
    <n v="2"/>
    <x v="0"/>
    <x v="4"/>
    <x v="0"/>
  </r>
  <r>
    <n v="671"/>
    <s v="Lonnie Williams"/>
    <s v="Male"/>
    <x v="7"/>
    <n v="22"/>
    <n v="85"/>
    <n v="2"/>
    <x v="2"/>
    <x v="0"/>
    <x v="1"/>
  </r>
  <r>
    <n v="672"/>
    <s v="Michael Poole"/>
    <s v="Male"/>
    <x v="7"/>
    <n v="15"/>
    <n v="85"/>
    <n v="3"/>
    <x v="2"/>
    <x v="7"/>
    <x v="1"/>
  </r>
  <r>
    <n v="673"/>
    <s v="David Martinez"/>
    <s v="Male"/>
    <x v="2"/>
    <n v="30"/>
    <n v="60"/>
    <n v="0"/>
    <x v="0"/>
    <x v="8"/>
    <x v="0"/>
  </r>
  <r>
    <n v="674"/>
    <s v="Eduardo Miller"/>
    <s v="Female"/>
    <x v="1"/>
    <n v="12"/>
    <n v="65"/>
    <n v="1"/>
    <x v="1"/>
    <x v="4"/>
    <x v="1"/>
  </r>
  <r>
    <n v="675"/>
    <s v="Kristine Williams"/>
    <s v="Female"/>
    <x v="4"/>
    <n v="8"/>
    <n v="82"/>
    <n v="1"/>
    <x v="2"/>
    <x v="4"/>
    <x v="1"/>
  </r>
  <r>
    <n v="676"/>
    <s v="Unknown"/>
    <s v="Female"/>
    <x v="6"/>
    <n v="25"/>
    <n v="85"/>
    <n v="1"/>
    <x v="0"/>
    <x v="10"/>
    <x v="0"/>
  </r>
  <r>
    <n v="677"/>
    <s v="Audrey Woods"/>
    <s v="Female"/>
    <x v="0"/>
    <n v="12"/>
    <n v="85"/>
    <n v="2"/>
    <x v="0"/>
    <x v="6"/>
    <x v="1"/>
  </r>
  <r>
    <n v="678"/>
    <s v="Lauren Brown"/>
    <s v="Male"/>
    <x v="5"/>
    <n v="25"/>
    <n v="88"/>
    <n v="3"/>
    <x v="2"/>
    <x v="6"/>
    <x v="0"/>
  </r>
  <r>
    <n v="679"/>
    <s v="Stephanie Merritt"/>
    <s v="Female"/>
    <x v="6"/>
    <n v="30"/>
    <n v="77"/>
    <n v="3"/>
    <x v="1"/>
    <x v="7"/>
    <x v="0"/>
  </r>
  <r>
    <n v="680"/>
    <s v="Rebecca Jones"/>
    <s v="Male"/>
    <x v="9"/>
    <n v="17"/>
    <n v="77"/>
    <n v="3"/>
    <x v="2"/>
    <x v="2"/>
    <x v="1"/>
  </r>
  <r>
    <n v="681"/>
    <s v="Isaiah Arnold"/>
    <s v="Female"/>
    <x v="0"/>
    <n v="10"/>
    <n v="60"/>
    <n v="3"/>
    <x v="2"/>
    <x v="10"/>
    <x v="1"/>
  </r>
  <r>
    <n v="682"/>
    <s v="Andrea Frey"/>
    <s v="Female"/>
    <x v="0"/>
    <n v="25"/>
    <n v="82"/>
    <n v="1"/>
    <x v="1"/>
    <x v="8"/>
    <x v="1"/>
  </r>
  <r>
    <n v="683"/>
    <s v="Andrew Dudley"/>
    <s v="Female"/>
    <x v="1"/>
    <n v="8"/>
    <n v="77"/>
    <n v="1"/>
    <x v="1"/>
    <x v="7"/>
    <x v="1"/>
  </r>
  <r>
    <n v="684"/>
    <s v="Kenneth Jones"/>
    <s v="Unknown"/>
    <x v="0"/>
    <n v="8"/>
    <n v="65"/>
    <n v="2"/>
    <x v="2"/>
    <x v="6"/>
    <x v="0"/>
  </r>
  <r>
    <n v="685"/>
    <s v="Jane Griffith"/>
    <s v="Female"/>
    <x v="0"/>
    <n v="12"/>
    <n v="65"/>
    <n v="2"/>
    <x v="0"/>
    <x v="6"/>
    <x v="0"/>
  </r>
  <r>
    <n v="686"/>
    <s v="Jeff Phillips"/>
    <s v="Female"/>
    <x v="5"/>
    <n v="15"/>
    <n v="78"/>
    <n v="3"/>
    <x v="0"/>
    <x v="2"/>
    <x v="1"/>
  </r>
  <r>
    <n v="687"/>
    <s v="Dawn Edwards"/>
    <s v="Female"/>
    <x v="1"/>
    <n v="8"/>
    <n v="88"/>
    <n v="1"/>
    <x v="1"/>
    <x v="10"/>
    <x v="1"/>
  </r>
  <r>
    <n v="688"/>
    <s v="Paige Campbell"/>
    <s v="Female"/>
    <x v="8"/>
    <n v="20"/>
    <n v="85"/>
    <n v="2"/>
    <x v="0"/>
    <x v="10"/>
    <x v="0"/>
  </r>
  <r>
    <n v="689"/>
    <s v="Belinda Kim"/>
    <s v="Female"/>
    <x v="6"/>
    <n v="22"/>
    <n v="70"/>
    <n v="0"/>
    <x v="1"/>
    <x v="0"/>
    <x v="1"/>
  </r>
  <r>
    <n v="690"/>
    <s v="Christopher Cruz"/>
    <s v="Female"/>
    <x v="4"/>
    <n v="8"/>
    <n v="88"/>
    <n v="3"/>
    <x v="0"/>
    <x v="7"/>
    <x v="1"/>
  </r>
  <r>
    <n v="691"/>
    <s v="Ruben Steele"/>
    <s v="Female"/>
    <x v="7"/>
    <n v="30"/>
    <n v="65"/>
    <n v="3"/>
    <x v="1"/>
    <x v="10"/>
    <x v="0"/>
  </r>
  <r>
    <n v="692"/>
    <s v="Bradley Martinez"/>
    <s v="Male"/>
    <x v="9"/>
    <n v="18"/>
    <n v="78"/>
    <n v="2"/>
    <x v="2"/>
    <x v="6"/>
    <x v="1"/>
  </r>
  <r>
    <n v="693"/>
    <s v="Alison Williams"/>
    <s v="Female"/>
    <x v="9"/>
    <n v="20"/>
    <n v="86"/>
    <n v="2"/>
    <x v="1"/>
    <x v="6"/>
    <x v="1"/>
  </r>
  <r>
    <n v="694"/>
    <s v="Scott Ferguson"/>
    <s v="Female"/>
    <x v="6"/>
    <n v="12"/>
    <n v="88"/>
    <n v="3"/>
    <x v="1"/>
    <x v="6"/>
    <x v="0"/>
  </r>
  <r>
    <n v="695"/>
    <s v="David Brown"/>
    <s v="Male"/>
    <x v="0"/>
    <n v="12"/>
    <n v="65"/>
    <n v="3"/>
    <x v="1"/>
    <x v="3"/>
    <x v="0"/>
  </r>
  <r>
    <n v="696"/>
    <s v="Joseph Smith"/>
    <s v="Female"/>
    <x v="8"/>
    <n v="15"/>
    <n v="70"/>
    <n v="3"/>
    <x v="1"/>
    <x v="7"/>
    <x v="0"/>
  </r>
  <r>
    <n v="697"/>
    <s v="Unknown"/>
    <s v="Female"/>
    <x v="5"/>
    <n v="20"/>
    <n v="90"/>
    <n v="0"/>
    <x v="1"/>
    <x v="4"/>
    <x v="1"/>
  </r>
  <r>
    <n v="698"/>
    <s v="Renee Scott"/>
    <s v="Male"/>
    <x v="1"/>
    <n v="10"/>
    <n v="90"/>
    <n v="1"/>
    <x v="0"/>
    <x v="4"/>
    <x v="0"/>
  </r>
  <r>
    <n v="699"/>
    <s v="Aimee Green"/>
    <s v="Male"/>
    <x v="3"/>
    <n v="10"/>
    <n v="82"/>
    <n v="0"/>
    <x v="0"/>
    <x v="4"/>
    <x v="1"/>
  </r>
  <r>
    <n v="700"/>
    <s v="Ricky Jenkins"/>
    <s v="Female"/>
    <x v="0"/>
    <n v="15"/>
    <n v="85"/>
    <n v="1"/>
    <x v="2"/>
    <x v="4"/>
    <x v="0"/>
  </r>
  <r>
    <n v="701"/>
    <s v="Kelly Allen MD"/>
    <s v="Female"/>
    <x v="2"/>
    <n v="25"/>
    <n v="85"/>
    <n v="3"/>
    <x v="2"/>
    <x v="8"/>
    <x v="0"/>
  </r>
  <r>
    <n v="702"/>
    <s v="Sean Smith"/>
    <s v="Male"/>
    <x v="3"/>
    <n v="22"/>
    <n v="85"/>
    <n v="1"/>
    <x v="1"/>
    <x v="9"/>
    <x v="1"/>
  </r>
  <r>
    <n v="703"/>
    <s v="Robert Johnson"/>
    <s v="Male"/>
    <x v="2"/>
    <n v="20"/>
    <n v="65"/>
    <n v="3"/>
    <x v="1"/>
    <x v="7"/>
    <x v="1"/>
  </r>
  <r>
    <n v="704"/>
    <s v="Susan Russell"/>
    <s v="Female"/>
    <x v="1"/>
    <n v="30"/>
    <n v="70"/>
    <n v="0"/>
    <x v="0"/>
    <x v="3"/>
    <x v="1"/>
  </r>
  <r>
    <n v="705"/>
    <s v="Ryan West"/>
    <s v="Female"/>
    <x v="5"/>
    <n v="18"/>
    <n v="78"/>
    <n v="3"/>
    <x v="0"/>
    <x v="0"/>
    <x v="1"/>
  </r>
  <r>
    <n v="706"/>
    <s v="Unknown"/>
    <s v="Female"/>
    <x v="9"/>
    <n v="30"/>
    <n v="85"/>
    <n v="2"/>
    <x v="0"/>
    <x v="7"/>
    <x v="0"/>
  </r>
  <r>
    <n v="707"/>
    <s v="Christina Fitzgerald"/>
    <s v="Male"/>
    <x v="3"/>
    <n v="18"/>
    <n v="90"/>
    <n v="0"/>
    <x v="1"/>
    <x v="10"/>
    <x v="0"/>
  </r>
  <r>
    <n v="708"/>
    <s v="Susan Roberson"/>
    <s v="Female"/>
    <x v="1"/>
    <n v="17"/>
    <n v="77"/>
    <n v="0"/>
    <x v="1"/>
    <x v="6"/>
    <x v="1"/>
  </r>
  <r>
    <n v="709"/>
    <s v="Jessica Banks"/>
    <s v="Male"/>
    <x v="5"/>
    <n v="8"/>
    <n v="86"/>
    <n v="2"/>
    <x v="2"/>
    <x v="5"/>
    <x v="1"/>
  </r>
  <r>
    <n v="710"/>
    <s v="Jodi Rogers"/>
    <s v="Female"/>
    <x v="2"/>
    <n v="15"/>
    <n v="60"/>
    <n v="3"/>
    <x v="2"/>
    <x v="4"/>
    <x v="1"/>
  </r>
  <r>
    <n v="711"/>
    <s v="Michelle Clay"/>
    <s v="Male"/>
    <x v="7"/>
    <n v="10"/>
    <n v="86"/>
    <n v="0"/>
    <x v="1"/>
    <x v="7"/>
    <x v="1"/>
  </r>
  <r>
    <n v="712"/>
    <s v="Jacob Bean"/>
    <s v="Male"/>
    <x v="8"/>
    <n v="30"/>
    <n v="82"/>
    <n v="3"/>
    <x v="0"/>
    <x v="6"/>
    <x v="0"/>
  </r>
  <r>
    <n v="713"/>
    <s v="Robert Harper"/>
    <s v="Male"/>
    <x v="0"/>
    <n v="12"/>
    <n v="86"/>
    <n v="3"/>
    <x v="0"/>
    <x v="7"/>
    <x v="1"/>
  </r>
  <r>
    <n v="714"/>
    <s v="Valerie Gibson"/>
    <s v="Female"/>
    <x v="8"/>
    <n v="8"/>
    <n v="86"/>
    <n v="2"/>
    <x v="0"/>
    <x v="1"/>
    <x v="1"/>
  </r>
  <r>
    <n v="715"/>
    <s v="Michelle Graham"/>
    <s v="Female"/>
    <x v="0"/>
    <n v="17"/>
    <n v="85"/>
    <n v="3"/>
    <x v="2"/>
    <x v="3"/>
    <x v="0"/>
  </r>
  <r>
    <n v="716"/>
    <s v="Seth Johnson"/>
    <s v="Female"/>
    <x v="6"/>
    <n v="10"/>
    <n v="60"/>
    <n v="3"/>
    <x v="2"/>
    <x v="3"/>
    <x v="1"/>
  </r>
  <r>
    <n v="717"/>
    <s v="John Jones"/>
    <s v="Male"/>
    <x v="6"/>
    <n v="10"/>
    <n v="78"/>
    <n v="2"/>
    <x v="1"/>
    <x v="3"/>
    <x v="0"/>
  </r>
  <r>
    <n v="718"/>
    <s v="Julia Sanchez"/>
    <s v="Male"/>
    <x v="0"/>
    <n v="17"/>
    <n v="65"/>
    <n v="1"/>
    <x v="2"/>
    <x v="6"/>
    <x v="0"/>
  </r>
  <r>
    <n v="719"/>
    <s v="Unknown"/>
    <s v="Female"/>
    <x v="1"/>
    <n v="20"/>
    <n v="70"/>
    <n v="1"/>
    <x v="0"/>
    <x v="10"/>
    <x v="0"/>
  </r>
  <r>
    <n v="720"/>
    <s v="Justin Sharp"/>
    <s v="Male"/>
    <x v="9"/>
    <n v="12"/>
    <n v="86"/>
    <n v="0"/>
    <x v="1"/>
    <x v="6"/>
    <x v="1"/>
  </r>
  <r>
    <n v="721"/>
    <s v="Thomas Yoder"/>
    <s v="Female"/>
    <x v="4"/>
    <n v="12"/>
    <n v="77"/>
    <n v="1"/>
    <x v="1"/>
    <x v="2"/>
    <x v="0"/>
  </r>
  <r>
    <n v="722"/>
    <s v="Christine Mullins"/>
    <s v="Female"/>
    <x v="1"/>
    <n v="30"/>
    <n v="78"/>
    <n v="0"/>
    <x v="1"/>
    <x v="4"/>
    <x v="0"/>
  </r>
  <r>
    <n v="723"/>
    <s v="Timothy Mcbride"/>
    <s v="Female"/>
    <x v="7"/>
    <n v="30"/>
    <n v="60"/>
    <n v="0"/>
    <x v="1"/>
    <x v="7"/>
    <x v="0"/>
  </r>
  <r>
    <n v="724"/>
    <s v="Deborah Reyes"/>
    <s v="Male"/>
    <x v="2"/>
    <n v="15"/>
    <n v="90"/>
    <n v="0"/>
    <x v="0"/>
    <x v="7"/>
    <x v="0"/>
  </r>
  <r>
    <n v="725"/>
    <s v="Chad Downs"/>
    <s v="Male"/>
    <x v="0"/>
    <n v="15"/>
    <n v="77.598759048603924"/>
    <n v="1"/>
    <x v="2"/>
    <x v="8"/>
    <x v="1"/>
  </r>
  <r>
    <n v="726"/>
    <s v="William Hill"/>
    <s v="Male"/>
    <x v="5"/>
    <n v="20"/>
    <n v="90"/>
    <n v="2"/>
    <x v="0"/>
    <x v="2"/>
    <x v="1"/>
  </r>
  <r>
    <n v="727"/>
    <s v="Makayla Rhodes"/>
    <s v="Male"/>
    <x v="6"/>
    <n v="20"/>
    <n v="90"/>
    <n v="1"/>
    <x v="2"/>
    <x v="1"/>
    <x v="0"/>
  </r>
  <r>
    <n v="728"/>
    <s v="Clayton Jones"/>
    <s v="Female"/>
    <x v="5"/>
    <n v="17.630526315789474"/>
    <n v="85"/>
    <n v="1"/>
    <x v="0"/>
    <x v="0"/>
    <x v="0"/>
  </r>
  <r>
    <n v="729"/>
    <s v="Sean Hernandez"/>
    <s v="Female"/>
    <x v="8"/>
    <n v="15"/>
    <n v="88"/>
    <n v="1"/>
    <x v="2"/>
    <x v="9"/>
    <x v="1"/>
  </r>
  <r>
    <n v="730"/>
    <s v="Christine Young"/>
    <s v="Male"/>
    <x v="9"/>
    <n v="30"/>
    <n v="78"/>
    <n v="2"/>
    <x v="2"/>
    <x v="9"/>
    <x v="0"/>
  </r>
  <r>
    <n v="731"/>
    <s v="Brian Hale"/>
    <s v="Male"/>
    <x v="6"/>
    <n v="20"/>
    <n v="78"/>
    <n v="3"/>
    <x v="0"/>
    <x v="6"/>
    <x v="1"/>
  </r>
  <r>
    <n v="732"/>
    <s v="Sandra Hart"/>
    <s v="Female"/>
    <x v="0"/>
    <n v="8"/>
    <n v="82"/>
    <n v="3"/>
    <x v="0"/>
    <x v="10"/>
    <x v="1"/>
  </r>
  <r>
    <n v="733"/>
    <s v="Christine Curtis"/>
    <s v="Female"/>
    <x v="6"/>
    <n v="17"/>
    <n v="82"/>
    <n v="3"/>
    <x v="2"/>
    <x v="6"/>
    <x v="0"/>
  </r>
  <r>
    <n v="734"/>
    <s v="Tara Johnson"/>
    <s v="Female"/>
    <x v="6"/>
    <n v="20"/>
    <n v="78"/>
    <n v="2"/>
    <x v="1"/>
    <x v="7"/>
    <x v="1"/>
  </r>
  <r>
    <n v="735"/>
    <s v="Stephanie Snyder"/>
    <s v="Male"/>
    <x v="9"/>
    <n v="17"/>
    <n v="60"/>
    <n v="2"/>
    <x v="1"/>
    <x v="4"/>
    <x v="0"/>
  </r>
  <r>
    <n v="736"/>
    <s v="Miguel Leblanc"/>
    <s v="Female"/>
    <x v="9"/>
    <n v="22"/>
    <n v="78"/>
    <n v="2"/>
    <x v="0"/>
    <x v="0"/>
    <x v="0"/>
  </r>
  <r>
    <n v="737"/>
    <s v="Christina Mcintyre"/>
    <s v="Male"/>
    <x v="0"/>
    <n v="22"/>
    <n v="82"/>
    <n v="1"/>
    <x v="1"/>
    <x v="9"/>
    <x v="1"/>
  </r>
  <r>
    <n v="738"/>
    <s v="John Weber"/>
    <s v="Female"/>
    <x v="2"/>
    <n v="10"/>
    <n v="60"/>
    <n v="1"/>
    <x v="0"/>
    <x v="6"/>
    <x v="0"/>
  </r>
  <r>
    <n v="739"/>
    <s v="Timothy Austin"/>
    <s v="Female"/>
    <x v="8"/>
    <n v="18"/>
    <n v="88"/>
    <n v="0"/>
    <x v="0"/>
    <x v="2"/>
    <x v="0"/>
  </r>
  <r>
    <n v="740"/>
    <s v="Jeffrey Sullivan"/>
    <s v="Female"/>
    <x v="7"/>
    <n v="15"/>
    <n v="78"/>
    <n v="0"/>
    <x v="0"/>
    <x v="0"/>
    <x v="0"/>
  </r>
  <r>
    <n v="741"/>
    <s v="Michael Noble"/>
    <s v="Female"/>
    <x v="9"/>
    <n v="22"/>
    <n v="86"/>
    <n v="1"/>
    <x v="2"/>
    <x v="6"/>
    <x v="1"/>
  </r>
  <r>
    <n v="742"/>
    <s v="Christine Shah"/>
    <s v="Male"/>
    <x v="3"/>
    <n v="20"/>
    <n v="78"/>
    <n v="3"/>
    <x v="0"/>
    <x v="3"/>
    <x v="1"/>
  </r>
  <r>
    <n v="743"/>
    <s v="Lisa Maynard"/>
    <s v="Male"/>
    <x v="1"/>
    <n v="18"/>
    <n v="77"/>
    <n v="0"/>
    <x v="1"/>
    <x v="6"/>
    <x v="1"/>
  </r>
  <r>
    <n v="744"/>
    <s v="Lisa Lynch"/>
    <s v="Female"/>
    <x v="0"/>
    <n v="15"/>
    <n v="77"/>
    <n v="3"/>
    <x v="0"/>
    <x v="3"/>
    <x v="1"/>
  </r>
  <r>
    <n v="745"/>
    <s v="Angela Warren"/>
    <s v="Male"/>
    <x v="1"/>
    <n v="8"/>
    <n v="60"/>
    <n v="1"/>
    <x v="2"/>
    <x v="9"/>
    <x v="0"/>
  </r>
  <r>
    <n v="746"/>
    <s v="Mary Benson"/>
    <s v="Female"/>
    <x v="6"/>
    <n v="17.630526315789474"/>
    <n v="70"/>
    <n v="3"/>
    <x v="2"/>
    <x v="5"/>
    <x v="1"/>
  </r>
  <r>
    <n v="747"/>
    <s v="Yvonne Krueger"/>
    <s v="Male"/>
    <x v="6"/>
    <n v="22"/>
    <n v="88"/>
    <n v="2"/>
    <x v="0"/>
    <x v="4"/>
    <x v="0"/>
  </r>
  <r>
    <n v="748"/>
    <s v="Keith Bailey"/>
    <s v="Female"/>
    <x v="8"/>
    <n v="30"/>
    <n v="77"/>
    <n v="0"/>
    <x v="0"/>
    <x v="2"/>
    <x v="0"/>
  </r>
  <r>
    <n v="749"/>
    <s v="Barbara Case"/>
    <s v="Female"/>
    <x v="3"/>
    <n v="12"/>
    <n v="90"/>
    <n v="3"/>
    <x v="2"/>
    <x v="10"/>
    <x v="0"/>
  </r>
  <r>
    <n v="750"/>
    <s v="Jamie Torres"/>
    <s v="Female"/>
    <x v="6"/>
    <n v="8"/>
    <n v="88"/>
    <n v="1"/>
    <x v="0"/>
    <x v="9"/>
    <x v="1"/>
  </r>
  <r>
    <n v="751"/>
    <s v="Justin Jacobs"/>
    <s v="Male"/>
    <x v="2"/>
    <n v="25"/>
    <n v="65"/>
    <n v="3"/>
    <x v="1"/>
    <x v="1"/>
    <x v="0"/>
  </r>
  <r>
    <n v="752"/>
    <s v="Kevin Reynolds"/>
    <s v="Male"/>
    <x v="7"/>
    <n v="15"/>
    <n v="77.598759048603924"/>
    <n v="1"/>
    <x v="1"/>
    <x v="10"/>
    <x v="1"/>
  </r>
  <r>
    <n v="753"/>
    <s v="Michelle Kelly"/>
    <s v="Female"/>
    <x v="6"/>
    <n v="20"/>
    <n v="86"/>
    <n v="3"/>
    <x v="0"/>
    <x v="8"/>
    <x v="0"/>
  </r>
  <r>
    <n v="754"/>
    <s v="Terry Hernandez"/>
    <s v="Male"/>
    <x v="7"/>
    <n v="18"/>
    <n v="65"/>
    <n v="2"/>
    <x v="2"/>
    <x v="1"/>
    <x v="0"/>
  </r>
  <r>
    <n v="755"/>
    <s v="Aaron Duarte"/>
    <s v="Male"/>
    <x v="8"/>
    <n v="22"/>
    <n v="85"/>
    <n v="2"/>
    <x v="0"/>
    <x v="8"/>
    <x v="1"/>
  </r>
  <r>
    <n v="756"/>
    <s v="Micheal Perez"/>
    <s v="Female"/>
    <x v="2"/>
    <n v="18"/>
    <n v="77"/>
    <n v="2"/>
    <x v="1"/>
    <x v="1"/>
    <x v="0"/>
  </r>
  <r>
    <n v="757"/>
    <s v="Troy Bradford"/>
    <s v="Male"/>
    <x v="3"/>
    <n v="17"/>
    <n v="60"/>
    <n v="1"/>
    <x v="0"/>
    <x v="7"/>
    <x v="1"/>
  </r>
  <r>
    <n v="758"/>
    <s v="Bobby Wilkinson"/>
    <s v="Female"/>
    <x v="5"/>
    <n v="8"/>
    <n v="88"/>
    <n v="3"/>
    <x v="0"/>
    <x v="8"/>
    <x v="1"/>
  </r>
  <r>
    <n v="759"/>
    <s v="Juan Lopez"/>
    <s v="Female"/>
    <x v="4"/>
    <n v="17"/>
    <n v="70"/>
    <n v="1"/>
    <x v="0"/>
    <x v="7"/>
    <x v="1"/>
  </r>
  <r>
    <n v="760"/>
    <s v="Virginia Medina"/>
    <s v="Female"/>
    <x v="4"/>
    <n v="8"/>
    <n v="65"/>
    <n v="0"/>
    <x v="0"/>
    <x v="5"/>
    <x v="1"/>
  </r>
  <r>
    <n v="761"/>
    <s v="Leah Holmes"/>
    <s v="Female"/>
    <x v="6"/>
    <n v="8"/>
    <n v="77.598759048603924"/>
    <n v="2"/>
    <x v="2"/>
    <x v="10"/>
    <x v="0"/>
  </r>
  <r>
    <n v="762"/>
    <s v="Todd Brooks"/>
    <s v="Male"/>
    <x v="6"/>
    <n v="17"/>
    <n v="90"/>
    <n v="2"/>
    <x v="2"/>
    <x v="9"/>
    <x v="0"/>
  </r>
  <r>
    <n v="763"/>
    <s v="Madeline Rush"/>
    <s v="Male"/>
    <x v="9"/>
    <n v="20"/>
    <n v="78"/>
    <n v="2"/>
    <x v="1"/>
    <x v="6"/>
    <x v="1"/>
  </r>
  <r>
    <n v="764"/>
    <s v="Ronnie Lee"/>
    <s v="Female"/>
    <x v="3"/>
    <n v="20"/>
    <n v="70"/>
    <n v="2"/>
    <x v="1"/>
    <x v="8"/>
    <x v="1"/>
  </r>
  <r>
    <n v="765"/>
    <s v="Nicole Frederick"/>
    <s v="Male"/>
    <x v="7"/>
    <n v="22"/>
    <n v="82"/>
    <n v="3"/>
    <x v="1"/>
    <x v="6"/>
    <x v="1"/>
  </r>
  <r>
    <n v="766"/>
    <s v="Jason Adams"/>
    <s v="Female"/>
    <x v="7"/>
    <n v="30"/>
    <n v="85"/>
    <n v="1"/>
    <x v="2"/>
    <x v="1"/>
    <x v="1"/>
  </r>
  <r>
    <n v="767"/>
    <s v="Mallory Fletcher"/>
    <s v="Female"/>
    <x v="3"/>
    <n v="22"/>
    <n v="86"/>
    <n v="2"/>
    <x v="2"/>
    <x v="3"/>
    <x v="1"/>
  </r>
  <r>
    <n v="768"/>
    <s v="David Cummings"/>
    <s v="Unknown"/>
    <x v="1"/>
    <n v="30"/>
    <n v="70"/>
    <n v="3"/>
    <x v="0"/>
    <x v="10"/>
    <x v="0"/>
  </r>
  <r>
    <n v="769"/>
    <s v="Kelly Suarez"/>
    <s v="Male"/>
    <x v="1"/>
    <n v="15"/>
    <n v="60"/>
    <n v="0"/>
    <x v="1"/>
    <x v="3"/>
    <x v="0"/>
  </r>
  <r>
    <n v="770"/>
    <s v="Drew Morse"/>
    <s v="Unknown"/>
    <x v="9"/>
    <n v="22"/>
    <n v="77"/>
    <n v="0"/>
    <x v="1"/>
    <x v="7"/>
    <x v="1"/>
  </r>
  <r>
    <n v="771"/>
    <s v="Lauren Stephens"/>
    <s v="Male"/>
    <x v="0"/>
    <n v="17"/>
    <n v="65"/>
    <n v="2"/>
    <x v="2"/>
    <x v="1"/>
    <x v="0"/>
  </r>
  <r>
    <n v="772"/>
    <s v="Penny Miller"/>
    <s v="Male"/>
    <x v="7"/>
    <n v="30"/>
    <n v="85"/>
    <n v="3"/>
    <x v="1"/>
    <x v="1"/>
    <x v="0"/>
  </r>
  <r>
    <n v="773"/>
    <s v="Paula Stewart"/>
    <s v="Male"/>
    <x v="1"/>
    <n v="30"/>
    <n v="82"/>
    <n v="1"/>
    <x v="1"/>
    <x v="4"/>
    <x v="1"/>
  </r>
  <r>
    <n v="774"/>
    <s v="Jonathan Johnson"/>
    <s v="Female"/>
    <x v="0"/>
    <n v="18"/>
    <n v="82"/>
    <n v="3"/>
    <x v="0"/>
    <x v="7"/>
    <x v="0"/>
  </r>
  <r>
    <n v="775"/>
    <s v="Laura Ross"/>
    <s v="Male"/>
    <x v="6"/>
    <n v="17"/>
    <n v="86"/>
    <n v="2"/>
    <x v="2"/>
    <x v="7"/>
    <x v="0"/>
  </r>
  <r>
    <n v="776"/>
    <s v="Brandy Wilson"/>
    <s v="Male"/>
    <x v="2"/>
    <n v="12"/>
    <n v="77"/>
    <n v="1"/>
    <x v="2"/>
    <x v="7"/>
    <x v="0"/>
  </r>
  <r>
    <n v="777"/>
    <s v="Brittany Briggs"/>
    <s v="Female"/>
    <x v="6"/>
    <n v="25"/>
    <n v="60"/>
    <n v="1"/>
    <x v="2"/>
    <x v="0"/>
    <x v="0"/>
  </r>
  <r>
    <n v="778"/>
    <s v="Carl Coleman"/>
    <s v="Male"/>
    <x v="0"/>
    <n v="22"/>
    <n v="82"/>
    <n v="2"/>
    <x v="2"/>
    <x v="1"/>
    <x v="1"/>
  </r>
  <r>
    <n v="779"/>
    <s v="Crystal Chandler"/>
    <s v="Male"/>
    <x v="8"/>
    <n v="12"/>
    <n v="90"/>
    <n v="1"/>
    <x v="2"/>
    <x v="0"/>
    <x v="1"/>
  </r>
  <r>
    <n v="780"/>
    <s v="Elizabeth Nichols"/>
    <s v="Female"/>
    <x v="3"/>
    <n v="25"/>
    <n v="86"/>
    <n v="1"/>
    <x v="0"/>
    <x v="5"/>
    <x v="1"/>
  </r>
  <r>
    <n v="781"/>
    <s v="Jesse Barber"/>
    <s v="Male"/>
    <x v="5"/>
    <n v="17.630526315789474"/>
    <n v="65"/>
    <n v="0"/>
    <x v="0"/>
    <x v="8"/>
    <x v="1"/>
  </r>
  <r>
    <n v="782"/>
    <s v="Julie Jackson"/>
    <s v="Male"/>
    <x v="7"/>
    <n v="10"/>
    <n v="82"/>
    <n v="0"/>
    <x v="0"/>
    <x v="4"/>
    <x v="0"/>
  </r>
  <r>
    <n v="783"/>
    <s v="Cindy Morales"/>
    <s v="Male"/>
    <x v="0"/>
    <n v="22"/>
    <n v="88"/>
    <n v="0"/>
    <x v="0"/>
    <x v="0"/>
    <x v="0"/>
  </r>
  <r>
    <n v="784"/>
    <s v="Unknown"/>
    <s v="Female"/>
    <x v="5"/>
    <n v="18"/>
    <n v="60"/>
    <n v="2"/>
    <x v="0"/>
    <x v="3"/>
    <x v="1"/>
  </r>
  <r>
    <n v="785"/>
    <s v="Ashley Franco"/>
    <s v="Female"/>
    <x v="1"/>
    <n v="18"/>
    <n v="78"/>
    <n v="1"/>
    <x v="1"/>
    <x v="8"/>
    <x v="1"/>
  </r>
  <r>
    <n v="786"/>
    <s v="Kimberly Calderon"/>
    <s v="Male"/>
    <x v="0"/>
    <n v="18"/>
    <n v="70"/>
    <n v="3"/>
    <x v="2"/>
    <x v="1"/>
    <x v="1"/>
  </r>
  <r>
    <n v="787"/>
    <s v="Lisa Brooks"/>
    <s v="Female"/>
    <x v="0"/>
    <n v="20"/>
    <n v="70"/>
    <n v="3"/>
    <x v="0"/>
    <x v="10"/>
    <x v="1"/>
  </r>
  <r>
    <n v="788"/>
    <s v="Destiny Todd"/>
    <s v="Female"/>
    <x v="7"/>
    <n v="17"/>
    <n v="78"/>
    <n v="1"/>
    <x v="1"/>
    <x v="9"/>
    <x v="1"/>
  </r>
  <r>
    <n v="789"/>
    <s v="Dawn Luna"/>
    <s v="Female"/>
    <x v="9"/>
    <n v="22"/>
    <n v="77.598759048603924"/>
    <n v="1"/>
    <x v="1"/>
    <x v="3"/>
    <x v="0"/>
  </r>
  <r>
    <n v="790"/>
    <s v="Jacob Yoder"/>
    <s v="Male"/>
    <x v="7"/>
    <n v="22"/>
    <n v="85"/>
    <n v="2"/>
    <x v="0"/>
    <x v="6"/>
    <x v="0"/>
  </r>
  <r>
    <n v="791"/>
    <s v="Martha Moody"/>
    <s v="Male"/>
    <x v="8"/>
    <n v="12"/>
    <n v="88"/>
    <n v="1"/>
    <x v="2"/>
    <x v="4"/>
    <x v="0"/>
  </r>
  <r>
    <n v="792"/>
    <s v="James Torres"/>
    <s v="Male"/>
    <x v="5"/>
    <n v="30"/>
    <n v="90"/>
    <n v="1"/>
    <x v="2"/>
    <x v="10"/>
    <x v="1"/>
  </r>
  <r>
    <n v="793"/>
    <s v="Joshua Robertson"/>
    <s v="Female"/>
    <x v="0"/>
    <n v="15"/>
    <n v="65"/>
    <n v="0"/>
    <x v="2"/>
    <x v="7"/>
    <x v="1"/>
  </r>
  <r>
    <n v="794"/>
    <s v="Shelly Stuart"/>
    <s v="Male"/>
    <x v="0"/>
    <n v="20"/>
    <n v="88"/>
    <n v="0"/>
    <x v="2"/>
    <x v="10"/>
    <x v="1"/>
  </r>
  <r>
    <n v="795"/>
    <s v="Julie Williams"/>
    <s v="Female"/>
    <x v="5"/>
    <n v="25"/>
    <n v="77"/>
    <n v="1"/>
    <x v="0"/>
    <x v="0"/>
    <x v="0"/>
  </r>
  <r>
    <n v="796"/>
    <s v="Tamara Jones"/>
    <s v="Unknown"/>
    <x v="8"/>
    <n v="18"/>
    <n v="90"/>
    <n v="3"/>
    <x v="1"/>
    <x v="10"/>
    <x v="1"/>
  </r>
  <r>
    <n v="797"/>
    <s v="Todd Orozco"/>
    <s v="Male"/>
    <x v="6"/>
    <n v="20"/>
    <n v="77.598759048603924"/>
    <n v="3"/>
    <x v="2"/>
    <x v="7"/>
    <x v="1"/>
  </r>
  <r>
    <n v="798"/>
    <s v="Jeffrey Torres"/>
    <s v="Male"/>
    <x v="1"/>
    <n v="10"/>
    <n v="82"/>
    <n v="3"/>
    <x v="0"/>
    <x v="8"/>
    <x v="1"/>
  </r>
  <r>
    <n v="799"/>
    <s v="Chad Colon"/>
    <s v="Female"/>
    <x v="7"/>
    <n v="17"/>
    <n v="78"/>
    <n v="1"/>
    <x v="2"/>
    <x v="0"/>
    <x v="0"/>
  </r>
  <r>
    <n v="800"/>
    <s v="Alan Williams"/>
    <s v="Female"/>
    <x v="1"/>
    <n v="12"/>
    <n v="77"/>
    <n v="1"/>
    <x v="1"/>
    <x v="8"/>
    <x v="1"/>
  </r>
  <r>
    <n v="801"/>
    <s v="Cameron Austin"/>
    <s v="Female"/>
    <x v="4"/>
    <n v="12"/>
    <n v="77"/>
    <n v="1"/>
    <x v="0"/>
    <x v="6"/>
    <x v="1"/>
  </r>
  <r>
    <n v="802"/>
    <s v="Dawn Nguyen"/>
    <s v="Female"/>
    <x v="1"/>
    <n v="25"/>
    <n v="90"/>
    <n v="0"/>
    <x v="1"/>
    <x v="4"/>
    <x v="1"/>
  </r>
  <r>
    <n v="803"/>
    <s v="Andrea Phillips"/>
    <s v="Female"/>
    <x v="6"/>
    <n v="15"/>
    <n v="86"/>
    <n v="1"/>
    <x v="1"/>
    <x v="3"/>
    <x v="0"/>
  </r>
  <r>
    <n v="804"/>
    <s v="Robert Bishop"/>
    <s v="Female"/>
    <x v="4"/>
    <n v="17.630526315789474"/>
    <n v="85"/>
    <n v="3"/>
    <x v="2"/>
    <x v="7"/>
    <x v="0"/>
  </r>
  <r>
    <n v="805"/>
    <s v="Melanie Mckinney"/>
    <s v="Male"/>
    <x v="0"/>
    <n v="15"/>
    <n v="60"/>
    <n v="1"/>
    <x v="2"/>
    <x v="1"/>
    <x v="0"/>
  </r>
  <r>
    <n v="806"/>
    <s v="Joseph Ellis"/>
    <s v="Female"/>
    <x v="8"/>
    <n v="8"/>
    <n v="85"/>
    <n v="2"/>
    <x v="2"/>
    <x v="0"/>
    <x v="0"/>
  </r>
  <r>
    <n v="807"/>
    <s v="Jennifer Smith"/>
    <s v="Male"/>
    <x v="8"/>
    <n v="8"/>
    <n v="90"/>
    <n v="3"/>
    <x v="2"/>
    <x v="9"/>
    <x v="0"/>
  </r>
  <r>
    <n v="808"/>
    <s v="Vickie Holloway"/>
    <s v="Male"/>
    <x v="5"/>
    <n v="15"/>
    <n v="77"/>
    <n v="2"/>
    <x v="1"/>
    <x v="9"/>
    <x v="1"/>
  </r>
  <r>
    <n v="809"/>
    <s v="Nancy Munoz"/>
    <s v="Male"/>
    <x v="8"/>
    <n v="10"/>
    <n v="70"/>
    <n v="2"/>
    <x v="1"/>
    <x v="6"/>
    <x v="0"/>
  </r>
  <r>
    <n v="810"/>
    <s v="David Taylor"/>
    <s v="Male"/>
    <x v="4"/>
    <n v="15"/>
    <n v="78"/>
    <n v="0"/>
    <x v="1"/>
    <x v="9"/>
    <x v="1"/>
  </r>
  <r>
    <n v="811"/>
    <s v="Amber Gray"/>
    <s v="Male"/>
    <x v="2"/>
    <n v="17"/>
    <n v="82"/>
    <n v="3"/>
    <x v="1"/>
    <x v="4"/>
    <x v="1"/>
  </r>
  <r>
    <n v="812"/>
    <s v="Christian Barr"/>
    <s v="Male"/>
    <x v="7"/>
    <n v="12"/>
    <n v="78"/>
    <n v="0"/>
    <x v="1"/>
    <x v="3"/>
    <x v="1"/>
  </r>
  <r>
    <n v="813"/>
    <s v="Kimberly Harrison"/>
    <s v="Unknown"/>
    <x v="3"/>
    <n v="17"/>
    <n v="77"/>
    <n v="3"/>
    <x v="2"/>
    <x v="10"/>
    <x v="0"/>
  </r>
  <r>
    <n v="814"/>
    <s v="Mark Fleming"/>
    <s v="Female"/>
    <x v="5"/>
    <n v="10"/>
    <n v="85"/>
    <n v="1"/>
    <x v="0"/>
    <x v="7"/>
    <x v="1"/>
  </r>
  <r>
    <n v="815"/>
    <s v="Felicia Carpenter"/>
    <s v="Female"/>
    <x v="4"/>
    <n v="25"/>
    <n v="90"/>
    <n v="1"/>
    <x v="2"/>
    <x v="10"/>
    <x v="1"/>
  </r>
  <r>
    <n v="816"/>
    <s v="Rebecca Kelly"/>
    <s v="Male"/>
    <x v="0"/>
    <n v="30"/>
    <n v="78"/>
    <n v="2"/>
    <x v="1"/>
    <x v="0"/>
    <x v="0"/>
  </r>
  <r>
    <n v="817"/>
    <s v="Aaron Walls"/>
    <s v="Male"/>
    <x v="8"/>
    <n v="30"/>
    <n v="78"/>
    <n v="1"/>
    <x v="0"/>
    <x v="3"/>
    <x v="0"/>
  </r>
  <r>
    <n v="818"/>
    <s v="Mark King"/>
    <s v="Female"/>
    <x v="7"/>
    <n v="25"/>
    <n v="65"/>
    <n v="3"/>
    <x v="0"/>
    <x v="2"/>
    <x v="1"/>
  </r>
  <r>
    <n v="819"/>
    <s v="James Macdonald"/>
    <s v="Female"/>
    <x v="1"/>
    <n v="30"/>
    <n v="90"/>
    <n v="2"/>
    <x v="1"/>
    <x v="3"/>
    <x v="1"/>
  </r>
  <r>
    <n v="820"/>
    <s v="Alexander Thompson"/>
    <s v="Female"/>
    <x v="1"/>
    <n v="20"/>
    <n v="65"/>
    <n v="0"/>
    <x v="0"/>
    <x v="3"/>
    <x v="0"/>
  </r>
  <r>
    <n v="821"/>
    <s v="Kaitlin Walton"/>
    <s v="Female"/>
    <x v="3"/>
    <n v="17.630526315789474"/>
    <n v="86"/>
    <n v="3"/>
    <x v="0"/>
    <x v="8"/>
    <x v="0"/>
  </r>
  <r>
    <n v="822"/>
    <s v="Ashley Kaufman"/>
    <s v="Male"/>
    <x v="9"/>
    <n v="10"/>
    <n v="70"/>
    <n v="3"/>
    <x v="1"/>
    <x v="3"/>
    <x v="0"/>
  </r>
  <r>
    <n v="823"/>
    <s v="Megan Bernard"/>
    <s v="Male"/>
    <x v="7"/>
    <n v="8"/>
    <n v="70"/>
    <n v="1"/>
    <x v="1"/>
    <x v="8"/>
    <x v="0"/>
  </r>
  <r>
    <n v="824"/>
    <s v="Kelly Harper"/>
    <s v="Female"/>
    <x v="0"/>
    <n v="17"/>
    <n v="82"/>
    <n v="3"/>
    <x v="1"/>
    <x v="9"/>
    <x v="1"/>
  </r>
  <r>
    <n v="825"/>
    <s v="Daniel White"/>
    <s v="Female"/>
    <x v="3"/>
    <n v="8"/>
    <n v="90"/>
    <n v="2"/>
    <x v="1"/>
    <x v="6"/>
    <x v="0"/>
  </r>
  <r>
    <n v="826"/>
    <s v="Justin Castro"/>
    <s v="Unknown"/>
    <x v="1"/>
    <n v="18"/>
    <n v="77"/>
    <n v="2"/>
    <x v="1"/>
    <x v="3"/>
    <x v="0"/>
  </r>
  <r>
    <n v="827"/>
    <s v="John Odonnell"/>
    <s v="Female"/>
    <x v="0"/>
    <n v="8"/>
    <n v="60"/>
    <n v="1"/>
    <x v="1"/>
    <x v="10"/>
    <x v="1"/>
  </r>
  <r>
    <n v="828"/>
    <s v="Whitney Tapia"/>
    <s v="Male"/>
    <x v="9"/>
    <n v="20"/>
    <n v="88"/>
    <n v="2"/>
    <x v="0"/>
    <x v="8"/>
    <x v="1"/>
  </r>
  <r>
    <n v="829"/>
    <s v="Jeff Lawrence"/>
    <s v="Male"/>
    <x v="1"/>
    <n v="20"/>
    <n v="85"/>
    <n v="1"/>
    <x v="0"/>
    <x v="8"/>
    <x v="1"/>
  </r>
  <r>
    <n v="830"/>
    <s v="Jeremy Shields"/>
    <s v="Female"/>
    <x v="9"/>
    <n v="25"/>
    <n v="86"/>
    <n v="0"/>
    <x v="2"/>
    <x v="8"/>
    <x v="0"/>
  </r>
  <r>
    <n v="831"/>
    <s v="Matthew Davies"/>
    <s v="Female"/>
    <x v="6"/>
    <n v="8"/>
    <n v="86"/>
    <n v="1"/>
    <x v="1"/>
    <x v="8"/>
    <x v="0"/>
  </r>
  <r>
    <n v="832"/>
    <s v="Christine Hamilton"/>
    <s v="Male"/>
    <x v="3"/>
    <n v="17"/>
    <n v="90"/>
    <n v="2"/>
    <x v="2"/>
    <x v="8"/>
    <x v="0"/>
  </r>
  <r>
    <n v="833"/>
    <s v="Crystal Proctor"/>
    <s v="Male"/>
    <x v="5"/>
    <n v="25"/>
    <n v="60"/>
    <n v="0"/>
    <x v="0"/>
    <x v="7"/>
    <x v="1"/>
  </r>
  <r>
    <n v="834"/>
    <s v="Tracy Kelley"/>
    <s v="Male"/>
    <x v="8"/>
    <n v="10"/>
    <n v="82"/>
    <n v="1"/>
    <x v="1"/>
    <x v="10"/>
    <x v="0"/>
  </r>
  <r>
    <n v="835"/>
    <s v="Victoria Mcbride"/>
    <s v="Female"/>
    <x v="5"/>
    <n v="22"/>
    <n v="78"/>
    <n v="3"/>
    <x v="0"/>
    <x v="2"/>
    <x v="0"/>
  </r>
  <r>
    <n v="836"/>
    <s v="Ellen Cross MD"/>
    <s v="Male"/>
    <x v="6"/>
    <n v="20"/>
    <n v="70"/>
    <n v="0"/>
    <x v="0"/>
    <x v="7"/>
    <x v="0"/>
  </r>
  <r>
    <n v="837"/>
    <s v="David Stevens"/>
    <s v="Male"/>
    <x v="4"/>
    <n v="20"/>
    <n v="70"/>
    <n v="0"/>
    <x v="0"/>
    <x v="9"/>
    <x v="1"/>
  </r>
  <r>
    <n v="838"/>
    <s v="Frank Brown DDS"/>
    <s v="Female"/>
    <x v="9"/>
    <n v="25"/>
    <n v="90"/>
    <n v="2"/>
    <x v="2"/>
    <x v="8"/>
    <x v="0"/>
  </r>
  <r>
    <n v="839"/>
    <s v="Jenna Price"/>
    <s v="Male"/>
    <x v="2"/>
    <n v="30"/>
    <n v="60"/>
    <n v="0"/>
    <x v="0"/>
    <x v="1"/>
    <x v="0"/>
  </r>
  <r>
    <n v="840"/>
    <s v="Deborah Barajas"/>
    <s v="Female"/>
    <x v="4"/>
    <n v="10"/>
    <n v="90"/>
    <n v="2"/>
    <x v="1"/>
    <x v="7"/>
    <x v="0"/>
  </r>
  <r>
    <n v="841"/>
    <s v="Richard Howard Jr."/>
    <s v="Unknown"/>
    <x v="9"/>
    <n v="25"/>
    <n v="78"/>
    <n v="0"/>
    <x v="1"/>
    <x v="1"/>
    <x v="1"/>
  </r>
  <r>
    <n v="842"/>
    <s v="Anita Dougherty"/>
    <s v="Female"/>
    <x v="8"/>
    <n v="17"/>
    <n v="77"/>
    <n v="1"/>
    <x v="2"/>
    <x v="0"/>
    <x v="0"/>
  </r>
  <r>
    <n v="843"/>
    <s v="Alicia Watson"/>
    <s v="Female"/>
    <x v="6"/>
    <n v="22"/>
    <n v="65"/>
    <n v="0"/>
    <x v="0"/>
    <x v="2"/>
    <x v="0"/>
  </r>
  <r>
    <n v="844"/>
    <s v="Deborah Hunter"/>
    <s v="Female"/>
    <x v="2"/>
    <n v="22"/>
    <n v="85"/>
    <n v="0"/>
    <x v="2"/>
    <x v="0"/>
    <x v="0"/>
  </r>
  <r>
    <n v="845"/>
    <s v="Morgan Gilbert"/>
    <s v="Female"/>
    <x v="1"/>
    <n v="25"/>
    <n v="77"/>
    <n v="0"/>
    <x v="2"/>
    <x v="1"/>
    <x v="1"/>
  </r>
  <r>
    <n v="846"/>
    <s v="Taylor Crawford"/>
    <s v="Female"/>
    <x v="6"/>
    <n v="17"/>
    <n v="65"/>
    <n v="2"/>
    <x v="0"/>
    <x v="8"/>
    <x v="1"/>
  </r>
  <r>
    <n v="847"/>
    <s v="Danny Sanchez"/>
    <s v="Female"/>
    <x v="5"/>
    <n v="8"/>
    <n v="90"/>
    <n v="0"/>
    <x v="0"/>
    <x v="0"/>
    <x v="1"/>
  </r>
  <r>
    <n v="848"/>
    <s v="Cory Rosario DDS"/>
    <s v="Female"/>
    <x v="0"/>
    <n v="17"/>
    <n v="85"/>
    <n v="2"/>
    <x v="2"/>
    <x v="3"/>
    <x v="1"/>
  </r>
  <r>
    <n v="849"/>
    <s v="Unknown"/>
    <s v="Female"/>
    <x v="2"/>
    <n v="17.630526315789474"/>
    <n v="78"/>
    <n v="3"/>
    <x v="0"/>
    <x v="2"/>
    <x v="0"/>
  </r>
  <r>
    <n v="850"/>
    <s v="Kyle Perez"/>
    <s v="Male"/>
    <x v="0"/>
    <n v="18"/>
    <n v="65"/>
    <n v="1"/>
    <x v="1"/>
    <x v="2"/>
    <x v="1"/>
  </r>
  <r>
    <n v="851"/>
    <s v="Kelly Gibson MD"/>
    <s v="Male"/>
    <x v="7"/>
    <n v="20"/>
    <n v="60"/>
    <n v="2"/>
    <x v="1"/>
    <x v="0"/>
    <x v="0"/>
  </r>
  <r>
    <n v="852"/>
    <s v="Angela Garcia"/>
    <s v="Male"/>
    <x v="5"/>
    <n v="25"/>
    <n v="90"/>
    <n v="2"/>
    <x v="0"/>
    <x v="6"/>
    <x v="0"/>
  </r>
  <r>
    <n v="853"/>
    <s v="Dylan Vaughan"/>
    <s v="Male"/>
    <x v="3"/>
    <n v="20"/>
    <n v="65"/>
    <n v="0"/>
    <x v="0"/>
    <x v="6"/>
    <x v="0"/>
  </r>
  <r>
    <n v="854"/>
    <s v="Kevin Santiago"/>
    <s v="Male"/>
    <x v="7"/>
    <n v="8"/>
    <n v="60"/>
    <n v="2"/>
    <x v="0"/>
    <x v="3"/>
    <x v="1"/>
  </r>
  <r>
    <n v="855"/>
    <s v="Terry Rodriguez"/>
    <s v="Female"/>
    <x v="5"/>
    <n v="15"/>
    <n v="60"/>
    <n v="3"/>
    <x v="1"/>
    <x v="3"/>
    <x v="0"/>
  </r>
  <r>
    <n v="856"/>
    <s v="Chad Mason"/>
    <s v="Male"/>
    <x v="3"/>
    <n v="8"/>
    <n v="82"/>
    <n v="3"/>
    <x v="1"/>
    <x v="1"/>
    <x v="1"/>
  </r>
  <r>
    <n v="857"/>
    <s v="Jessica Ferguson"/>
    <s v="Male"/>
    <x v="8"/>
    <n v="30"/>
    <n v="60"/>
    <n v="0"/>
    <x v="1"/>
    <x v="2"/>
    <x v="0"/>
  </r>
  <r>
    <n v="858"/>
    <s v="Andrew Schroeder"/>
    <s v="Unknown"/>
    <x v="5"/>
    <n v="17.630526315789474"/>
    <n v="86"/>
    <n v="3"/>
    <x v="1"/>
    <x v="6"/>
    <x v="1"/>
  </r>
  <r>
    <n v="859"/>
    <s v="Jeffrey Garcia"/>
    <s v="Male"/>
    <x v="4"/>
    <n v="15"/>
    <n v="86"/>
    <n v="1"/>
    <x v="1"/>
    <x v="3"/>
    <x v="1"/>
  </r>
  <r>
    <n v="860"/>
    <s v="Jason Hood"/>
    <s v="Male"/>
    <x v="2"/>
    <n v="30"/>
    <n v="77"/>
    <n v="2"/>
    <x v="0"/>
    <x v="2"/>
    <x v="1"/>
  </r>
  <r>
    <n v="861"/>
    <s v="Sandra Leon"/>
    <s v="Female"/>
    <x v="4"/>
    <n v="10"/>
    <n v="77.598759048603924"/>
    <n v="1"/>
    <x v="2"/>
    <x v="0"/>
    <x v="0"/>
  </r>
  <r>
    <n v="862"/>
    <s v="Tyler Mccormick"/>
    <s v="Male"/>
    <x v="5"/>
    <n v="30"/>
    <n v="90"/>
    <n v="3"/>
    <x v="2"/>
    <x v="0"/>
    <x v="1"/>
  </r>
  <r>
    <n v="863"/>
    <s v="Megan Murphy"/>
    <s v="Female"/>
    <x v="7"/>
    <n v="30"/>
    <n v="65"/>
    <n v="1"/>
    <x v="2"/>
    <x v="0"/>
    <x v="1"/>
  </r>
  <r>
    <n v="864"/>
    <s v="Charles Vincent"/>
    <s v="Male"/>
    <x v="2"/>
    <n v="17.630526315789474"/>
    <n v="65"/>
    <n v="2"/>
    <x v="0"/>
    <x v="9"/>
    <x v="1"/>
  </r>
  <r>
    <n v="865"/>
    <s v="Mrs. Cindy Sharp DVM"/>
    <s v="Male"/>
    <x v="6"/>
    <n v="17"/>
    <n v="82"/>
    <n v="1"/>
    <x v="2"/>
    <x v="3"/>
    <x v="1"/>
  </r>
  <r>
    <n v="866"/>
    <s v="Unknown"/>
    <s v="Female"/>
    <x v="8"/>
    <n v="17"/>
    <n v="90"/>
    <n v="2"/>
    <x v="1"/>
    <x v="1"/>
    <x v="0"/>
  </r>
  <r>
    <n v="867"/>
    <s v="Sarah Dixon"/>
    <s v="Male"/>
    <x v="0"/>
    <n v="17"/>
    <n v="60"/>
    <n v="2"/>
    <x v="2"/>
    <x v="6"/>
    <x v="0"/>
  </r>
  <r>
    <n v="868"/>
    <s v="Teresa Rodriguez"/>
    <s v="Female"/>
    <x v="6"/>
    <n v="20"/>
    <n v="82"/>
    <n v="3"/>
    <x v="2"/>
    <x v="2"/>
    <x v="0"/>
  </r>
  <r>
    <n v="869"/>
    <s v="Shannon Spencer"/>
    <s v="Female"/>
    <x v="9"/>
    <n v="17"/>
    <n v="82"/>
    <n v="0"/>
    <x v="2"/>
    <x v="9"/>
    <x v="1"/>
  </r>
  <r>
    <n v="870"/>
    <s v="Darlene Tapia"/>
    <s v="Male"/>
    <x v="2"/>
    <n v="25"/>
    <n v="78"/>
    <n v="1"/>
    <x v="2"/>
    <x v="10"/>
    <x v="0"/>
  </r>
  <r>
    <n v="871"/>
    <s v="Ryan Ball"/>
    <s v="Female"/>
    <x v="0"/>
    <n v="18"/>
    <n v="86"/>
    <n v="2"/>
    <x v="1"/>
    <x v="0"/>
    <x v="0"/>
  </r>
  <r>
    <n v="872"/>
    <s v="Anita Berger"/>
    <s v="Male"/>
    <x v="6"/>
    <n v="18"/>
    <n v="88"/>
    <n v="2"/>
    <x v="2"/>
    <x v="7"/>
    <x v="1"/>
  </r>
  <r>
    <n v="873"/>
    <s v="Tom Bradley"/>
    <s v="Unknown"/>
    <x v="3"/>
    <n v="25"/>
    <n v="77"/>
    <n v="1"/>
    <x v="1"/>
    <x v="0"/>
    <x v="1"/>
  </r>
  <r>
    <n v="874"/>
    <s v="Melinda Cummings"/>
    <s v="Female"/>
    <x v="2"/>
    <n v="18"/>
    <n v="90"/>
    <n v="3"/>
    <x v="2"/>
    <x v="2"/>
    <x v="1"/>
  </r>
  <r>
    <n v="875"/>
    <s v="Melissa Donaldson"/>
    <s v="Female"/>
    <x v="8"/>
    <n v="20"/>
    <n v="70"/>
    <n v="3"/>
    <x v="1"/>
    <x v="2"/>
    <x v="0"/>
  </r>
  <r>
    <n v="876"/>
    <s v="Charles Pearson"/>
    <s v="Female"/>
    <x v="8"/>
    <n v="18"/>
    <n v="60"/>
    <n v="2"/>
    <x v="0"/>
    <x v="5"/>
    <x v="1"/>
  </r>
  <r>
    <n v="877"/>
    <s v="Isaiah Moore"/>
    <s v="Unknown"/>
    <x v="6"/>
    <n v="18"/>
    <n v="78"/>
    <n v="0"/>
    <x v="1"/>
    <x v="0"/>
    <x v="0"/>
  </r>
  <r>
    <n v="878"/>
    <s v="Jonathan Ramirez"/>
    <s v="Unknown"/>
    <x v="9"/>
    <n v="8"/>
    <n v="65"/>
    <n v="0"/>
    <x v="1"/>
    <x v="2"/>
    <x v="0"/>
  </r>
  <r>
    <n v="879"/>
    <s v="Mrs. Melanie Mueller"/>
    <s v="Male"/>
    <x v="0"/>
    <n v="22"/>
    <n v="90"/>
    <n v="0"/>
    <x v="0"/>
    <x v="0"/>
    <x v="1"/>
  </r>
  <r>
    <n v="880"/>
    <s v="Ms. Heather Dean"/>
    <s v="Female"/>
    <x v="0"/>
    <n v="22"/>
    <n v="85"/>
    <n v="0"/>
    <x v="0"/>
    <x v="4"/>
    <x v="0"/>
  </r>
  <r>
    <n v="881"/>
    <s v="David Malone"/>
    <s v="Female"/>
    <x v="0"/>
    <n v="22"/>
    <n v="90"/>
    <n v="1"/>
    <x v="1"/>
    <x v="1"/>
    <x v="1"/>
  </r>
  <r>
    <n v="882"/>
    <s v="Melissa Brown"/>
    <s v="Male"/>
    <x v="3"/>
    <n v="12"/>
    <n v="78"/>
    <n v="0"/>
    <x v="2"/>
    <x v="8"/>
    <x v="0"/>
  </r>
  <r>
    <n v="883"/>
    <s v="Jason Woods"/>
    <s v="Female"/>
    <x v="5"/>
    <n v="22"/>
    <n v="60"/>
    <n v="1"/>
    <x v="1"/>
    <x v="10"/>
    <x v="0"/>
  </r>
  <r>
    <n v="884"/>
    <s v="Rachel Diaz"/>
    <s v="Female"/>
    <x v="8"/>
    <n v="15"/>
    <n v="88"/>
    <n v="1"/>
    <x v="0"/>
    <x v="0"/>
    <x v="0"/>
  </r>
  <r>
    <n v="885"/>
    <s v="Michael Jones"/>
    <s v="Male"/>
    <x v="8"/>
    <n v="20"/>
    <n v="70"/>
    <n v="2"/>
    <x v="2"/>
    <x v="3"/>
    <x v="0"/>
  </r>
  <r>
    <n v="886"/>
    <s v="Taylor Mcgee"/>
    <s v="Female"/>
    <x v="3"/>
    <n v="15"/>
    <n v="88"/>
    <n v="1"/>
    <x v="2"/>
    <x v="10"/>
    <x v="0"/>
  </r>
  <r>
    <n v="887"/>
    <s v="Christopher Ray"/>
    <s v="Male"/>
    <x v="8"/>
    <n v="17"/>
    <n v="60"/>
    <n v="3"/>
    <x v="0"/>
    <x v="10"/>
    <x v="1"/>
  </r>
  <r>
    <n v="888"/>
    <s v="Alyssa Berg MD"/>
    <s v="Female"/>
    <x v="8"/>
    <n v="25"/>
    <n v="65"/>
    <n v="1"/>
    <x v="2"/>
    <x v="5"/>
    <x v="1"/>
  </r>
  <r>
    <n v="889"/>
    <s v="Jordan Thornton"/>
    <s v="Female"/>
    <x v="2"/>
    <n v="17"/>
    <n v="85"/>
    <n v="1"/>
    <x v="2"/>
    <x v="8"/>
    <x v="1"/>
  </r>
  <r>
    <n v="890"/>
    <s v="Dr. James Henry DDS"/>
    <s v="Male"/>
    <x v="6"/>
    <n v="15"/>
    <n v="65"/>
    <n v="1"/>
    <x v="1"/>
    <x v="4"/>
    <x v="0"/>
  </r>
  <r>
    <n v="891"/>
    <s v="James Stevens"/>
    <s v="Male"/>
    <x v="7"/>
    <n v="17"/>
    <n v="85"/>
    <n v="1"/>
    <x v="0"/>
    <x v="9"/>
    <x v="1"/>
  </r>
  <r>
    <n v="892"/>
    <s v="Kevin Marquez"/>
    <s v="Female"/>
    <x v="6"/>
    <n v="12"/>
    <n v="60"/>
    <n v="3"/>
    <x v="0"/>
    <x v="4"/>
    <x v="1"/>
  </r>
  <r>
    <n v="893"/>
    <s v="Colleen Porter"/>
    <s v="Female"/>
    <x v="8"/>
    <n v="25"/>
    <n v="85"/>
    <n v="3"/>
    <x v="1"/>
    <x v="2"/>
    <x v="1"/>
  </r>
  <r>
    <n v="894"/>
    <s v="Christian Odom"/>
    <s v="Male"/>
    <x v="8"/>
    <n v="12"/>
    <n v="90"/>
    <n v="0"/>
    <x v="1"/>
    <x v="10"/>
    <x v="1"/>
  </r>
  <r>
    <n v="895"/>
    <s v="Calvin Macias"/>
    <s v="Male"/>
    <x v="1"/>
    <n v="8"/>
    <n v="78"/>
    <n v="2"/>
    <x v="1"/>
    <x v="10"/>
    <x v="1"/>
  </r>
  <r>
    <n v="896"/>
    <s v="Kim Fischer"/>
    <s v="Female"/>
    <x v="2"/>
    <n v="22"/>
    <n v="82"/>
    <n v="0"/>
    <x v="2"/>
    <x v="0"/>
    <x v="1"/>
  </r>
  <r>
    <n v="897"/>
    <s v="Travis Schultz"/>
    <s v="Female"/>
    <x v="3"/>
    <n v="17"/>
    <n v="82"/>
    <n v="0"/>
    <x v="0"/>
    <x v="10"/>
    <x v="1"/>
  </r>
  <r>
    <n v="898"/>
    <s v="Bonnie Morris"/>
    <s v="Male"/>
    <x v="2"/>
    <n v="17"/>
    <n v="60"/>
    <n v="2"/>
    <x v="2"/>
    <x v="2"/>
    <x v="0"/>
  </r>
  <r>
    <n v="899"/>
    <s v="Tiffany Morris"/>
    <s v="Female"/>
    <x v="0"/>
    <n v="30"/>
    <n v="60"/>
    <n v="0"/>
    <x v="0"/>
    <x v="8"/>
    <x v="1"/>
  </r>
  <r>
    <n v="900"/>
    <s v="Paul Poole"/>
    <s v="Female"/>
    <x v="1"/>
    <n v="10"/>
    <n v="88"/>
    <n v="3"/>
    <x v="0"/>
    <x v="4"/>
    <x v="1"/>
  </r>
  <r>
    <n v="901"/>
    <s v="Richard Perez"/>
    <s v="Female"/>
    <x v="4"/>
    <n v="10"/>
    <n v="90"/>
    <n v="3"/>
    <x v="2"/>
    <x v="3"/>
    <x v="0"/>
  </r>
  <r>
    <n v="902"/>
    <s v="Bernard Whitaker"/>
    <s v="Male"/>
    <x v="6"/>
    <n v="8"/>
    <n v="65"/>
    <n v="1"/>
    <x v="0"/>
    <x v="10"/>
    <x v="1"/>
  </r>
  <r>
    <n v="903"/>
    <s v="Melinda Miller"/>
    <s v="Female"/>
    <x v="8"/>
    <n v="8"/>
    <n v="65"/>
    <n v="0"/>
    <x v="0"/>
    <x v="0"/>
    <x v="0"/>
  </r>
  <r>
    <n v="904"/>
    <s v="Christina Gonzales"/>
    <s v="Male"/>
    <x v="6"/>
    <n v="20"/>
    <n v="77"/>
    <n v="0"/>
    <x v="1"/>
    <x v="7"/>
    <x v="1"/>
  </r>
  <r>
    <n v="905"/>
    <s v="Maria Gray"/>
    <s v="Male"/>
    <x v="0"/>
    <n v="12"/>
    <n v="90"/>
    <n v="1"/>
    <x v="2"/>
    <x v="9"/>
    <x v="0"/>
  </r>
  <r>
    <n v="906"/>
    <s v="Mary Bennett"/>
    <s v="Male"/>
    <x v="6"/>
    <n v="17"/>
    <n v="60"/>
    <n v="2"/>
    <x v="2"/>
    <x v="2"/>
    <x v="1"/>
  </r>
  <r>
    <n v="907"/>
    <s v="Dr. Erik Pineda"/>
    <s v="Male"/>
    <x v="6"/>
    <n v="12"/>
    <n v="70"/>
    <n v="2"/>
    <x v="1"/>
    <x v="1"/>
    <x v="1"/>
  </r>
  <r>
    <n v="908"/>
    <s v="Sandra Burns"/>
    <s v="Male"/>
    <x v="2"/>
    <n v="22"/>
    <n v="65"/>
    <n v="1"/>
    <x v="2"/>
    <x v="7"/>
    <x v="1"/>
  </r>
  <r>
    <n v="909"/>
    <s v="Patricia Hunt"/>
    <s v="Male"/>
    <x v="2"/>
    <n v="20"/>
    <n v="70"/>
    <n v="2"/>
    <x v="0"/>
    <x v="1"/>
    <x v="0"/>
  </r>
  <r>
    <n v="910"/>
    <s v="Erika Kennedy"/>
    <s v="Male"/>
    <x v="6"/>
    <n v="15"/>
    <n v="90"/>
    <n v="2"/>
    <x v="0"/>
    <x v="8"/>
    <x v="0"/>
  </r>
  <r>
    <n v="911"/>
    <s v="Timothy Newman"/>
    <s v="Female"/>
    <x v="5"/>
    <n v="12"/>
    <n v="88"/>
    <n v="3"/>
    <x v="2"/>
    <x v="8"/>
    <x v="1"/>
  </r>
  <r>
    <n v="912"/>
    <s v="Tanya Bowen"/>
    <s v="Male"/>
    <x v="3"/>
    <n v="10"/>
    <n v="82"/>
    <n v="3"/>
    <x v="0"/>
    <x v="9"/>
    <x v="0"/>
  </r>
  <r>
    <n v="913"/>
    <s v="Rhonda Davenport"/>
    <s v="Male"/>
    <x v="8"/>
    <n v="8"/>
    <n v="85"/>
    <n v="2"/>
    <x v="1"/>
    <x v="4"/>
    <x v="0"/>
  </r>
  <r>
    <n v="914"/>
    <s v="Cheryl Brown"/>
    <s v="Male"/>
    <x v="9"/>
    <n v="8"/>
    <n v="65"/>
    <n v="2"/>
    <x v="0"/>
    <x v="1"/>
    <x v="1"/>
  </r>
  <r>
    <n v="915"/>
    <s v="Angela Bridges"/>
    <s v="Male"/>
    <x v="6"/>
    <n v="10"/>
    <n v="88"/>
    <n v="0"/>
    <x v="1"/>
    <x v="0"/>
    <x v="1"/>
  </r>
  <r>
    <n v="916"/>
    <s v="Brandon Rasmussen"/>
    <s v="Male"/>
    <x v="7"/>
    <n v="20"/>
    <n v="70"/>
    <n v="0"/>
    <x v="0"/>
    <x v="10"/>
    <x v="0"/>
  </r>
  <r>
    <n v="917"/>
    <s v="Ryan Beltran"/>
    <s v="Male"/>
    <x v="3"/>
    <n v="18"/>
    <n v="78"/>
    <n v="1"/>
    <x v="1"/>
    <x v="3"/>
    <x v="1"/>
  </r>
  <r>
    <n v="918"/>
    <s v="Allison Novak"/>
    <s v="Female"/>
    <x v="8"/>
    <n v="17"/>
    <n v="85"/>
    <n v="2"/>
    <x v="1"/>
    <x v="9"/>
    <x v="0"/>
  </r>
  <r>
    <n v="919"/>
    <s v="Matthew Winters"/>
    <s v="Male"/>
    <x v="2"/>
    <n v="30"/>
    <n v="60"/>
    <n v="0"/>
    <x v="1"/>
    <x v="8"/>
    <x v="0"/>
  </r>
  <r>
    <n v="920"/>
    <s v="Kirsten Davis"/>
    <s v="Female"/>
    <x v="0"/>
    <n v="12"/>
    <n v="77.598759048603924"/>
    <n v="0"/>
    <x v="0"/>
    <x v="6"/>
    <x v="1"/>
  </r>
  <r>
    <n v="921"/>
    <s v="Paige Turner"/>
    <s v="Male"/>
    <x v="8"/>
    <n v="8"/>
    <n v="77"/>
    <n v="0"/>
    <x v="1"/>
    <x v="5"/>
    <x v="0"/>
  </r>
  <r>
    <n v="922"/>
    <s v="Aimee Christensen"/>
    <s v="Female"/>
    <x v="4"/>
    <n v="25"/>
    <n v="82"/>
    <n v="2"/>
    <x v="1"/>
    <x v="6"/>
    <x v="1"/>
  </r>
  <r>
    <n v="923"/>
    <s v="Jessica Howard"/>
    <s v="Male"/>
    <x v="1"/>
    <n v="10"/>
    <n v="86"/>
    <n v="1"/>
    <x v="0"/>
    <x v="4"/>
    <x v="1"/>
  </r>
  <r>
    <n v="924"/>
    <s v="Lisa Zhang"/>
    <s v="Male"/>
    <x v="0"/>
    <n v="17"/>
    <n v="70"/>
    <n v="2"/>
    <x v="2"/>
    <x v="1"/>
    <x v="1"/>
  </r>
  <r>
    <n v="925"/>
    <s v="Jonathan Daniel"/>
    <s v="Female"/>
    <x v="4"/>
    <n v="30"/>
    <n v="90"/>
    <n v="2"/>
    <x v="2"/>
    <x v="9"/>
    <x v="1"/>
  </r>
  <r>
    <n v="926"/>
    <s v="Cheyenne Oliver"/>
    <s v="Male"/>
    <x v="2"/>
    <n v="17.630526315789474"/>
    <n v="88"/>
    <n v="0"/>
    <x v="0"/>
    <x v="10"/>
    <x v="0"/>
  </r>
  <r>
    <n v="927"/>
    <s v="Brianna Henderson"/>
    <s v="Male"/>
    <x v="5"/>
    <n v="20"/>
    <n v="88"/>
    <n v="3"/>
    <x v="2"/>
    <x v="1"/>
    <x v="0"/>
  </r>
  <r>
    <n v="928"/>
    <s v="Mark Sanchez"/>
    <s v="Male"/>
    <x v="0"/>
    <n v="22"/>
    <n v="60"/>
    <n v="3"/>
    <x v="1"/>
    <x v="8"/>
    <x v="0"/>
  </r>
  <r>
    <n v="929"/>
    <s v="Melissa Nguyen"/>
    <s v="Male"/>
    <x v="5"/>
    <n v="15"/>
    <n v="86"/>
    <n v="1"/>
    <x v="1"/>
    <x v="4"/>
    <x v="0"/>
  </r>
  <r>
    <n v="930"/>
    <s v="Jeff Carney"/>
    <s v="Unknown"/>
    <x v="5"/>
    <n v="15"/>
    <n v="85"/>
    <n v="0"/>
    <x v="1"/>
    <x v="3"/>
    <x v="1"/>
  </r>
  <r>
    <n v="931"/>
    <s v="Tammy Tanner"/>
    <s v="Male"/>
    <x v="4"/>
    <n v="15"/>
    <n v="65"/>
    <n v="2"/>
    <x v="0"/>
    <x v="7"/>
    <x v="0"/>
  </r>
  <r>
    <n v="932"/>
    <s v="Donna Robinson"/>
    <s v="Male"/>
    <x v="4"/>
    <n v="18"/>
    <n v="85"/>
    <n v="1"/>
    <x v="2"/>
    <x v="7"/>
    <x v="0"/>
  </r>
  <r>
    <n v="933"/>
    <s v="Eric Wilson"/>
    <s v="Female"/>
    <x v="3"/>
    <n v="20"/>
    <n v="90"/>
    <n v="2"/>
    <x v="0"/>
    <x v="2"/>
    <x v="0"/>
  </r>
  <r>
    <n v="934"/>
    <s v="Linda Armstrong"/>
    <s v="Male"/>
    <x v="3"/>
    <n v="17"/>
    <n v="82"/>
    <n v="2"/>
    <x v="1"/>
    <x v="7"/>
    <x v="1"/>
  </r>
  <r>
    <n v="935"/>
    <s v="Russell Jones"/>
    <s v="Female"/>
    <x v="7"/>
    <n v="8"/>
    <n v="65"/>
    <n v="1"/>
    <x v="0"/>
    <x v="0"/>
    <x v="1"/>
  </r>
  <r>
    <n v="936"/>
    <s v="Darlene Burton"/>
    <s v="Unknown"/>
    <x v="5"/>
    <n v="8"/>
    <n v="86"/>
    <n v="1"/>
    <x v="1"/>
    <x v="7"/>
    <x v="1"/>
  </r>
  <r>
    <n v="937"/>
    <s v="Faith Johnson"/>
    <s v="Male"/>
    <x v="8"/>
    <n v="10"/>
    <n v="70"/>
    <n v="0"/>
    <x v="0"/>
    <x v="4"/>
    <x v="1"/>
  </r>
  <r>
    <n v="938"/>
    <s v="Nathan Miller"/>
    <s v="Male"/>
    <x v="0"/>
    <n v="20"/>
    <n v="70"/>
    <n v="3"/>
    <x v="0"/>
    <x v="3"/>
    <x v="1"/>
  </r>
  <r>
    <n v="939"/>
    <s v="Donna Fowler"/>
    <s v="Male"/>
    <x v="2"/>
    <n v="17.630526315789474"/>
    <n v="78"/>
    <n v="2"/>
    <x v="0"/>
    <x v="2"/>
    <x v="1"/>
  </r>
  <r>
    <n v="940"/>
    <s v="Whitney Jefferson"/>
    <s v="Male"/>
    <x v="6"/>
    <n v="8"/>
    <n v="70"/>
    <n v="2"/>
    <x v="2"/>
    <x v="3"/>
    <x v="0"/>
  </r>
  <r>
    <n v="941"/>
    <s v="Shane Sanders"/>
    <s v="Female"/>
    <x v="0"/>
    <n v="18"/>
    <n v="85"/>
    <n v="2"/>
    <x v="1"/>
    <x v="4"/>
    <x v="0"/>
  </r>
  <r>
    <n v="942"/>
    <s v="Felicia Cline"/>
    <s v="Female"/>
    <x v="0"/>
    <n v="10"/>
    <n v="78"/>
    <n v="1"/>
    <x v="0"/>
    <x v="10"/>
    <x v="0"/>
  </r>
  <r>
    <n v="943"/>
    <s v="Jennifer Clark"/>
    <s v="Female"/>
    <x v="2"/>
    <n v="18"/>
    <n v="77.598759048603924"/>
    <n v="1"/>
    <x v="1"/>
    <x v="4"/>
    <x v="1"/>
  </r>
  <r>
    <n v="944"/>
    <s v="Miss Carla Coleman MD"/>
    <s v="Female"/>
    <x v="5"/>
    <n v="30"/>
    <n v="86"/>
    <n v="2"/>
    <x v="2"/>
    <x v="10"/>
    <x v="1"/>
  </r>
  <r>
    <n v="945"/>
    <s v="William Nelson"/>
    <s v="Male"/>
    <x v="1"/>
    <n v="10"/>
    <n v="86"/>
    <n v="2"/>
    <x v="0"/>
    <x v="9"/>
    <x v="1"/>
  </r>
  <r>
    <n v="946"/>
    <s v="Crystal Brown"/>
    <s v="Female"/>
    <x v="1"/>
    <n v="20"/>
    <n v="70"/>
    <n v="3"/>
    <x v="1"/>
    <x v="4"/>
    <x v="1"/>
  </r>
  <r>
    <n v="947"/>
    <s v="Erica Miller"/>
    <s v="Male"/>
    <x v="0"/>
    <n v="10"/>
    <n v="90"/>
    <n v="0"/>
    <x v="2"/>
    <x v="4"/>
    <x v="0"/>
  </r>
  <r>
    <n v="948"/>
    <s v="Unknown"/>
    <s v="Female"/>
    <x v="1"/>
    <n v="8"/>
    <n v="85"/>
    <n v="1"/>
    <x v="1"/>
    <x v="8"/>
    <x v="1"/>
  </r>
  <r>
    <n v="949"/>
    <s v="Unknown"/>
    <s v="Female"/>
    <x v="2"/>
    <n v="18"/>
    <n v="78"/>
    <n v="3"/>
    <x v="0"/>
    <x v="5"/>
    <x v="0"/>
  </r>
  <r>
    <n v="950"/>
    <s v="Emily Martin"/>
    <s v="Unknown"/>
    <x v="2"/>
    <n v="17"/>
    <n v="70"/>
    <n v="1"/>
    <x v="2"/>
    <x v="6"/>
    <x v="1"/>
  </r>
  <r>
    <n v="951"/>
    <s v="Erica Miller"/>
    <s v="Male"/>
    <x v="2"/>
    <n v="22"/>
    <n v="90"/>
    <n v="3"/>
    <x v="2"/>
    <x v="0"/>
    <x v="0"/>
  </r>
  <r>
    <n v="952"/>
    <s v="Wesley May"/>
    <s v="Female"/>
    <x v="9"/>
    <n v="25"/>
    <n v="82"/>
    <n v="2"/>
    <x v="2"/>
    <x v="1"/>
    <x v="1"/>
  </r>
  <r>
    <n v="953"/>
    <s v="Christopher Atkinson"/>
    <s v="Male"/>
    <x v="2"/>
    <n v="18"/>
    <n v="65"/>
    <n v="2"/>
    <x v="0"/>
    <x v="3"/>
    <x v="1"/>
  </r>
  <r>
    <n v="954"/>
    <s v="Blake Martinez"/>
    <s v="Female"/>
    <x v="8"/>
    <n v="30"/>
    <n v="88"/>
    <n v="2"/>
    <x v="2"/>
    <x v="8"/>
    <x v="0"/>
  </r>
  <r>
    <n v="955"/>
    <s v="Joy Henderson"/>
    <s v="Unknown"/>
    <x v="0"/>
    <n v="17.630526315789474"/>
    <n v="88"/>
    <n v="3"/>
    <x v="2"/>
    <x v="4"/>
    <x v="1"/>
  </r>
  <r>
    <n v="956"/>
    <s v="Mary Ramos"/>
    <s v="Female"/>
    <x v="8"/>
    <n v="12"/>
    <n v="90"/>
    <n v="1"/>
    <x v="0"/>
    <x v="10"/>
    <x v="0"/>
  </r>
  <r>
    <n v="957"/>
    <s v="Colleen Sanchez"/>
    <s v="Female"/>
    <x v="3"/>
    <n v="8"/>
    <n v="88"/>
    <n v="0"/>
    <x v="1"/>
    <x v="1"/>
    <x v="1"/>
  </r>
  <r>
    <n v="958"/>
    <s v="David Cruz"/>
    <s v="Male"/>
    <x v="8"/>
    <n v="17"/>
    <n v="65"/>
    <n v="1"/>
    <x v="0"/>
    <x v="4"/>
    <x v="0"/>
  </r>
  <r>
    <n v="959"/>
    <s v="Ralph Becker"/>
    <s v="Male"/>
    <x v="2"/>
    <n v="20"/>
    <n v="60"/>
    <n v="3"/>
    <x v="1"/>
    <x v="6"/>
    <x v="1"/>
  </r>
  <r>
    <n v="960"/>
    <s v="Denise Coleman"/>
    <s v="Male"/>
    <x v="6"/>
    <n v="8"/>
    <n v="78"/>
    <n v="2"/>
    <x v="0"/>
    <x v="0"/>
    <x v="1"/>
  </r>
  <r>
    <n v="961"/>
    <s v="Unknown"/>
    <s v="Male"/>
    <x v="8"/>
    <n v="15"/>
    <n v="78"/>
    <n v="2"/>
    <x v="2"/>
    <x v="10"/>
    <x v="1"/>
  </r>
  <r>
    <n v="962"/>
    <s v="Samantha Mendoza"/>
    <s v="Female"/>
    <x v="8"/>
    <n v="17.630526315789474"/>
    <n v="65"/>
    <n v="2"/>
    <x v="1"/>
    <x v="7"/>
    <x v="0"/>
  </r>
  <r>
    <n v="963"/>
    <s v="Sean Lyons"/>
    <s v="Male"/>
    <x v="4"/>
    <n v="15"/>
    <n v="85"/>
    <n v="2"/>
    <x v="1"/>
    <x v="5"/>
    <x v="1"/>
  </r>
  <r>
    <n v="964"/>
    <s v="Anthony Smith"/>
    <s v="Male"/>
    <x v="0"/>
    <n v="25"/>
    <n v="60"/>
    <n v="0"/>
    <x v="0"/>
    <x v="10"/>
    <x v="0"/>
  </r>
  <r>
    <n v="965"/>
    <s v="Deborah Hernandez"/>
    <s v="Female"/>
    <x v="2"/>
    <n v="20"/>
    <n v="90"/>
    <n v="2"/>
    <x v="1"/>
    <x v="10"/>
    <x v="1"/>
  </r>
  <r>
    <n v="966"/>
    <s v="Kristi Price"/>
    <s v="Male"/>
    <x v="0"/>
    <n v="22"/>
    <n v="65"/>
    <n v="0"/>
    <x v="1"/>
    <x v="8"/>
    <x v="0"/>
  </r>
  <r>
    <n v="967"/>
    <s v="Alex Douglas"/>
    <s v="Female"/>
    <x v="8"/>
    <n v="18"/>
    <n v="88"/>
    <n v="2"/>
    <x v="1"/>
    <x v="7"/>
    <x v="1"/>
  </r>
  <r>
    <n v="968"/>
    <s v="Ian Mcdonald"/>
    <s v="Male"/>
    <x v="2"/>
    <n v="30"/>
    <n v="65"/>
    <n v="0"/>
    <x v="1"/>
    <x v="7"/>
    <x v="0"/>
  </r>
  <r>
    <n v="969"/>
    <s v="David Bauer"/>
    <s v="Male"/>
    <x v="1"/>
    <n v="30"/>
    <n v="65"/>
    <n v="0"/>
    <x v="1"/>
    <x v="10"/>
    <x v="0"/>
  </r>
  <r>
    <n v="970"/>
    <s v="Steven Hill"/>
    <s v="Female"/>
    <x v="2"/>
    <n v="25"/>
    <n v="60"/>
    <n v="0"/>
    <x v="2"/>
    <x v="7"/>
    <x v="1"/>
  </r>
  <r>
    <n v="971"/>
    <s v="Linda Beasley"/>
    <s v="Male"/>
    <x v="8"/>
    <n v="8"/>
    <n v="70"/>
    <n v="3"/>
    <x v="2"/>
    <x v="3"/>
    <x v="0"/>
  </r>
  <r>
    <n v="972"/>
    <s v="Maria Edwards"/>
    <s v="Male"/>
    <x v="0"/>
    <n v="17.630526315789474"/>
    <n v="70"/>
    <n v="1"/>
    <x v="0"/>
    <x v="1"/>
    <x v="0"/>
  </r>
  <r>
    <n v="973"/>
    <s v="Megan Hutchinson"/>
    <s v="Female"/>
    <x v="0"/>
    <n v="10"/>
    <n v="70"/>
    <n v="0"/>
    <x v="0"/>
    <x v="3"/>
    <x v="1"/>
  </r>
  <r>
    <n v="974"/>
    <s v="Jaime Simon"/>
    <s v="Unknown"/>
    <x v="6"/>
    <n v="15"/>
    <n v="60"/>
    <n v="1"/>
    <x v="0"/>
    <x v="1"/>
    <x v="1"/>
  </r>
  <r>
    <n v="975"/>
    <s v="Thomas Freeman"/>
    <s v="Male"/>
    <x v="2"/>
    <n v="30"/>
    <n v="65"/>
    <n v="2"/>
    <x v="0"/>
    <x v="1"/>
    <x v="1"/>
  </r>
  <r>
    <n v="976"/>
    <s v="Nancy Gibson"/>
    <s v="Female"/>
    <x v="2"/>
    <n v="12"/>
    <n v="82"/>
    <n v="1"/>
    <x v="1"/>
    <x v="10"/>
    <x v="1"/>
  </r>
  <r>
    <n v="977"/>
    <s v="Holly Leon"/>
    <s v="Male"/>
    <x v="2"/>
    <n v="15"/>
    <n v="78"/>
    <n v="3"/>
    <x v="0"/>
    <x v="8"/>
    <x v="0"/>
  </r>
  <r>
    <n v="978"/>
    <s v="Travis Pierce"/>
    <s v="Female"/>
    <x v="8"/>
    <n v="12"/>
    <n v="82"/>
    <n v="3"/>
    <x v="1"/>
    <x v="2"/>
    <x v="0"/>
  </r>
  <r>
    <n v="979"/>
    <s v="Nina Fowler"/>
    <s v="Male"/>
    <x v="6"/>
    <n v="22"/>
    <n v="78"/>
    <n v="3"/>
    <x v="1"/>
    <x v="2"/>
    <x v="1"/>
  </r>
  <r>
    <n v="980"/>
    <s v="Kristen Galloway"/>
    <s v="Female"/>
    <x v="5"/>
    <n v="8"/>
    <n v="60"/>
    <n v="0"/>
    <x v="0"/>
    <x v="10"/>
    <x v="0"/>
  </r>
  <r>
    <n v="981"/>
    <s v="Raven Taylor"/>
    <s v="Male"/>
    <x v="1"/>
    <n v="30"/>
    <n v="86"/>
    <n v="1"/>
    <x v="0"/>
    <x v="3"/>
    <x v="1"/>
  </r>
  <r>
    <n v="982"/>
    <s v="Samuel Robinson"/>
    <s v="Male"/>
    <x v="8"/>
    <n v="15"/>
    <n v="82"/>
    <n v="3"/>
    <x v="2"/>
    <x v="3"/>
    <x v="1"/>
  </r>
  <r>
    <n v="983"/>
    <s v="Christina Johnson"/>
    <s v="Male"/>
    <x v="8"/>
    <n v="22"/>
    <n v="78"/>
    <n v="3"/>
    <x v="0"/>
    <x v="0"/>
    <x v="0"/>
  </r>
  <r>
    <n v="984"/>
    <s v="Holly Spencer"/>
    <s v="Female"/>
    <x v="9"/>
    <n v="8"/>
    <n v="70"/>
    <n v="3"/>
    <x v="1"/>
    <x v="6"/>
    <x v="1"/>
  </r>
  <r>
    <n v="985"/>
    <s v="Jessica Davies"/>
    <s v="Female"/>
    <x v="7"/>
    <n v="20"/>
    <n v="70"/>
    <n v="0"/>
    <x v="0"/>
    <x v="9"/>
    <x v="1"/>
  </r>
  <r>
    <n v="986"/>
    <s v="Daniel Sullivan"/>
    <s v="Male"/>
    <x v="2"/>
    <n v="17"/>
    <n v="85"/>
    <n v="2"/>
    <x v="2"/>
    <x v="3"/>
    <x v="1"/>
  </r>
  <r>
    <n v="987"/>
    <s v="Richard Franklin"/>
    <s v="Female"/>
    <x v="0"/>
    <n v="10"/>
    <n v="88"/>
    <n v="2"/>
    <x v="1"/>
    <x v="9"/>
    <x v="1"/>
  </r>
  <r>
    <n v="988"/>
    <s v="Samantha Klein"/>
    <s v="Male"/>
    <x v="3"/>
    <n v="22"/>
    <n v="86"/>
    <n v="2"/>
    <x v="0"/>
    <x v="9"/>
    <x v="1"/>
  </r>
  <r>
    <n v="989"/>
    <s v="Becky Perkins"/>
    <s v="Male"/>
    <x v="9"/>
    <n v="12"/>
    <n v="85"/>
    <n v="1"/>
    <x v="0"/>
    <x v="7"/>
    <x v="1"/>
  </r>
  <r>
    <n v="990"/>
    <s v="Kimberly Pena"/>
    <s v="Female"/>
    <x v="8"/>
    <n v="30"/>
    <n v="88"/>
    <n v="2"/>
    <x v="0"/>
    <x v="2"/>
    <x v="0"/>
  </r>
  <r>
    <n v="991"/>
    <s v="Rebecca Burnett"/>
    <s v="Unknown"/>
    <x v="0"/>
    <n v="10"/>
    <n v="85"/>
    <n v="3"/>
    <x v="1"/>
    <x v="0"/>
    <x v="0"/>
  </r>
  <r>
    <n v="992"/>
    <s v="Anna Martinez"/>
    <s v="Male"/>
    <x v="0"/>
    <n v="30"/>
    <n v="70"/>
    <n v="3"/>
    <x v="1"/>
    <x v="10"/>
    <x v="0"/>
  </r>
  <r>
    <n v="993"/>
    <s v="James Garcia"/>
    <s v="Male"/>
    <x v="8"/>
    <n v="15"/>
    <n v="90"/>
    <n v="2"/>
    <x v="0"/>
    <x v="2"/>
    <x v="0"/>
  </r>
  <r>
    <n v="994"/>
    <s v="Monica Johnson"/>
    <s v="Female"/>
    <x v="1"/>
    <n v="25"/>
    <n v="60"/>
    <n v="1"/>
    <x v="2"/>
    <x v="1"/>
    <x v="0"/>
  </r>
  <r>
    <n v="995"/>
    <s v="Shannon Porter"/>
    <s v="Male"/>
    <x v="2"/>
    <n v="20"/>
    <n v="60"/>
    <n v="0"/>
    <x v="0"/>
    <x v="6"/>
    <x v="0"/>
  </r>
  <r>
    <n v="996"/>
    <s v="Kenneth Murray"/>
    <s v="Male"/>
    <x v="0"/>
    <n v="20"/>
    <n v="77.598759048603924"/>
    <n v="1"/>
    <x v="0"/>
    <x v="8"/>
    <x v="1"/>
  </r>
  <r>
    <n v="997"/>
    <s v="Amy Stout"/>
    <s v="Female"/>
    <x v="8"/>
    <n v="17.630526315789474"/>
    <n v="86"/>
    <n v="0"/>
    <x v="0"/>
    <x v="10"/>
    <x v="1"/>
  </r>
  <r>
    <n v="998"/>
    <s v="Unknown"/>
    <s v="Male"/>
    <x v="0"/>
    <n v="8"/>
    <n v="82"/>
    <n v="2"/>
    <x v="2"/>
    <x v="2"/>
    <x v="0"/>
  </r>
  <r>
    <n v="999"/>
    <s v="Joseph Sherman"/>
    <s v="Male"/>
    <x v="9"/>
    <n v="17"/>
    <n v="60"/>
    <n v="2"/>
    <x v="0"/>
    <x v="4"/>
    <x v="1"/>
  </r>
  <r>
    <n v="1000"/>
    <s v="Maria Walls"/>
    <s v="Female"/>
    <x v="9"/>
    <n v="10"/>
    <n v="90"/>
    <n v="1"/>
    <x v="1"/>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1376C-06F2-4B33-9DEE-2FC30A85EDB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mark" colHeaderCaption="Gender">
  <location ref="A3:I9" firstHeaderRow="1" firstDataRow="3" firstDataCol="1"/>
  <pivotFields count="8">
    <pivotField showAll="0"/>
    <pivotField showAll="0"/>
    <pivotField showAll="0">
      <items count="12">
        <item x="6"/>
        <item x="2"/>
        <item x="8"/>
        <item x="7"/>
        <item x="10"/>
        <item x="0"/>
        <item x="4"/>
        <item x="1"/>
        <item x="9"/>
        <item x="5"/>
        <item x="3"/>
        <item t="default"/>
      </items>
    </pivotField>
    <pivotField showAll="0"/>
    <pivotField showAll="0"/>
    <pivotField axis="axisRow" dataField="1" showAll="0">
      <items count="4">
        <item x="0"/>
        <item x="2"/>
        <item x="1"/>
        <item t="default"/>
      </items>
    </pivotField>
    <pivotField dataField="1" showAll="0">
      <items count="4">
        <item x="0"/>
        <item x="2"/>
        <item x="1"/>
        <item t="default"/>
      </items>
    </pivotField>
    <pivotField axis="axisCol" showAll="0">
      <items count="4">
        <item x="1"/>
        <item x="0"/>
        <item x="2"/>
        <item t="default"/>
      </items>
    </pivotField>
  </pivotFields>
  <rowFields count="1">
    <field x="5"/>
  </rowFields>
  <rowItems count="4">
    <i>
      <x/>
    </i>
    <i>
      <x v="1"/>
    </i>
    <i>
      <x v="2"/>
    </i>
    <i t="grand">
      <x/>
    </i>
  </rowItems>
  <colFields count="2">
    <field x="7"/>
    <field x="-2"/>
  </colFields>
  <colItems count="8">
    <i>
      <x/>
      <x/>
    </i>
    <i r="1" i="1">
      <x v="1"/>
    </i>
    <i>
      <x v="1"/>
      <x/>
    </i>
    <i r="1" i="1">
      <x v="1"/>
    </i>
    <i>
      <x v="2"/>
      <x/>
    </i>
    <i r="1" i="1">
      <x v="1"/>
    </i>
    <i t="grand">
      <x/>
    </i>
    <i t="grand" i="1">
      <x/>
    </i>
  </colItems>
  <dataFields count="2">
    <dataField name="Count of Remark" fld="5" subtotal="count" baseField="0" baseItem="0"/>
    <dataField name="Count of Previous Remark" fld="6" subtotal="count" baseField="0" baseItem="0"/>
  </dataFields>
  <formats count="1">
    <format dxfId="4">
      <pivotArea field="7"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850406-82DD-4EF4-8097-5D2DB5749E0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rade" colHeaderCaption="Attendance Rate">
  <location ref="N3:Y9" firstHeaderRow="1" firstDataRow="2" firstDataCol="1"/>
  <pivotFields count="5">
    <pivotField showAll="0"/>
    <pivotField axis="axisRow" showAll="0">
      <items count="5">
        <item x="3"/>
        <item x="1"/>
        <item x="0"/>
        <item x="2"/>
        <item t="default"/>
      </items>
    </pivotField>
    <pivotField showAll="0"/>
    <pivotField showAll="0"/>
    <pivotField axis="axisCol" dataField="1" showAll="0">
      <items count="11">
        <item x="6"/>
        <item x="2"/>
        <item x="7"/>
        <item x="0"/>
        <item x="4"/>
        <item x="9"/>
        <item x="1"/>
        <item x="8"/>
        <item x="3"/>
        <item x="5"/>
        <item t="default"/>
      </items>
    </pivotField>
  </pivotFields>
  <rowFields count="1">
    <field x="1"/>
  </rowFields>
  <rowItems count="5">
    <i>
      <x/>
    </i>
    <i>
      <x v="1"/>
    </i>
    <i>
      <x v="2"/>
    </i>
    <i>
      <x v="3"/>
    </i>
    <i t="grand">
      <x/>
    </i>
  </rowItems>
  <colFields count="1">
    <field x="4"/>
  </colFields>
  <colItems count="11">
    <i>
      <x/>
    </i>
    <i>
      <x v="1"/>
    </i>
    <i>
      <x v="2"/>
    </i>
    <i>
      <x v="3"/>
    </i>
    <i>
      <x v="4"/>
    </i>
    <i>
      <x v="5"/>
    </i>
    <i>
      <x v="6"/>
    </i>
    <i>
      <x v="7"/>
    </i>
    <i>
      <x v="8"/>
    </i>
    <i>
      <x v="9"/>
    </i>
    <i t="grand">
      <x/>
    </i>
  </colItems>
  <dataFields count="1">
    <dataField name="Count of Attendance Rate" fld="4"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BDABB0-0513-475F-A042-BD816B3AFCF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ttendance Rate">
  <location ref="A2:B13" firstHeaderRow="1" firstDataRow="1" firstDataCol="1"/>
  <pivotFields count="10">
    <pivotField showAll="0"/>
    <pivotField showAll="0"/>
    <pivotField showAll="0"/>
    <pivotField axis="axisRow" showAll="0" sortType="descending" avgSubtotal="1">
      <items count="11">
        <item x="5"/>
        <item x="3"/>
        <item x="8"/>
        <item x="1"/>
        <item x="9"/>
        <item x="4"/>
        <item x="0"/>
        <item x="7"/>
        <item x="2"/>
        <item x="6"/>
        <item t="avg"/>
      </items>
    </pivotField>
    <pivotField showAll="0"/>
    <pivotField showAll="0"/>
    <pivotField showAll="0"/>
    <pivotField showAll="0"/>
    <pivotField dataField="1" showAll="0"/>
    <pivotField showAll="0"/>
  </pivotFields>
  <rowFields count="1">
    <field x="3"/>
  </rowFields>
  <rowItems count="11">
    <i>
      <x/>
    </i>
    <i>
      <x v="1"/>
    </i>
    <i>
      <x v="2"/>
    </i>
    <i>
      <x v="3"/>
    </i>
    <i>
      <x v="4"/>
    </i>
    <i>
      <x v="5"/>
    </i>
    <i>
      <x v="6"/>
    </i>
    <i>
      <x v="7"/>
    </i>
    <i>
      <x v="8"/>
    </i>
    <i>
      <x v="9"/>
    </i>
    <i t="grand">
      <x/>
    </i>
  </rowItems>
  <colItems count="1">
    <i/>
  </colItems>
  <dataFields count="1">
    <dataField name="Average of FinalGrade" fld="8" subtotal="average" baseField="0" baseItem="0"/>
  </dataFields>
  <chartFormats count="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89B4FA-9167-47AC-8DE9-CD88D96337B6}"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arental Support">
  <location ref="A1:B5" firstHeaderRow="1" firstDataRow="1" firstDataCol="1"/>
  <pivotFields count="10">
    <pivotField showAll="0"/>
    <pivotField showAll="0"/>
    <pivotField showAll="0"/>
    <pivotField showAll="0"/>
    <pivotField showAll="0"/>
    <pivotField showAll="0"/>
    <pivotField showAll="0"/>
    <pivotField axis="axisRow" showAll="0">
      <items count="4">
        <item x="0"/>
        <item x="2"/>
        <item x="1"/>
        <item t="default"/>
      </items>
    </pivotField>
    <pivotField dataField="1" showAll="0">
      <items count="12">
        <item x="6"/>
        <item h="1" x="2"/>
        <item h="1" x="8"/>
        <item h="1" x="7"/>
        <item h="1" x="0"/>
        <item h="1" x="5"/>
        <item h="1" x="4"/>
        <item h="1" x="1"/>
        <item h="1" x="9"/>
        <item h="1" x="10"/>
        <item h="1" x="3"/>
        <item t="default"/>
      </items>
    </pivotField>
    <pivotField showAll="0"/>
  </pivotFields>
  <rowFields count="1">
    <field x="7"/>
  </rowFields>
  <rowItems count="4">
    <i>
      <x/>
    </i>
    <i>
      <x v="1"/>
    </i>
    <i>
      <x v="2"/>
    </i>
    <i t="grand">
      <x/>
    </i>
  </rowItems>
  <colItems count="1">
    <i/>
  </colItems>
  <dataFields count="1">
    <dataField name="Average of FinalGrade" fld="8" subtotal="average" baseField="7" baseItem="0"/>
  </dataFields>
  <chartFormats count="2">
    <chartFormat chart="0" format="1"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0E17EE-3E62-4A73-9325-493FEEECA3F3}"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Online Class Taken">
  <location ref="J1:K4" firstHeaderRow="1" firstDataRow="1" firstDataCol="1"/>
  <pivotFields count="10">
    <pivotField showAll="0"/>
    <pivotField showAll="0"/>
    <pivotField showAll="0"/>
    <pivotField showAll="0"/>
    <pivotField showAll="0"/>
    <pivotField showAll="0"/>
    <pivotField showAll="0"/>
    <pivotField showAll="0"/>
    <pivotField dataField="1" showAll="0"/>
    <pivotField axis="axisRow" showAll="0">
      <items count="3">
        <item x="0"/>
        <item x="1"/>
        <item t="default"/>
      </items>
    </pivotField>
  </pivotFields>
  <rowFields count="1">
    <field x="9"/>
  </rowFields>
  <rowItems count="3">
    <i>
      <x/>
    </i>
    <i>
      <x v="1"/>
    </i>
    <i t="grand">
      <x/>
    </i>
  </rowItems>
  <colItems count="1">
    <i/>
  </colItems>
  <dataFields count="1">
    <dataField name="Average of FinalGrade" fld="8" subtotal="average" baseField="9"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7B96D0-8EA2-4CCB-AFC9-2BF6C3BE87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arental Support">
  <location ref="A1:B6" firstHeaderRow="1" firstDataRow="1" firstDataCol="1"/>
  <pivotFields count="12">
    <pivotField showAll="0"/>
    <pivotField showAll="0"/>
    <pivotField showAll="0"/>
    <pivotField showAll="0"/>
    <pivotField showAll="0"/>
    <pivotField showAll="0"/>
    <pivotField showAll="0"/>
    <pivotField axis="axisRow" dataField="1" showAll="0">
      <items count="5">
        <item x="0"/>
        <item x="2"/>
        <item x="1"/>
        <item x="3"/>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Count of ParentalSupport" fld="7" subtotal="count" baseField="0" baseItem="0"/>
  </dataField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2" format="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BDA51D-952F-44E0-AA0E-47061CAE3B48}" autoFormatId="16" applyNumberFormats="0" applyBorderFormats="0" applyFontFormats="0" applyPatternFormats="0" applyAlignmentFormats="0" applyWidthHeightFormats="0">
  <queryTableRefresh nextId="11" unboundColumnsRight="1">
    <queryTableFields count="8">
      <queryTableField id="1" name="Final Marks" tableColumnId="1"/>
      <queryTableField id="2" name="Grade " tableColumnId="2"/>
      <queryTableField id="3" name="Previous Marks" tableColumnId="3"/>
      <queryTableField id="4" name="Grade" tableColumnId="4"/>
      <queryTableField id="5" name="Attendance Rate" tableColumnId="5"/>
      <queryTableField id="6" name="Remark" tableColumnId="6"/>
      <queryTableField id="10" name="Previous Remark" tableColumnId="10"/>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Support" xr10:uid="{90D21D06-B9E0-4C1C-83A7-07BE2D586816}" sourceName="ParentalSupport">
  <pivotTables>
    <pivotTable tabId="2" name="PivotTable1"/>
  </pivotTables>
  <data>
    <tabular pivotCacheId="630508388">
      <items count="4">
        <i x="0" s="1"/>
        <i x="2"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Support1" xr10:uid="{8B990E5E-5427-4273-A2EA-F2E802BB8060}" sourceName="ParentalSupport">
  <pivotTables>
    <pivotTable tabId="4" name="PivotTable6"/>
  </pivotTables>
  <data>
    <tabular pivotCacheId="61441421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_Classes_Taken" xr10:uid="{F72D7503-9CA2-4ADE-862F-E64764145986}" sourceName="Online Classes Taken">
  <pivotTables>
    <pivotTable tabId="4" name="PivotTable7"/>
  </pivotTables>
  <data>
    <tabular pivotCacheId="61441421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Rate" xr10:uid="{DF8A1378-D34D-4396-91FB-0576243B4176}" sourceName="AttendanceRate">
  <pivotTables>
    <pivotTable tabId="9" name="PivotTable1"/>
  </pivotTables>
  <data>
    <tabular pivotCacheId="614414210">
      <items count="10">
        <i x="6" s="1"/>
        <i x="2" s="1"/>
        <i x="7" s="1"/>
        <i x="0" s="1"/>
        <i x="4" s="1"/>
        <i x="9" s="1"/>
        <i x="1" s="1"/>
        <i x="8"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entalSupport" xr10:uid="{9C85257B-B7D1-472A-B766-6C78D2CEBDD8}" cache="Slicer_ParentalSupport" caption="ParentalSupport" rowHeight="247650"/>
  <slicer name="ParentalSupport 1" xr10:uid="{BE6EACD5-10AC-45CB-B472-0801AB629E71}" cache="Slicer_ParentalSupport1" caption="ParentalSupport" rowHeight="247650"/>
  <slicer name="Online Classes Taken" xr10:uid="{7BC055D8-5E8B-4772-9FE8-91146EAB4B24}" cache="Slicer_Online_Classes_Taken" caption="Online Classes Taken" rowHeight="247650"/>
  <slicer name="AttendanceRate" xr10:uid="{6169D661-DB2A-4AB5-881F-06DEF159038C}" cache="Slicer_AttendanceRate" caption="AttendanceRate"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AEDE712-BDC6-4A0D-9117-30CEE5135F6A}" name="Table5" displayName="Table5" ref="A1:J1001" totalsRowShown="0">
  <autoFilter ref="A1:J1001" xr:uid="{3AEDE712-BDC6-4A0D-9117-30CEE5135F6A}"/>
  <tableColumns count="10">
    <tableColumn id="1" xr3:uid="{4029BF91-D3BD-4DBA-9ED7-ECB1AFF033FE}" name="StudentID"/>
    <tableColumn id="2" xr3:uid="{9F1B6D53-50B1-4F99-8DAB-6418B9019425}" name="Name"/>
    <tableColumn id="3" xr3:uid="{9CEB9308-240C-4576-B24C-C7451F1A1A20}" name="Gender"/>
    <tableColumn id="4" xr3:uid="{D98EDEEB-6633-4E7D-89FF-AF52DF199724}" name="AttendanceRate"/>
    <tableColumn id="5" xr3:uid="{DE53C40A-A86D-47C8-9D8B-85C51E006445}" name="StudyHoursPerWeek"/>
    <tableColumn id="6" xr3:uid="{1090D861-1F26-4DBD-8E8E-0E87616F3CB6}" name="PreviousGrade"/>
    <tableColumn id="7" xr3:uid="{1E8C641D-A2A8-4A96-93EE-67DBEBF7F327}" name="ExtracurricularActivities"/>
    <tableColumn id="8" xr3:uid="{33AC1481-EBF9-441E-A4D6-50B4C75B89B7}" name="ParentalSupport"/>
    <tableColumn id="9" xr3:uid="{E2087178-A62E-4F17-A6EA-F91FF1A2BD37}" name="FinalGrade"/>
    <tableColumn id="10" xr3:uid="{8E1A0A15-B161-4C80-AD8F-C3968909D91B}" name="Online Classes Take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8C5DC4-03C5-460F-98C3-219E4669B050}" name="REMARKS" displayName="REMARKS" ref="B1:I1001" tableType="queryTable" totalsRowShown="0">
  <autoFilter ref="B1:I1001" xr:uid="{CC8C5DC4-03C5-460F-98C3-219E4669B050}"/>
  <tableColumns count="8">
    <tableColumn id="1" xr3:uid="{6CB016CC-F31D-496F-9969-1DAC499F55DA}" uniqueName="1" name="Final Marks" queryTableFieldId="1"/>
    <tableColumn id="2" xr3:uid="{CE10C476-D66B-444A-A75B-2006EE89404E}" uniqueName="2" name="Grade " queryTableFieldId="2" dataDxfId="3"/>
    <tableColumn id="3" xr3:uid="{58151282-6B94-4FC2-A99A-C275D48D6131}" uniqueName="3" name="Previous Marks" queryTableFieldId="3"/>
    <tableColumn id="4" xr3:uid="{B1604835-B1F1-4061-B422-DEDB4072CF00}" uniqueName="4" name="Grade" queryTableFieldId="4" dataDxfId="2"/>
    <tableColumn id="5" xr3:uid="{EB133B77-131D-40EB-97DB-87963C9307BE}" uniqueName="5" name="Attendance Rate" queryTableFieldId="5"/>
    <tableColumn id="6" xr3:uid="{1D0A5EB1-1570-4599-845A-69EDB896CC11}" uniqueName="6" name="Remark" queryTableFieldId="6"/>
    <tableColumn id="10" xr3:uid="{55634337-56B2-423F-B382-638902101ADE}" uniqueName="10" name="Previous Remark" queryTableFieldId="10"/>
    <tableColumn id="8" xr3:uid="{0E28D3D4-C21B-42A2-AA30-0CA2FD7FA901}" uniqueName="8" name="Gender" queryTableFieldId="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BC8E11-8436-4BE4-B597-9E04F24D42D8}" name="Table1" displayName="Table1" ref="B1:F1001" totalsRowShown="0">
  <autoFilter ref="B1:F1001" xr:uid="{B0BC8E11-8436-4BE4-B597-9E04F24D42D8}"/>
  <tableColumns count="5">
    <tableColumn id="1" xr3:uid="{87585A18-7354-47D5-BB13-7F2F5F7D1596}" name="Final Marks"/>
    <tableColumn id="2" xr3:uid="{78722EC0-48FC-4BAD-8994-C0B887B5885E}" name="Grade ">
      <calculatedColumnFormula array="1">_xlfn.IFS(B2&gt;90,"A1",B2&gt;80,"A2",B2&gt;70,"B1",B2&gt;60,"B2",B2&gt;50,"C1",B2&gt;40,"C2")</calculatedColumnFormula>
    </tableColumn>
    <tableColumn id="3" xr3:uid="{AFD2EE54-7EEC-43FD-98D6-CE050AA8D9EC}" name="Previous Marks"/>
    <tableColumn id="4" xr3:uid="{9E171321-3F80-442B-AA5A-77D6DEA26ABC}" name="Grade" dataDxfId="1">
      <calculatedColumnFormula array="1">_xlfn.IFS(Table1[[#This Row],[Previous Marks]]&gt;90,"A1",Table1[[#This Row],[Previous Marks]]&gt;80,"A2",Table1[[#This Row],[Previous Marks]]&gt;70,"B1",Table1[[#This Row],[Previous Marks]]&gt;60,"B2",Table1[[#This Row],[Previous Marks]]&gt;50,"C1",Table1[[#This Row],[Previous Marks]]&gt;40,"C2")</calculatedColumnFormula>
    </tableColumn>
    <tableColumn id="5" xr3:uid="{AE555C01-B4A0-4FA5-874A-CEE0C687B2E8}" name="Attendance Rat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6DCC4-CE15-49B2-A09C-23CE8EC573A2}">
  <dimension ref="A1:J1001"/>
  <sheetViews>
    <sheetView tabSelected="1" topLeftCell="E1" workbookViewId="0">
      <selection activeCell="T11" sqref="T11"/>
    </sheetView>
  </sheetViews>
  <sheetFormatPr defaultRowHeight="14.4" x14ac:dyDescent="0.3"/>
  <cols>
    <col min="1" max="1" width="11.21875" customWidth="1"/>
    <col min="2" max="2" width="22.88671875" bestFit="1" customWidth="1"/>
    <col min="3" max="3" width="9.21875" bestFit="1" customWidth="1"/>
    <col min="4" max="4" width="16.21875" bestFit="1" customWidth="1"/>
    <col min="5" max="5" width="20" bestFit="1" customWidth="1"/>
    <col min="6" max="6" width="15.109375" bestFit="1" customWidth="1"/>
    <col min="7" max="7" width="23.109375" customWidth="1"/>
    <col min="8" max="8" width="16.5546875" customWidth="1"/>
    <col min="9" max="9" width="12.109375" customWidth="1"/>
    <col min="10" max="10" width="20.44140625" bestFit="1" customWidth="1"/>
    <col min="15" max="15" width="8.88671875" customWidth="1"/>
  </cols>
  <sheetData>
    <row r="1" spans="1:10" x14ac:dyDescent="0.3">
      <c r="A1" t="s">
        <v>0</v>
      </c>
      <c r="B1" t="s">
        <v>1</v>
      </c>
      <c r="C1" t="s">
        <v>2</v>
      </c>
      <c r="D1" t="s">
        <v>3</v>
      </c>
      <c r="E1" t="s">
        <v>4</v>
      </c>
      <c r="F1" t="s">
        <v>5</v>
      </c>
      <c r="G1" t="s">
        <v>6</v>
      </c>
      <c r="H1" t="s">
        <v>7</v>
      </c>
      <c r="I1" t="s">
        <v>8</v>
      </c>
      <c r="J1" t="s">
        <v>9</v>
      </c>
    </row>
    <row r="2" spans="1:10" x14ac:dyDescent="0.3">
      <c r="A2">
        <v>1</v>
      </c>
      <c r="B2" t="s">
        <v>10</v>
      </c>
      <c r="C2" t="s">
        <v>11</v>
      </c>
      <c r="D2">
        <v>85</v>
      </c>
      <c r="E2">
        <v>15</v>
      </c>
      <c r="F2">
        <v>78</v>
      </c>
      <c r="G2">
        <v>1</v>
      </c>
      <c r="H2" t="s">
        <v>12</v>
      </c>
      <c r="I2">
        <v>80</v>
      </c>
      <c r="J2" t="b">
        <v>0</v>
      </c>
    </row>
    <row r="3" spans="1:10" x14ac:dyDescent="0.3">
      <c r="A3">
        <v>2</v>
      </c>
      <c r="B3" t="s">
        <v>13</v>
      </c>
      <c r="C3" t="s">
        <v>14</v>
      </c>
      <c r="D3">
        <v>90</v>
      </c>
      <c r="E3">
        <v>20</v>
      </c>
      <c r="F3">
        <v>85</v>
      </c>
      <c r="G3">
        <v>2</v>
      </c>
      <c r="H3" t="s">
        <v>15</v>
      </c>
      <c r="I3">
        <v>87</v>
      </c>
      <c r="J3" t="b">
        <v>1</v>
      </c>
    </row>
    <row r="4" spans="1:10" x14ac:dyDescent="0.3">
      <c r="A4">
        <v>3</v>
      </c>
      <c r="B4" t="s">
        <v>16</v>
      </c>
      <c r="C4" t="s">
        <v>11</v>
      </c>
      <c r="D4">
        <v>78</v>
      </c>
      <c r="E4">
        <v>10</v>
      </c>
      <c r="F4">
        <v>65</v>
      </c>
      <c r="G4">
        <v>0</v>
      </c>
      <c r="H4" t="s">
        <v>17</v>
      </c>
      <c r="I4">
        <v>68</v>
      </c>
      <c r="J4" t="b">
        <v>0</v>
      </c>
    </row>
    <row r="5" spans="1:10" x14ac:dyDescent="0.3">
      <c r="A5">
        <v>4</v>
      </c>
      <c r="B5" t="s">
        <v>18</v>
      </c>
      <c r="C5" t="s">
        <v>11</v>
      </c>
      <c r="D5">
        <v>92</v>
      </c>
      <c r="E5">
        <v>25</v>
      </c>
      <c r="F5">
        <v>90</v>
      </c>
      <c r="G5">
        <v>3</v>
      </c>
      <c r="H5" t="s">
        <v>12</v>
      </c>
      <c r="I5">
        <v>92</v>
      </c>
      <c r="J5" t="b">
        <v>0</v>
      </c>
    </row>
    <row r="6" spans="1:10" x14ac:dyDescent="0.3">
      <c r="A6">
        <v>5</v>
      </c>
      <c r="B6" t="s">
        <v>19</v>
      </c>
      <c r="C6" t="s">
        <v>14</v>
      </c>
      <c r="D6">
        <v>85.510416666666671</v>
      </c>
      <c r="E6">
        <v>18</v>
      </c>
      <c r="F6">
        <v>82</v>
      </c>
      <c r="G6">
        <v>2</v>
      </c>
      <c r="H6" t="s">
        <v>15</v>
      </c>
      <c r="I6">
        <v>85</v>
      </c>
      <c r="J6" t="b">
        <v>1</v>
      </c>
    </row>
    <row r="7" spans="1:10" x14ac:dyDescent="0.3">
      <c r="A7">
        <v>6</v>
      </c>
      <c r="B7" t="s">
        <v>20</v>
      </c>
      <c r="C7" t="s">
        <v>14</v>
      </c>
      <c r="D7">
        <v>95</v>
      </c>
      <c r="E7">
        <v>30</v>
      </c>
      <c r="F7">
        <v>88</v>
      </c>
      <c r="G7">
        <v>1</v>
      </c>
      <c r="H7" t="s">
        <v>12</v>
      </c>
      <c r="I7">
        <v>80.030208333333334</v>
      </c>
      <c r="J7" t="b">
        <v>0</v>
      </c>
    </row>
    <row r="8" spans="1:10" x14ac:dyDescent="0.3">
      <c r="A8">
        <v>7</v>
      </c>
      <c r="B8" t="s">
        <v>21</v>
      </c>
      <c r="C8" t="s">
        <v>11</v>
      </c>
      <c r="D8">
        <v>70</v>
      </c>
      <c r="E8">
        <v>8</v>
      </c>
      <c r="F8">
        <v>60</v>
      </c>
      <c r="G8">
        <v>0</v>
      </c>
      <c r="H8" t="s">
        <v>17</v>
      </c>
      <c r="I8">
        <v>62</v>
      </c>
      <c r="J8" t="b">
        <v>0</v>
      </c>
    </row>
    <row r="9" spans="1:10" x14ac:dyDescent="0.3">
      <c r="A9">
        <v>8</v>
      </c>
      <c r="B9" t="s">
        <v>22</v>
      </c>
      <c r="C9" t="s">
        <v>14</v>
      </c>
      <c r="D9">
        <v>85.510416666666671</v>
      </c>
      <c r="E9">
        <v>17</v>
      </c>
      <c r="F9">
        <v>77</v>
      </c>
      <c r="G9">
        <v>1</v>
      </c>
      <c r="H9" t="s">
        <v>15</v>
      </c>
      <c r="I9">
        <v>78</v>
      </c>
      <c r="J9" t="b">
        <v>1</v>
      </c>
    </row>
    <row r="10" spans="1:10" x14ac:dyDescent="0.3">
      <c r="A10">
        <v>9</v>
      </c>
      <c r="B10" t="s">
        <v>23</v>
      </c>
      <c r="C10" t="s">
        <v>11</v>
      </c>
      <c r="D10">
        <v>82</v>
      </c>
      <c r="E10">
        <v>12</v>
      </c>
      <c r="F10">
        <v>70</v>
      </c>
      <c r="G10">
        <v>2</v>
      </c>
      <c r="H10" t="s">
        <v>17</v>
      </c>
      <c r="I10">
        <v>72</v>
      </c>
      <c r="J10" t="b">
        <v>0</v>
      </c>
    </row>
    <row r="11" spans="1:10" x14ac:dyDescent="0.3">
      <c r="A11">
        <v>10</v>
      </c>
      <c r="B11" t="s">
        <v>24</v>
      </c>
      <c r="C11" t="s">
        <v>14</v>
      </c>
      <c r="D11">
        <v>91</v>
      </c>
      <c r="E11">
        <v>22</v>
      </c>
      <c r="F11">
        <v>86</v>
      </c>
      <c r="G11">
        <v>3</v>
      </c>
      <c r="H11" t="s">
        <v>12</v>
      </c>
      <c r="I11">
        <v>88</v>
      </c>
      <c r="J11" t="b">
        <v>1</v>
      </c>
    </row>
    <row r="12" spans="1:10" x14ac:dyDescent="0.3">
      <c r="A12">
        <v>11</v>
      </c>
      <c r="B12" t="s">
        <v>25</v>
      </c>
      <c r="C12" t="s">
        <v>11</v>
      </c>
      <c r="D12">
        <v>88</v>
      </c>
      <c r="E12">
        <v>25</v>
      </c>
      <c r="F12">
        <v>90</v>
      </c>
      <c r="G12">
        <v>0</v>
      </c>
      <c r="H12" t="s">
        <v>12</v>
      </c>
      <c r="I12">
        <v>87</v>
      </c>
      <c r="J12" t="b">
        <v>1</v>
      </c>
    </row>
    <row r="13" spans="1:10" x14ac:dyDescent="0.3">
      <c r="A13">
        <v>12</v>
      </c>
      <c r="B13" t="s">
        <v>26</v>
      </c>
      <c r="C13" t="s">
        <v>11</v>
      </c>
      <c r="D13">
        <v>85</v>
      </c>
      <c r="E13">
        <v>20</v>
      </c>
      <c r="F13">
        <v>77.598759048603924</v>
      </c>
      <c r="G13">
        <v>3</v>
      </c>
      <c r="H13" t="s">
        <v>17</v>
      </c>
      <c r="I13">
        <v>88</v>
      </c>
      <c r="J13" t="b">
        <v>0</v>
      </c>
    </row>
    <row r="14" spans="1:10" x14ac:dyDescent="0.3">
      <c r="A14">
        <v>13</v>
      </c>
      <c r="B14" t="s">
        <v>27</v>
      </c>
      <c r="C14" t="s">
        <v>14</v>
      </c>
      <c r="D14">
        <v>91</v>
      </c>
      <c r="E14">
        <v>18</v>
      </c>
      <c r="F14">
        <v>78</v>
      </c>
      <c r="G14">
        <v>0</v>
      </c>
      <c r="H14" t="s">
        <v>17</v>
      </c>
      <c r="I14">
        <v>62</v>
      </c>
      <c r="J14" t="b">
        <v>1</v>
      </c>
    </row>
    <row r="15" spans="1:10" x14ac:dyDescent="0.3">
      <c r="A15">
        <v>14</v>
      </c>
      <c r="B15" t="s">
        <v>28</v>
      </c>
      <c r="C15" t="s">
        <v>11</v>
      </c>
      <c r="D15">
        <v>90</v>
      </c>
      <c r="E15">
        <v>8</v>
      </c>
      <c r="F15">
        <v>85</v>
      </c>
      <c r="G15">
        <v>1</v>
      </c>
      <c r="H15" t="s">
        <v>15</v>
      </c>
      <c r="I15">
        <v>88</v>
      </c>
      <c r="J15" t="b">
        <v>0</v>
      </c>
    </row>
    <row r="16" spans="1:10" x14ac:dyDescent="0.3">
      <c r="A16">
        <v>15</v>
      </c>
      <c r="B16" t="s">
        <v>29</v>
      </c>
      <c r="C16" t="s">
        <v>11</v>
      </c>
      <c r="D16">
        <v>70</v>
      </c>
      <c r="E16">
        <v>20</v>
      </c>
      <c r="F16">
        <v>70</v>
      </c>
      <c r="G16">
        <v>2</v>
      </c>
      <c r="H16" t="s">
        <v>17</v>
      </c>
      <c r="I16">
        <v>88</v>
      </c>
      <c r="J16" t="b">
        <v>1</v>
      </c>
    </row>
    <row r="17" spans="1:10" x14ac:dyDescent="0.3">
      <c r="A17">
        <v>16</v>
      </c>
      <c r="B17" t="s">
        <v>30</v>
      </c>
      <c r="C17" t="s">
        <v>11</v>
      </c>
      <c r="D17">
        <v>85.510416666666671</v>
      </c>
      <c r="E17">
        <v>18</v>
      </c>
      <c r="F17">
        <v>85</v>
      </c>
      <c r="G17">
        <v>3</v>
      </c>
      <c r="H17" t="s">
        <v>12</v>
      </c>
      <c r="I17">
        <v>62</v>
      </c>
      <c r="J17" t="b">
        <v>0</v>
      </c>
    </row>
    <row r="18" spans="1:10" x14ac:dyDescent="0.3">
      <c r="A18">
        <v>17</v>
      </c>
      <c r="B18" t="s">
        <v>31</v>
      </c>
      <c r="C18" t="s">
        <v>977</v>
      </c>
      <c r="D18">
        <v>95</v>
      </c>
      <c r="E18">
        <v>25</v>
      </c>
      <c r="F18">
        <v>82</v>
      </c>
      <c r="G18">
        <v>2</v>
      </c>
      <c r="H18" t="s">
        <v>17</v>
      </c>
      <c r="I18">
        <v>68</v>
      </c>
      <c r="J18" t="b">
        <v>1</v>
      </c>
    </row>
    <row r="19" spans="1:10" x14ac:dyDescent="0.3">
      <c r="A19">
        <v>18</v>
      </c>
      <c r="B19" t="s">
        <v>32</v>
      </c>
      <c r="C19" t="s">
        <v>14</v>
      </c>
      <c r="D19">
        <v>88</v>
      </c>
      <c r="E19">
        <v>12</v>
      </c>
      <c r="F19">
        <v>90</v>
      </c>
      <c r="G19">
        <v>1</v>
      </c>
      <c r="H19" t="s">
        <v>12</v>
      </c>
      <c r="I19">
        <v>92</v>
      </c>
      <c r="J19" t="b">
        <v>0</v>
      </c>
    </row>
    <row r="20" spans="1:10" x14ac:dyDescent="0.3">
      <c r="A20">
        <v>19</v>
      </c>
      <c r="B20" t="s">
        <v>33</v>
      </c>
      <c r="C20" t="s">
        <v>11</v>
      </c>
      <c r="D20">
        <v>92</v>
      </c>
      <c r="E20">
        <v>22</v>
      </c>
      <c r="F20">
        <v>88</v>
      </c>
      <c r="G20">
        <v>3</v>
      </c>
      <c r="H20" t="s">
        <v>17</v>
      </c>
      <c r="I20">
        <v>78</v>
      </c>
      <c r="J20" t="b">
        <v>0</v>
      </c>
    </row>
    <row r="21" spans="1:10" x14ac:dyDescent="0.3">
      <c r="A21">
        <v>20</v>
      </c>
      <c r="B21" t="s">
        <v>34</v>
      </c>
      <c r="C21" t="s">
        <v>14</v>
      </c>
      <c r="D21">
        <v>78</v>
      </c>
      <c r="E21">
        <v>25</v>
      </c>
      <c r="F21">
        <v>70</v>
      </c>
      <c r="G21">
        <v>2</v>
      </c>
      <c r="H21" t="s">
        <v>15</v>
      </c>
      <c r="I21">
        <v>88</v>
      </c>
      <c r="J21" t="b">
        <v>0</v>
      </c>
    </row>
    <row r="22" spans="1:10" x14ac:dyDescent="0.3">
      <c r="A22">
        <v>21</v>
      </c>
      <c r="B22" t="s">
        <v>35</v>
      </c>
      <c r="C22" t="s">
        <v>11</v>
      </c>
      <c r="D22">
        <v>78</v>
      </c>
      <c r="E22">
        <v>12</v>
      </c>
      <c r="F22">
        <v>77</v>
      </c>
      <c r="G22">
        <v>2</v>
      </c>
      <c r="H22" t="s">
        <v>12</v>
      </c>
      <c r="I22">
        <v>87</v>
      </c>
      <c r="J22" t="b">
        <v>0</v>
      </c>
    </row>
    <row r="23" spans="1:10" x14ac:dyDescent="0.3">
      <c r="A23">
        <v>22</v>
      </c>
      <c r="B23" t="s">
        <v>36</v>
      </c>
      <c r="C23" t="s">
        <v>14</v>
      </c>
      <c r="D23">
        <v>70</v>
      </c>
      <c r="E23">
        <v>22</v>
      </c>
      <c r="F23">
        <v>77</v>
      </c>
      <c r="G23">
        <v>2</v>
      </c>
      <c r="H23" t="s">
        <v>15</v>
      </c>
      <c r="I23">
        <v>72</v>
      </c>
      <c r="J23" t="b">
        <v>1</v>
      </c>
    </row>
    <row r="24" spans="1:10" x14ac:dyDescent="0.3">
      <c r="A24">
        <v>23</v>
      </c>
      <c r="B24" t="s">
        <v>37</v>
      </c>
      <c r="C24" t="s">
        <v>14</v>
      </c>
      <c r="D24">
        <v>95</v>
      </c>
      <c r="E24">
        <v>20</v>
      </c>
      <c r="F24">
        <v>82</v>
      </c>
      <c r="G24">
        <v>1</v>
      </c>
      <c r="H24" t="s">
        <v>12</v>
      </c>
      <c r="I24">
        <v>78</v>
      </c>
      <c r="J24" t="b">
        <v>0</v>
      </c>
    </row>
    <row r="25" spans="1:10" x14ac:dyDescent="0.3">
      <c r="A25">
        <v>24</v>
      </c>
      <c r="B25" t="s">
        <v>38</v>
      </c>
      <c r="C25" t="s">
        <v>11</v>
      </c>
      <c r="D25">
        <v>82</v>
      </c>
      <c r="E25">
        <v>20</v>
      </c>
      <c r="F25">
        <v>82</v>
      </c>
      <c r="G25">
        <v>1</v>
      </c>
      <c r="H25" t="s">
        <v>17</v>
      </c>
      <c r="I25">
        <v>80.030208333333334</v>
      </c>
      <c r="J25" t="b">
        <v>1</v>
      </c>
    </row>
    <row r="26" spans="1:10" x14ac:dyDescent="0.3">
      <c r="A26">
        <v>25</v>
      </c>
      <c r="B26" t="s">
        <v>39</v>
      </c>
      <c r="C26" t="s">
        <v>11</v>
      </c>
      <c r="D26">
        <v>91</v>
      </c>
      <c r="E26">
        <v>30</v>
      </c>
      <c r="F26">
        <v>77</v>
      </c>
      <c r="G26">
        <v>1</v>
      </c>
      <c r="H26" t="s">
        <v>12</v>
      </c>
      <c r="I26">
        <v>90</v>
      </c>
      <c r="J26" t="b">
        <v>1</v>
      </c>
    </row>
    <row r="27" spans="1:10" x14ac:dyDescent="0.3">
      <c r="A27">
        <v>26</v>
      </c>
      <c r="B27" t="s">
        <v>40</v>
      </c>
      <c r="C27" t="s">
        <v>11</v>
      </c>
      <c r="D27">
        <v>91</v>
      </c>
      <c r="E27">
        <v>20</v>
      </c>
      <c r="F27">
        <v>77.598759048603924</v>
      </c>
      <c r="G27">
        <v>1</v>
      </c>
      <c r="H27" t="s">
        <v>12</v>
      </c>
      <c r="I27">
        <v>72</v>
      </c>
      <c r="J27" t="b">
        <v>0</v>
      </c>
    </row>
    <row r="28" spans="1:10" x14ac:dyDescent="0.3">
      <c r="A28">
        <v>27</v>
      </c>
      <c r="B28" t="s">
        <v>41</v>
      </c>
      <c r="C28" t="s">
        <v>14</v>
      </c>
      <c r="D28">
        <v>85.510416666666671</v>
      </c>
      <c r="E28">
        <v>17.630526315789474</v>
      </c>
      <c r="F28">
        <v>60</v>
      </c>
      <c r="G28">
        <v>3</v>
      </c>
      <c r="H28" t="s">
        <v>17</v>
      </c>
      <c r="I28">
        <v>92</v>
      </c>
      <c r="J28" t="b">
        <v>0</v>
      </c>
    </row>
    <row r="29" spans="1:10" x14ac:dyDescent="0.3">
      <c r="A29">
        <v>28</v>
      </c>
      <c r="B29" t="s">
        <v>42</v>
      </c>
      <c r="C29" t="s">
        <v>14</v>
      </c>
      <c r="D29">
        <v>90</v>
      </c>
      <c r="E29">
        <v>25</v>
      </c>
      <c r="F29">
        <v>90</v>
      </c>
      <c r="G29">
        <v>2</v>
      </c>
      <c r="H29" t="s">
        <v>15</v>
      </c>
      <c r="I29">
        <v>80</v>
      </c>
      <c r="J29" t="b">
        <v>1</v>
      </c>
    </row>
    <row r="30" spans="1:10" x14ac:dyDescent="0.3">
      <c r="A30">
        <v>29</v>
      </c>
      <c r="B30" t="s">
        <v>43</v>
      </c>
      <c r="C30" t="s">
        <v>11</v>
      </c>
      <c r="D30">
        <v>85</v>
      </c>
      <c r="E30">
        <v>25</v>
      </c>
      <c r="F30">
        <v>77.598759048603924</v>
      </c>
      <c r="G30">
        <v>1</v>
      </c>
      <c r="H30" t="s">
        <v>15</v>
      </c>
      <c r="I30">
        <v>87</v>
      </c>
      <c r="J30" t="b">
        <v>0</v>
      </c>
    </row>
    <row r="31" spans="1:10" x14ac:dyDescent="0.3">
      <c r="A31">
        <v>30</v>
      </c>
      <c r="B31" t="s">
        <v>44</v>
      </c>
      <c r="C31" t="s">
        <v>11</v>
      </c>
      <c r="D31">
        <v>91</v>
      </c>
      <c r="E31">
        <v>22</v>
      </c>
      <c r="F31">
        <v>77</v>
      </c>
      <c r="G31">
        <v>3</v>
      </c>
      <c r="H31" t="s">
        <v>15</v>
      </c>
      <c r="I31">
        <v>62</v>
      </c>
      <c r="J31" t="b">
        <v>0</v>
      </c>
    </row>
    <row r="32" spans="1:10" x14ac:dyDescent="0.3">
      <c r="A32">
        <v>31</v>
      </c>
      <c r="B32" t="s">
        <v>45</v>
      </c>
      <c r="C32" t="s">
        <v>14</v>
      </c>
      <c r="D32">
        <v>70</v>
      </c>
      <c r="E32">
        <v>17</v>
      </c>
      <c r="F32">
        <v>78</v>
      </c>
      <c r="G32">
        <v>2</v>
      </c>
      <c r="H32" t="s">
        <v>12</v>
      </c>
      <c r="I32">
        <v>80.030208333333334</v>
      </c>
      <c r="J32" t="b">
        <v>1</v>
      </c>
    </row>
    <row r="33" spans="1:10" x14ac:dyDescent="0.3">
      <c r="A33">
        <v>32</v>
      </c>
      <c r="B33" t="s">
        <v>46</v>
      </c>
      <c r="C33" t="s">
        <v>11</v>
      </c>
      <c r="D33">
        <v>82</v>
      </c>
      <c r="E33">
        <v>17</v>
      </c>
      <c r="F33">
        <v>65</v>
      </c>
      <c r="G33">
        <v>0</v>
      </c>
      <c r="H33" t="s">
        <v>12</v>
      </c>
      <c r="I33">
        <v>85</v>
      </c>
      <c r="J33" t="b">
        <v>0</v>
      </c>
    </row>
    <row r="34" spans="1:10" x14ac:dyDescent="0.3">
      <c r="A34">
        <v>33</v>
      </c>
      <c r="B34" t="s">
        <v>47</v>
      </c>
      <c r="C34" t="s">
        <v>11</v>
      </c>
      <c r="D34">
        <v>82</v>
      </c>
      <c r="E34">
        <v>15</v>
      </c>
      <c r="F34">
        <v>85</v>
      </c>
      <c r="G34">
        <v>3</v>
      </c>
      <c r="H34" t="s">
        <v>12</v>
      </c>
      <c r="I34">
        <v>80.030208333333334</v>
      </c>
      <c r="J34" t="b">
        <v>0</v>
      </c>
    </row>
    <row r="35" spans="1:10" x14ac:dyDescent="0.3">
      <c r="A35">
        <v>34</v>
      </c>
      <c r="B35" t="s">
        <v>48</v>
      </c>
      <c r="C35" t="s">
        <v>977</v>
      </c>
      <c r="D35">
        <v>85.510416666666671</v>
      </c>
      <c r="E35">
        <v>15</v>
      </c>
      <c r="F35">
        <v>60</v>
      </c>
      <c r="G35">
        <v>2</v>
      </c>
      <c r="H35" t="s">
        <v>15</v>
      </c>
      <c r="I35">
        <v>85</v>
      </c>
      <c r="J35" t="b">
        <v>0</v>
      </c>
    </row>
    <row r="36" spans="1:10" x14ac:dyDescent="0.3">
      <c r="A36">
        <v>35</v>
      </c>
      <c r="B36" t="s">
        <v>49</v>
      </c>
      <c r="C36" t="s">
        <v>11</v>
      </c>
      <c r="D36">
        <v>88</v>
      </c>
      <c r="E36">
        <v>25</v>
      </c>
      <c r="F36">
        <v>78</v>
      </c>
      <c r="G36">
        <v>3</v>
      </c>
      <c r="H36" t="s">
        <v>17</v>
      </c>
      <c r="I36">
        <v>72</v>
      </c>
      <c r="J36" t="b">
        <v>1</v>
      </c>
    </row>
    <row r="37" spans="1:10" x14ac:dyDescent="0.3">
      <c r="A37">
        <v>36</v>
      </c>
      <c r="B37" t="s">
        <v>50</v>
      </c>
      <c r="C37" t="s">
        <v>14</v>
      </c>
      <c r="D37">
        <v>82</v>
      </c>
      <c r="E37">
        <v>12</v>
      </c>
      <c r="F37">
        <v>65</v>
      </c>
      <c r="G37">
        <v>1</v>
      </c>
      <c r="H37" t="s">
        <v>17</v>
      </c>
      <c r="I37">
        <v>87</v>
      </c>
      <c r="J37" t="b">
        <v>1</v>
      </c>
    </row>
    <row r="38" spans="1:10" x14ac:dyDescent="0.3">
      <c r="A38">
        <v>37</v>
      </c>
      <c r="B38" t="s">
        <v>51</v>
      </c>
      <c r="C38" t="s">
        <v>14</v>
      </c>
      <c r="D38">
        <v>90</v>
      </c>
      <c r="E38">
        <v>22</v>
      </c>
      <c r="F38">
        <v>90</v>
      </c>
      <c r="G38">
        <v>3</v>
      </c>
      <c r="H38" t="s">
        <v>17</v>
      </c>
      <c r="I38">
        <v>80</v>
      </c>
      <c r="J38" t="b">
        <v>0</v>
      </c>
    </row>
    <row r="39" spans="1:10" x14ac:dyDescent="0.3">
      <c r="A39">
        <v>38</v>
      </c>
      <c r="B39" t="s">
        <v>52</v>
      </c>
      <c r="C39" t="s">
        <v>11</v>
      </c>
      <c r="D39">
        <v>95</v>
      </c>
      <c r="E39">
        <v>25</v>
      </c>
      <c r="F39">
        <v>82</v>
      </c>
      <c r="G39">
        <v>0</v>
      </c>
      <c r="H39" t="s">
        <v>12</v>
      </c>
      <c r="I39">
        <v>85</v>
      </c>
      <c r="J39" t="b">
        <v>1</v>
      </c>
    </row>
    <row r="40" spans="1:10" x14ac:dyDescent="0.3">
      <c r="A40">
        <v>39</v>
      </c>
      <c r="B40" t="s">
        <v>53</v>
      </c>
      <c r="C40" t="s">
        <v>14</v>
      </c>
      <c r="D40">
        <v>91</v>
      </c>
      <c r="E40">
        <v>22</v>
      </c>
      <c r="F40">
        <v>85</v>
      </c>
      <c r="G40">
        <v>2</v>
      </c>
      <c r="H40" t="s">
        <v>17</v>
      </c>
      <c r="I40">
        <v>92</v>
      </c>
      <c r="J40" t="b">
        <v>0</v>
      </c>
    </row>
    <row r="41" spans="1:10" x14ac:dyDescent="0.3">
      <c r="A41">
        <v>40</v>
      </c>
      <c r="B41" t="s">
        <v>54</v>
      </c>
      <c r="C41" t="s">
        <v>11</v>
      </c>
      <c r="D41">
        <v>95</v>
      </c>
      <c r="E41">
        <v>18</v>
      </c>
      <c r="F41">
        <v>65</v>
      </c>
      <c r="G41">
        <v>1</v>
      </c>
      <c r="H41" t="s">
        <v>17</v>
      </c>
      <c r="I41">
        <v>85</v>
      </c>
      <c r="J41" t="b">
        <v>1</v>
      </c>
    </row>
    <row r="42" spans="1:10" x14ac:dyDescent="0.3">
      <c r="A42">
        <v>41</v>
      </c>
      <c r="B42" t="s">
        <v>55</v>
      </c>
      <c r="C42" t="s">
        <v>11</v>
      </c>
      <c r="D42">
        <v>78</v>
      </c>
      <c r="E42">
        <v>18</v>
      </c>
      <c r="F42">
        <v>85</v>
      </c>
      <c r="G42">
        <v>2</v>
      </c>
      <c r="H42" t="s">
        <v>17</v>
      </c>
      <c r="I42">
        <v>72</v>
      </c>
      <c r="J42" t="b">
        <v>1</v>
      </c>
    </row>
    <row r="43" spans="1:10" x14ac:dyDescent="0.3">
      <c r="A43">
        <v>42</v>
      </c>
      <c r="B43" t="s">
        <v>56</v>
      </c>
      <c r="C43" t="s">
        <v>11</v>
      </c>
      <c r="D43">
        <v>88</v>
      </c>
      <c r="E43">
        <v>12</v>
      </c>
      <c r="F43">
        <v>77</v>
      </c>
      <c r="G43">
        <v>2</v>
      </c>
      <c r="H43" t="s">
        <v>12</v>
      </c>
      <c r="I43">
        <v>87</v>
      </c>
      <c r="J43" t="b">
        <v>1</v>
      </c>
    </row>
    <row r="44" spans="1:10" x14ac:dyDescent="0.3">
      <c r="A44">
        <v>43</v>
      </c>
      <c r="B44" t="s">
        <v>57</v>
      </c>
      <c r="C44" t="s">
        <v>14</v>
      </c>
      <c r="D44">
        <v>78</v>
      </c>
      <c r="E44">
        <v>18</v>
      </c>
      <c r="F44">
        <v>65</v>
      </c>
      <c r="G44">
        <v>1</v>
      </c>
      <c r="H44" t="s">
        <v>17</v>
      </c>
      <c r="I44">
        <v>62</v>
      </c>
      <c r="J44" t="b">
        <v>1</v>
      </c>
    </row>
    <row r="45" spans="1:10" x14ac:dyDescent="0.3">
      <c r="A45">
        <v>44</v>
      </c>
      <c r="B45" t="s">
        <v>58</v>
      </c>
      <c r="C45" t="s">
        <v>11</v>
      </c>
      <c r="D45">
        <v>95</v>
      </c>
      <c r="E45">
        <v>22</v>
      </c>
      <c r="F45">
        <v>70</v>
      </c>
      <c r="G45">
        <v>0</v>
      </c>
      <c r="H45" t="s">
        <v>15</v>
      </c>
      <c r="I45">
        <v>68</v>
      </c>
      <c r="J45" t="b">
        <v>1</v>
      </c>
    </row>
    <row r="46" spans="1:10" x14ac:dyDescent="0.3">
      <c r="A46">
        <v>45</v>
      </c>
      <c r="B46" t="s">
        <v>59</v>
      </c>
      <c r="C46" t="s">
        <v>11</v>
      </c>
      <c r="D46">
        <v>92</v>
      </c>
      <c r="E46">
        <v>20</v>
      </c>
      <c r="F46">
        <v>88</v>
      </c>
      <c r="G46">
        <v>2</v>
      </c>
      <c r="H46" t="s">
        <v>15</v>
      </c>
      <c r="I46">
        <v>88</v>
      </c>
      <c r="J46" t="b">
        <v>1</v>
      </c>
    </row>
    <row r="47" spans="1:10" x14ac:dyDescent="0.3">
      <c r="A47">
        <v>46</v>
      </c>
      <c r="B47" t="s">
        <v>60</v>
      </c>
      <c r="C47" t="s">
        <v>14</v>
      </c>
      <c r="D47">
        <v>85</v>
      </c>
      <c r="E47">
        <v>10</v>
      </c>
      <c r="F47">
        <v>88</v>
      </c>
      <c r="G47">
        <v>0</v>
      </c>
      <c r="H47" t="s">
        <v>17</v>
      </c>
      <c r="I47">
        <v>92</v>
      </c>
      <c r="J47" t="b">
        <v>1</v>
      </c>
    </row>
    <row r="48" spans="1:10" x14ac:dyDescent="0.3">
      <c r="A48">
        <v>47</v>
      </c>
      <c r="B48" t="s">
        <v>61</v>
      </c>
      <c r="C48" t="s">
        <v>11</v>
      </c>
      <c r="D48">
        <v>85</v>
      </c>
      <c r="E48">
        <v>25</v>
      </c>
      <c r="F48">
        <v>90</v>
      </c>
      <c r="G48">
        <v>1</v>
      </c>
      <c r="H48" t="s">
        <v>15</v>
      </c>
      <c r="I48">
        <v>85</v>
      </c>
      <c r="J48" t="b">
        <v>1</v>
      </c>
    </row>
    <row r="49" spans="1:10" x14ac:dyDescent="0.3">
      <c r="A49">
        <v>48</v>
      </c>
      <c r="B49" t="s">
        <v>62</v>
      </c>
      <c r="C49" t="s">
        <v>11</v>
      </c>
      <c r="D49">
        <v>70</v>
      </c>
      <c r="E49">
        <v>30</v>
      </c>
      <c r="F49">
        <v>82</v>
      </c>
      <c r="G49">
        <v>2</v>
      </c>
      <c r="H49" t="s">
        <v>15</v>
      </c>
      <c r="I49">
        <v>90</v>
      </c>
      <c r="J49" t="b">
        <v>0</v>
      </c>
    </row>
    <row r="50" spans="1:10" x14ac:dyDescent="0.3">
      <c r="A50">
        <v>49</v>
      </c>
      <c r="B50" t="s">
        <v>63</v>
      </c>
      <c r="C50" t="s">
        <v>11</v>
      </c>
      <c r="D50">
        <v>88</v>
      </c>
      <c r="E50">
        <v>10</v>
      </c>
      <c r="F50">
        <v>86</v>
      </c>
      <c r="G50">
        <v>2</v>
      </c>
      <c r="H50" t="s">
        <v>12</v>
      </c>
      <c r="I50">
        <v>87</v>
      </c>
      <c r="J50" t="b">
        <v>0</v>
      </c>
    </row>
    <row r="51" spans="1:10" x14ac:dyDescent="0.3">
      <c r="A51">
        <v>50</v>
      </c>
      <c r="B51" t="s">
        <v>64</v>
      </c>
      <c r="C51" t="s">
        <v>11</v>
      </c>
      <c r="D51">
        <v>70</v>
      </c>
      <c r="E51">
        <v>22</v>
      </c>
      <c r="F51">
        <v>90</v>
      </c>
      <c r="G51">
        <v>2</v>
      </c>
      <c r="H51" t="s">
        <v>12</v>
      </c>
      <c r="I51">
        <v>62</v>
      </c>
      <c r="J51" t="b">
        <v>1</v>
      </c>
    </row>
    <row r="52" spans="1:10" x14ac:dyDescent="0.3">
      <c r="A52">
        <v>51</v>
      </c>
      <c r="B52" t="s">
        <v>65</v>
      </c>
      <c r="C52" t="s">
        <v>14</v>
      </c>
      <c r="D52">
        <v>90</v>
      </c>
      <c r="E52">
        <v>30</v>
      </c>
      <c r="F52">
        <v>86</v>
      </c>
      <c r="G52">
        <v>1</v>
      </c>
      <c r="H52" t="s">
        <v>17</v>
      </c>
      <c r="I52">
        <v>87</v>
      </c>
      <c r="J52" t="b">
        <v>0</v>
      </c>
    </row>
    <row r="53" spans="1:10" x14ac:dyDescent="0.3">
      <c r="A53">
        <v>52</v>
      </c>
      <c r="B53" t="s">
        <v>66</v>
      </c>
      <c r="C53" t="s">
        <v>14</v>
      </c>
      <c r="D53">
        <v>70</v>
      </c>
      <c r="E53">
        <v>18</v>
      </c>
      <c r="F53">
        <v>70</v>
      </c>
      <c r="G53">
        <v>0</v>
      </c>
      <c r="H53" t="s">
        <v>12</v>
      </c>
      <c r="I53">
        <v>62</v>
      </c>
      <c r="J53" t="b">
        <v>1</v>
      </c>
    </row>
    <row r="54" spans="1:10" x14ac:dyDescent="0.3">
      <c r="A54">
        <v>53</v>
      </c>
      <c r="B54" t="s">
        <v>67</v>
      </c>
      <c r="C54" t="s">
        <v>14</v>
      </c>
      <c r="D54">
        <v>82</v>
      </c>
      <c r="E54">
        <v>17.630526315789474</v>
      </c>
      <c r="F54">
        <v>82</v>
      </c>
      <c r="G54">
        <v>1</v>
      </c>
      <c r="H54" t="s">
        <v>12</v>
      </c>
      <c r="I54">
        <v>62</v>
      </c>
      <c r="J54" t="b">
        <v>0</v>
      </c>
    </row>
    <row r="55" spans="1:10" x14ac:dyDescent="0.3">
      <c r="A55">
        <v>54</v>
      </c>
      <c r="B55" t="s">
        <v>68</v>
      </c>
      <c r="C55" t="s">
        <v>14</v>
      </c>
      <c r="D55">
        <v>85</v>
      </c>
      <c r="E55">
        <v>25</v>
      </c>
      <c r="F55">
        <v>70</v>
      </c>
      <c r="G55">
        <v>1</v>
      </c>
      <c r="H55" t="s">
        <v>17</v>
      </c>
      <c r="I55">
        <v>68</v>
      </c>
      <c r="J55" t="b">
        <v>0</v>
      </c>
    </row>
    <row r="56" spans="1:10" x14ac:dyDescent="0.3">
      <c r="A56">
        <v>55</v>
      </c>
      <c r="B56" t="s">
        <v>69</v>
      </c>
      <c r="C56" t="s">
        <v>11</v>
      </c>
      <c r="D56">
        <v>88</v>
      </c>
      <c r="E56">
        <v>25</v>
      </c>
      <c r="F56">
        <v>90</v>
      </c>
      <c r="G56">
        <v>0</v>
      </c>
      <c r="H56" t="s">
        <v>12</v>
      </c>
      <c r="I56">
        <v>80</v>
      </c>
      <c r="J56" t="b">
        <v>1</v>
      </c>
    </row>
    <row r="57" spans="1:10" x14ac:dyDescent="0.3">
      <c r="A57">
        <v>56</v>
      </c>
      <c r="B57" t="s">
        <v>70</v>
      </c>
      <c r="C57" t="s">
        <v>14</v>
      </c>
      <c r="D57">
        <v>91</v>
      </c>
      <c r="E57">
        <v>25</v>
      </c>
      <c r="F57">
        <v>60</v>
      </c>
      <c r="G57">
        <v>1</v>
      </c>
      <c r="H57" t="s">
        <v>15</v>
      </c>
      <c r="I57">
        <v>92</v>
      </c>
      <c r="J57" t="b">
        <v>1</v>
      </c>
    </row>
    <row r="58" spans="1:10" x14ac:dyDescent="0.3">
      <c r="A58">
        <v>57</v>
      </c>
      <c r="B58" t="s">
        <v>71</v>
      </c>
      <c r="C58" t="s">
        <v>14</v>
      </c>
      <c r="D58">
        <v>92</v>
      </c>
      <c r="E58">
        <v>10</v>
      </c>
      <c r="F58">
        <v>70</v>
      </c>
      <c r="G58">
        <v>1</v>
      </c>
      <c r="H58" t="s">
        <v>12</v>
      </c>
      <c r="I58">
        <v>72</v>
      </c>
      <c r="J58" t="b">
        <v>0</v>
      </c>
    </row>
    <row r="59" spans="1:10" x14ac:dyDescent="0.3">
      <c r="A59">
        <v>58</v>
      </c>
      <c r="B59" t="s">
        <v>72</v>
      </c>
      <c r="C59" t="s">
        <v>14</v>
      </c>
      <c r="D59">
        <v>82</v>
      </c>
      <c r="E59">
        <v>12</v>
      </c>
      <c r="F59">
        <v>86</v>
      </c>
      <c r="G59">
        <v>1</v>
      </c>
      <c r="H59" t="s">
        <v>15</v>
      </c>
      <c r="I59">
        <v>88</v>
      </c>
      <c r="J59" t="b">
        <v>0</v>
      </c>
    </row>
    <row r="60" spans="1:10" x14ac:dyDescent="0.3">
      <c r="A60">
        <v>59</v>
      </c>
      <c r="B60" t="s">
        <v>73</v>
      </c>
      <c r="C60" t="s">
        <v>14</v>
      </c>
      <c r="D60">
        <v>78</v>
      </c>
      <c r="E60">
        <v>17</v>
      </c>
      <c r="F60">
        <v>77</v>
      </c>
      <c r="G60">
        <v>2</v>
      </c>
      <c r="H60" t="s">
        <v>12</v>
      </c>
      <c r="I60">
        <v>85</v>
      </c>
      <c r="J60" t="b">
        <v>0</v>
      </c>
    </row>
    <row r="61" spans="1:10" x14ac:dyDescent="0.3">
      <c r="A61">
        <v>60</v>
      </c>
      <c r="B61" t="s">
        <v>74</v>
      </c>
      <c r="C61" t="s">
        <v>14</v>
      </c>
      <c r="D61">
        <v>85</v>
      </c>
      <c r="E61">
        <v>20</v>
      </c>
      <c r="F61">
        <v>82</v>
      </c>
      <c r="G61">
        <v>3</v>
      </c>
      <c r="H61" t="s">
        <v>15</v>
      </c>
      <c r="I61">
        <v>90</v>
      </c>
      <c r="J61" t="b">
        <v>1</v>
      </c>
    </row>
    <row r="62" spans="1:10" x14ac:dyDescent="0.3">
      <c r="A62">
        <v>61</v>
      </c>
      <c r="B62" t="s">
        <v>75</v>
      </c>
      <c r="C62" t="s">
        <v>11</v>
      </c>
      <c r="D62">
        <v>92</v>
      </c>
      <c r="E62">
        <v>8</v>
      </c>
      <c r="F62">
        <v>65</v>
      </c>
      <c r="G62">
        <v>3</v>
      </c>
      <c r="H62" t="s">
        <v>12</v>
      </c>
      <c r="I62">
        <v>62</v>
      </c>
      <c r="J62" t="b">
        <v>0</v>
      </c>
    </row>
    <row r="63" spans="1:10" x14ac:dyDescent="0.3">
      <c r="A63">
        <v>62</v>
      </c>
      <c r="B63" t="s">
        <v>76</v>
      </c>
      <c r="C63" t="s">
        <v>11</v>
      </c>
      <c r="D63">
        <v>92</v>
      </c>
      <c r="E63">
        <v>8</v>
      </c>
      <c r="F63">
        <v>60</v>
      </c>
      <c r="G63">
        <v>3</v>
      </c>
      <c r="H63" t="s">
        <v>17</v>
      </c>
      <c r="I63">
        <v>80</v>
      </c>
      <c r="J63" t="b">
        <v>0</v>
      </c>
    </row>
    <row r="64" spans="1:10" x14ac:dyDescent="0.3">
      <c r="A64">
        <v>63</v>
      </c>
      <c r="B64" t="s">
        <v>77</v>
      </c>
      <c r="C64" t="s">
        <v>11</v>
      </c>
      <c r="D64">
        <v>95</v>
      </c>
      <c r="E64">
        <v>18</v>
      </c>
      <c r="F64">
        <v>60</v>
      </c>
      <c r="G64">
        <v>0</v>
      </c>
      <c r="H64" t="s">
        <v>17</v>
      </c>
      <c r="I64">
        <v>72</v>
      </c>
      <c r="J64" t="b">
        <v>0</v>
      </c>
    </row>
    <row r="65" spans="1:10" x14ac:dyDescent="0.3">
      <c r="A65">
        <v>64</v>
      </c>
      <c r="B65" t="s">
        <v>78</v>
      </c>
      <c r="C65" t="s">
        <v>14</v>
      </c>
      <c r="D65">
        <v>70</v>
      </c>
      <c r="E65">
        <v>17</v>
      </c>
      <c r="F65">
        <v>78</v>
      </c>
      <c r="G65">
        <v>0</v>
      </c>
      <c r="H65" t="s">
        <v>15</v>
      </c>
      <c r="I65">
        <v>62</v>
      </c>
      <c r="J65" t="b">
        <v>1</v>
      </c>
    </row>
    <row r="66" spans="1:10" x14ac:dyDescent="0.3">
      <c r="A66">
        <v>65</v>
      </c>
      <c r="B66" t="s">
        <v>79</v>
      </c>
      <c r="C66" t="s">
        <v>11</v>
      </c>
      <c r="D66">
        <v>70</v>
      </c>
      <c r="E66">
        <v>22</v>
      </c>
      <c r="F66">
        <v>86</v>
      </c>
      <c r="G66">
        <v>1</v>
      </c>
      <c r="H66" t="s">
        <v>12</v>
      </c>
      <c r="I66">
        <v>62</v>
      </c>
      <c r="J66" t="b">
        <v>1</v>
      </c>
    </row>
    <row r="67" spans="1:10" x14ac:dyDescent="0.3">
      <c r="A67">
        <v>66</v>
      </c>
      <c r="B67" t="s">
        <v>80</v>
      </c>
      <c r="C67" t="s">
        <v>14</v>
      </c>
      <c r="D67">
        <v>70</v>
      </c>
      <c r="E67">
        <v>30</v>
      </c>
      <c r="F67">
        <v>90</v>
      </c>
      <c r="G67">
        <v>1</v>
      </c>
      <c r="H67" t="s">
        <v>15</v>
      </c>
      <c r="I67">
        <v>90</v>
      </c>
      <c r="J67" t="b">
        <v>0</v>
      </c>
    </row>
    <row r="68" spans="1:10" x14ac:dyDescent="0.3">
      <c r="A68">
        <v>67</v>
      </c>
      <c r="B68" t="s">
        <v>81</v>
      </c>
      <c r="C68" t="s">
        <v>14</v>
      </c>
      <c r="D68">
        <v>90</v>
      </c>
      <c r="E68">
        <v>17</v>
      </c>
      <c r="F68">
        <v>78</v>
      </c>
      <c r="G68">
        <v>2</v>
      </c>
      <c r="H68" t="s">
        <v>12</v>
      </c>
      <c r="I68">
        <v>90</v>
      </c>
      <c r="J68" t="b">
        <v>1</v>
      </c>
    </row>
    <row r="69" spans="1:10" x14ac:dyDescent="0.3">
      <c r="A69">
        <v>68</v>
      </c>
      <c r="B69" t="s">
        <v>82</v>
      </c>
      <c r="C69" t="s">
        <v>11</v>
      </c>
      <c r="D69">
        <v>92</v>
      </c>
      <c r="E69">
        <v>15</v>
      </c>
      <c r="F69">
        <v>86</v>
      </c>
      <c r="G69">
        <v>0</v>
      </c>
      <c r="H69" t="s">
        <v>12</v>
      </c>
      <c r="I69">
        <v>68</v>
      </c>
      <c r="J69" t="b">
        <v>1</v>
      </c>
    </row>
    <row r="70" spans="1:10" x14ac:dyDescent="0.3">
      <c r="A70">
        <v>69</v>
      </c>
      <c r="B70" t="s">
        <v>83</v>
      </c>
      <c r="C70" t="s">
        <v>14</v>
      </c>
      <c r="D70">
        <v>95</v>
      </c>
      <c r="E70">
        <v>10</v>
      </c>
      <c r="F70">
        <v>86</v>
      </c>
      <c r="G70">
        <v>3</v>
      </c>
      <c r="H70" t="s">
        <v>17</v>
      </c>
      <c r="I70">
        <v>87</v>
      </c>
      <c r="J70" t="b">
        <v>0</v>
      </c>
    </row>
    <row r="71" spans="1:10" x14ac:dyDescent="0.3">
      <c r="A71">
        <v>70</v>
      </c>
      <c r="B71" t="s">
        <v>84</v>
      </c>
      <c r="C71" t="s">
        <v>11</v>
      </c>
      <c r="D71">
        <v>88</v>
      </c>
      <c r="E71">
        <v>22</v>
      </c>
      <c r="F71">
        <v>60</v>
      </c>
      <c r="G71">
        <v>0</v>
      </c>
      <c r="H71" t="s">
        <v>17</v>
      </c>
      <c r="I71">
        <v>92</v>
      </c>
      <c r="J71" t="b">
        <v>1</v>
      </c>
    </row>
    <row r="72" spans="1:10" x14ac:dyDescent="0.3">
      <c r="A72">
        <v>71</v>
      </c>
      <c r="B72" t="s">
        <v>85</v>
      </c>
      <c r="C72" t="s">
        <v>14</v>
      </c>
      <c r="D72">
        <v>91</v>
      </c>
      <c r="E72">
        <v>20</v>
      </c>
      <c r="F72">
        <v>86</v>
      </c>
      <c r="G72">
        <v>1</v>
      </c>
      <c r="H72" t="s">
        <v>15</v>
      </c>
      <c r="I72">
        <v>72</v>
      </c>
      <c r="J72" t="b">
        <v>1</v>
      </c>
    </row>
    <row r="73" spans="1:10" x14ac:dyDescent="0.3">
      <c r="A73">
        <v>72</v>
      </c>
      <c r="B73" t="s">
        <v>86</v>
      </c>
      <c r="C73" t="s">
        <v>14</v>
      </c>
      <c r="D73">
        <v>85</v>
      </c>
      <c r="E73">
        <v>8</v>
      </c>
      <c r="F73">
        <v>77</v>
      </c>
      <c r="G73">
        <v>2</v>
      </c>
      <c r="H73" t="s">
        <v>15</v>
      </c>
      <c r="I73">
        <v>90</v>
      </c>
      <c r="J73" t="b">
        <v>1</v>
      </c>
    </row>
    <row r="74" spans="1:10" x14ac:dyDescent="0.3">
      <c r="A74">
        <v>73</v>
      </c>
      <c r="B74" t="s">
        <v>87</v>
      </c>
      <c r="C74" t="s">
        <v>11</v>
      </c>
      <c r="D74">
        <v>82</v>
      </c>
      <c r="E74">
        <v>18</v>
      </c>
      <c r="F74">
        <v>86</v>
      </c>
      <c r="G74">
        <v>2</v>
      </c>
      <c r="H74" t="s">
        <v>15</v>
      </c>
      <c r="I74">
        <v>78</v>
      </c>
      <c r="J74" t="b">
        <v>0</v>
      </c>
    </row>
    <row r="75" spans="1:10" x14ac:dyDescent="0.3">
      <c r="A75">
        <v>74</v>
      </c>
      <c r="B75" t="s">
        <v>88</v>
      </c>
      <c r="C75" t="s">
        <v>11</v>
      </c>
      <c r="D75">
        <v>90</v>
      </c>
      <c r="E75">
        <v>18</v>
      </c>
      <c r="F75">
        <v>77</v>
      </c>
      <c r="G75">
        <v>3</v>
      </c>
      <c r="H75" t="s">
        <v>15</v>
      </c>
      <c r="I75">
        <v>88</v>
      </c>
      <c r="J75" t="b">
        <v>0</v>
      </c>
    </row>
    <row r="76" spans="1:10" x14ac:dyDescent="0.3">
      <c r="A76">
        <v>75</v>
      </c>
      <c r="B76" t="s">
        <v>89</v>
      </c>
      <c r="C76" t="s">
        <v>14</v>
      </c>
      <c r="D76">
        <v>95</v>
      </c>
      <c r="E76">
        <v>10</v>
      </c>
      <c r="F76">
        <v>77</v>
      </c>
      <c r="G76">
        <v>3</v>
      </c>
      <c r="H76" t="s">
        <v>15</v>
      </c>
      <c r="I76">
        <v>85</v>
      </c>
      <c r="J76" t="b">
        <v>0</v>
      </c>
    </row>
    <row r="77" spans="1:10" x14ac:dyDescent="0.3">
      <c r="A77">
        <v>76</v>
      </c>
      <c r="B77" t="s">
        <v>90</v>
      </c>
      <c r="C77" t="s">
        <v>11</v>
      </c>
      <c r="D77">
        <v>90</v>
      </c>
      <c r="E77">
        <v>25</v>
      </c>
      <c r="F77">
        <v>60</v>
      </c>
      <c r="G77">
        <v>1</v>
      </c>
      <c r="H77" t="s">
        <v>17</v>
      </c>
      <c r="I77">
        <v>92</v>
      </c>
      <c r="J77" t="b">
        <v>0</v>
      </c>
    </row>
    <row r="78" spans="1:10" x14ac:dyDescent="0.3">
      <c r="A78">
        <v>77</v>
      </c>
      <c r="B78" t="s">
        <v>91</v>
      </c>
      <c r="C78" t="s">
        <v>11</v>
      </c>
      <c r="D78">
        <v>90</v>
      </c>
      <c r="E78">
        <v>18</v>
      </c>
      <c r="F78">
        <v>90</v>
      </c>
      <c r="G78">
        <v>0</v>
      </c>
      <c r="H78" t="s">
        <v>17</v>
      </c>
      <c r="I78">
        <v>92</v>
      </c>
      <c r="J78" t="b">
        <v>0</v>
      </c>
    </row>
    <row r="79" spans="1:10" x14ac:dyDescent="0.3">
      <c r="A79">
        <v>78</v>
      </c>
      <c r="B79" t="s">
        <v>92</v>
      </c>
      <c r="C79" t="s">
        <v>14</v>
      </c>
      <c r="D79">
        <v>70</v>
      </c>
      <c r="E79">
        <v>12</v>
      </c>
      <c r="F79">
        <v>88</v>
      </c>
      <c r="G79">
        <v>1</v>
      </c>
      <c r="H79" t="s">
        <v>17</v>
      </c>
      <c r="I79">
        <v>78</v>
      </c>
      <c r="J79" t="b">
        <v>1</v>
      </c>
    </row>
    <row r="80" spans="1:10" x14ac:dyDescent="0.3">
      <c r="A80">
        <v>79</v>
      </c>
      <c r="B80" t="s">
        <v>93</v>
      </c>
      <c r="C80" t="s">
        <v>11</v>
      </c>
      <c r="D80">
        <v>95</v>
      </c>
      <c r="E80">
        <v>20</v>
      </c>
      <c r="F80">
        <v>70</v>
      </c>
      <c r="G80">
        <v>0</v>
      </c>
      <c r="H80" t="s">
        <v>12</v>
      </c>
      <c r="I80">
        <v>92</v>
      </c>
      <c r="J80" t="b">
        <v>0</v>
      </c>
    </row>
    <row r="81" spans="1:10" x14ac:dyDescent="0.3">
      <c r="A81">
        <v>80</v>
      </c>
      <c r="B81" t="s">
        <v>94</v>
      </c>
      <c r="C81" t="s">
        <v>11</v>
      </c>
      <c r="D81">
        <v>88</v>
      </c>
      <c r="E81">
        <v>25</v>
      </c>
      <c r="F81">
        <v>88</v>
      </c>
      <c r="G81">
        <v>1</v>
      </c>
      <c r="H81" t="s">
        <v>15</v>
      </c>
      <c r="I81">
        <v>80</v>
      </c>
      <c r="J81" t="b">
        <v>0</v>
      </c>
    </row>
    <row r="82" spans="1:10" x14ac:dyDescent="0.3">
      <c r="A82">
        <v>81</v>
      </c>
      <c r="B82" t="s">
        <v>95</v>
      </c>
      <c r="C82" t="s">
        <v>11</v>
      </c>
      <c r="D82">
        <v>82</v>
      </c>
      <c r="E82">
        <v>18</v>
      </c>
      <c r="F82">
        <v>77.598759048603924</v>
      </c>
      <c r="G82">
        <v>1</v>
      </c>
      <c r="H82" t="s">
        <v>12</v>
      </c>
      <c r="I82">
        <v>80</v>
      </c>
      <c r="J82" t="b">
        <v>0</v>
      </c>
    </row>
    <row r="83" spans="1:10" x14ac:dyDescent="0.3">
      <c r="A83">
        <v>82</v>
      </c>
      <c r="B83" t="s">
        <v>96</v>
      </c>
      <c r="C83" t="s">
        <v>14</v>
      </c>
      <c r="D83">
        <v>78</v>
      </c>
      <c r="E83">
        <v>15</v>
      </c>
      <c r="F83">
        <v>82</v>
      </c>
      <c r="G83">
        <v>1</v>
      </c>
      <c r="H83" t="s">
        <v>12</v>
      </c>
      <c r="I83">
        <v>87</v>
      </c>
      <c r="J83" t="b">
        <v>1</v>
      </c>
    </row>
    <row r="84" spans="1:10" x14ac:dyDescent="0.3">
      <c r="A84">
        <v>83</v>
      </c>
      <c r="B84" t="s">
        <v>97</v>
      </c>
      <c r="C84" t="s">
        <v>11</v>
      </c>
      <c r="D84">
        <v>91</v>
      </c>
      <c r="E84">
        <v>18</v>
      </c>
      <c r="F84">
        <v>85</v>
      </c>
      <c r="G84">
        <v>3</v>
      </c>
      <c r="H84" t="s">
        <v>12</v>
      </c>
      <c r="I84">
        <v>72</v>
      </c>
      <c r="J84" t="b">
        <v>1</v>
      </c>
    </row>
    <row r="85" spans="1:10" x14ac:dyDescent="0.3">
      <c r="A85">
        <v>84</v>
      </c>
      <c r="B85" t="s">
        <v>98</v>
      </c>
      <c r="C85" t="s">
        <v>14</v>
      </c>
      <c r="D85">
        <v>85</v>
      </c>
      <c r="E85">
        <v>17</v>
      </c>
      <c r="F85">
        <v>82</v>
      </c>
      <c r="G85">
        <v>3</v>
      </c>
      <c r="H85" t="s">
        <v>15</v>
      </c>
      <c r="I85">
        <v>85</v>
      </c>
      <c r="J85" t="b">
        <v>1</v>
      </c>
    </row>
    <row r="86" spans="1:10" x14ac:dyDescent="0.3">
      <c r="A86">
        <v>85</v>
      </c>
      <c r="B86" t="s">
        <v>99</v>
      </c>
      <c r="C86" t="s">
        <v>11</v>
      </c>
      <c r="D86">
        <v>88</v>
      </c>
      <c r="E86">
        <v>20</v>
      </c>
      <c r="F86">
        <v>65</v>
      </c>
      <c r="G86">
        <v>1</v>
      </c>
      <c r="H86" t="s">
        <v>12</v>
      </c>
      <c r="I86">
        <v>72</v>
      </c>
      <c r="J86" t="b">
        <v>0</v>
      </c>
    </row>
    <row r="87" spans="1:10" x14ac:dyDescent="0.3">
      <c r="A87">
        <v>86</v>
      </c>
      <c r="B87" t="s">
        <v>100</v>
      </c>
      <c r="C87" t="s">
        <v>14</v>
      </c>
      <c r="D87">
        <v>88</v>
      </c>
      <c r="E87">
        <v>15</v>
      </c>
      <c r="F87">
        <v>90</v>
      </c>
      <c r="G87">
        <v>2</v>
      </c>
      <c r="H87" t="s">
        <v>17</v>
      </c>
      <c r="I87">
        <v>80.030208333333334</v>
      </c>
      <c r="J87" t="b">
        <v>1</v>
      </c>
    </row>
    <row r="88" spans="1:10" x14ac:dyDescent="0.3">
      <c r="A88">
        <v>87</v>
      </c>
      <c r="B88" t="s">
        <v>101</v>
      </c>
      <c r="C88" t="s">
        <v>14</v>
      </c>
      <c r="D88">
        <v>91</v>
      </c>
      <c r="E88">
        <v>25</v>
      </c>
      <c r="F88">
        <v>60</v>
      </c>
      <c r="G88">
        <v>2</v>
      </c>
      <c r="H88" t="s">
        <v>17</v>
      </c>
      <c r="I88">
        <v>92</v>
      </c>
      <c r="J88" t="b">
        <v>1</v>
      </c>
    </row>
    <row r="89" spans="1:10" x14ac:dyDescent="0.3">
      <c r="A89">
        <v>88</v>
      </c>
      <c r="B89" t="s">
        <v>102</v>
      </c>
      <c r="C89" t="s">
        <v>11</v>
      </c>
      <c r="D89">
        <v>78</v>
      </c>
      <c r="E89">
        <v>18</v>
      </c>
      <c r="F89">
        <v>86</v>
      </c>
      <c r="G89">
        <v>3</v>
      </c>
      <c r="H89" t="s">
        <v>15</v>
      </c>
      <c r="I89">
        <v>78</v>
      </c>
      <c r="J89" t="b">
        <v>0</v>
      </c>
    </row>
    <row r="90" spans="1:10" x14ac:dyDescent="0.3">
      <c r="A90">
        <v>89</v>
      </c>
      <c r="B90" t="s">
        <v>103</v>
      </c>
      <c r="C90" t="s">
        <v>14</v>
      </c>
      <c r="D90">
        <v>82</v>
      </c>
      <c r="E90">
        <v>12</v>
      </c>
      <c r="F90">
        <v>77</v>
      </c>
      <c r="G90">
        <v>1</v>
      </c>
      <c r="H90" t="s">
        <v>12</v>
      </c>
      <c r="I90">
        <v>88</v>
      </c>
      <c r="J90" t="b">
        <v>0</v>
      </c>
    </row>
    <row r="91" spans="1:10" x14ac:dyDescent="0.3">
      <c r="A91">
        <v>90</v>
      </c>
      <c r="B91" t="s">
        <v>104</v>
      </c>
      <c r="C91" t="s">
        <v>977</v>
      </c>
      <c r="D91">
        <v>90</v>
      </c>
      <c r="E91">
        <v>25</v>
      </c>
      <c r="F91">
        <v>86</v>
      </c>
      <c r="G91">
        <v>3</v>
      </c>
      <c r="H91" t="s">
        <v>12</v>
      </c>
      <c r="I91">
        <v>85</v>
      </c>
      <c r="J91" t="b">
        <v>1</v>
      </c>
    </row>
    <row r="92" spans="1:10" x14ac:dyDescent="0.3">
      <c r="A92">
        <v>91</v>
      </c>
      <c r="B92" t="s">
        <v>105</v>
      </c>
      <c r="C92" t="s">
        <v>14</v>
      </c>
      <c r="D92">
        <v>88</v>
      </c>
      <c r="E92">
        <v>10</v>
      </c>
      <c r="F92">
        <v>86</v>
      </c>
      <c r="G92">
        <v>0</v>
      </c>
      <c r="H92" t="s">
        <v>17</v>
      </c>
      <c r="I92">
        <v>78</v>
      </c>
      <c r="J92" t="b">
        <v>0</v>
      </c>
    </row>
    <row r="93" spans="1:10" x14ac:dyDescent="0.3">
      <c r="A93">
        <v>92</v>
      </c>
      <c r="B93" t="s">
        <v>106</v>
      </c>
      <c r="C93" t="s">
        <v>977</v>
      </c>
      <c r="D93">
        <v>95</v>
      </c>
      <c r="E93">
        <v>20</v>
      </c>
      <c r="F93">
        <v>65</v>
      </c>
      <c r="G93">
        <v>1</v>
      </c>
      <c r="H93" t="s">
        <v>15</v>
      </c>
      <c r="I93">
        <v>78</v>
      </c>
      <c r="J93" t="b">
        <v>1</v>
      </c>
    </row>
    <row r="94" spans="1:10" x14ac:dyDescent="0.3">
      <c r="A94">
        <v>93</v>
      </c>
      <c r="B94" t="s">
        <v>107</v>
      </c>
      <c r="C94" t="s">
        <v>11</v>
      </c>
      <c r="D94">
        <v>95</v>
      </c>
      <c r="E94">
        <v>18</v>
      </c>
      <c r="F94">
        <v>88</v>
      </c>
      <c r="G94">
        <v>2</v>
      </c>
      <c r="H94" t="s">
        <v>15</v>
      </c>
      <c r="I94">
        <v>72</v>
      </c>
      <c r="J94" t="b">
        <v>0</v>
      </c>
    </row>
    <row r="95" spans="1:10" x14ac:dyDescent="0.3">
      <c r="A95">
        <v>94</v>
      </c>
      <c r="B95" t="s">
        <v>108</v>
      </c>
      <c r="C95" t="s">
        <v>11</v>
      </c>
      <c r="D95">
        <v>92</v>
      </c>
      <c r="E95">
        <v>12</v>
      </c>
      <c r="F95">
        <v>88</v>
      </c>
      <c r="G95">
        <v>3</v>
      </c>
      <c r="H95" t="s">
        <v>15</v>
      </c>
      <c r="I95">
        <v>78</v>
      </c>
      <c r="J95" t="b">
        <v>0</v>
      </c>
    </row>
    <row r="96" spans="1:10" x14ac:dyDescent="0.3">
      <c r="A96">
        <v>95</v>
      </c>
      <c r="B96" t="s">
        <v>109</v>
      </c>
      <c r="C96" t="s">
        <v>11</v>
      </c>
      <c r="D96">
        <v>88</v>
      </c>
      <c r="E96">
        <v>17</v>
      </c>
      <c r="F96">
        <v>77</v>
      </c>
      <c r="G96">
        <v>2</v>
      </c>
      <c r="H96" t="s">
        <v>12</v>
      </c>
      <c r="I96">
        <v>88</v>
      </c>
      <c r="J96" t="b">
        <v>1</v>
      </c>
    </row>
    <row r="97" spans="1:10" x14ac:dyDescent="0.3">
      <c r="A97">
        <v>96</v>
      </c>
      <c r="B97" t="s">
        <v>110</v>
      </c>
      <c r="C97" t="s">
        <v>11</v>
      </c>
      <c r="D97">
        <v>82</v>
      </c>
      <c r="E97">
        <v>17.630526315789474</v>
      </c>
      <c r="F97">
        <v>85</v>
      </c>
      <c r="G97">
        <v>1</v>
      </c>
      <c r="H97" t="s">
        <v>12</v>
      </c>
      <c r="I97">
        <v>78</v>
      </c>
      <c r="J97" t="b">
        <v>1</v>
      </c>
    </row>
    <row r="98" spans="1:10" x14ac:dyDescent="0.3">
      <c r="A98">
        <v>97</v>
      </c>
      <c r="B98" t="s">
        <v>111</v>
      </c>
      <c r="C98" t="s">
        <v>14</v>
      </c>
      <c r="D98">
        <v>82</v>
      </c>
      <c r="E98">
        <v>18</v>
      </c>
      <c r="F98">
        <v>60</v>
      </c>
      <c r="G98">
        <v>1</v>
      </c>
      <c r="H98" t="s">
        <v>15</v>
      </c>
      <c r="I98">
        <v>92</v>
      </c>
      <c r="J98" t="b">
        <v>0</v>
      </c>
    </row>
    <row r="99" spans="1:10" x14ac:dyDescent="0.3">
      <c r="A99">
        <v>98</v>
      </c>
      <c r="B99" t="s">
        <v>112</v>
      </c>
      <c r="C99" t="s">
        <v>11</v>
      </c>
      <c r="D99">
        <v>90</v>
      </c>
      <c r="E99">
        <v>18</v>
      </c>
      <c r="F99">
        <v>60</v>
      </c>
      <c r="G99">
        <v>1</v>
      </c>
      <c r="H99" t="s">
        <v>17</v>
      </c>
      <c r="I99">
        <v>85</v>
      </c>
      <c r="J99" t="b">
        <v>0</v>
      </c>
    </row>
    <row r="100" spans="1:10" x14ac:dyDescent="0.3">
      <c r="A100">
        <v>99</v>
      </c>
      <c r="B100" t="s">
        <v>113</v>
      </c>
      <c r="C100" t="s">
        <v>11</v>
      </c>
      <c r="D100">
        <v>85</v>
      </c>
      <c r="E100">
        <v>12</v>
      </c>
      <c r="F100">
        <v>77</v>
      </c>
      <c r="G100">
        <v>1</v>
      </c>
      <c r="H100" t="s">
        <v>15</v>
      </c>
      <c r="I100">
        <v>72</v>
      </c>
      <c r="J100" t="b">
        <v>0</v>
      </c>
    </row>
    <row r="101" spans="1:10" x14ac:dyDescent="0.3">
      <c r="A101">
        <v>100</v>
      </c>
      <c r="B101" t="s">
        <v>114</v>
      </c>
      <c r="C101" t="s">
        <v>11</v>
      </c>
      <c r="D101">
        <v>92</v>
      </c>
      <c r="E101">
        <v>22</v>
      </c>
      <c r="F101">
        <v>60</v>
      </c>
      <c r="G101">
        <v>3</v>
      </c>
      <c r="H101" t="s">
        <v>15</v>
      </c>
      <c r="I101">
        <v>80</v>
      </c>
      <c r="J101" t="b">
        <v>0</v>
      </c>
    </row>
    <row r="102" spans="1:10" x14ac:dyDescent="0.3">
      <c r="A102">
        <v>101</v>
      </c>
      <c r="B102" t="s">
        <v>115</v>
      </c>
      <c r="C102" t="s">
        <v>11</v>
      </c>
      <c r="D102">
        <v>85</v>
      </c>
      <c r="E102">
        <v>15</v>
      </c>
      <c r="F102">
        <v>65</v>
      </c>
      <c r="G102">
        <v>2</v>
      </c>
      <c r="H102" t="s">
        <v>17</v>
      </c>
      <c r="I102">
        <v>90</v>
      </c>
      <c r="J102" t="b">
        <v>1</v>
      </c>
    </row>
    <row r="103" spans="1:10" x14ac:dyDescent="0.3">
      <c r="A103">
        <v>102</v>
      </c>
      <c r="B103" t="s">
        <v>116</v>
      </c>
      <c r="C103" t="s">
        <v>977</v>
      </c>
      <c r="D103">
        <v>85</v>
      </c>
      <c r="E103">
        <v>17.630526315789474</v>
      </c>
      <c r="F103">
        <v>60</v>
      </c>
      <c r="G103">
        <v>0</v>
      </c>
      <c r="H103" t="s">
        <v>12</v>
      </c>
      <c r="I103">
        <v>78</v>
      </c>
      <c r="J103" t="b">
        <v>0</v>
      </c>
    </row>
    <row r="104" spans="1:10" x14ac:dyDescent="0.3">
      <c r="A104">
        <v>103</v>
      </c>
      <c r="B104" t="s">
        <v>117</v>
      </c>
      <c r="C104" t="s">
        <v>977</v>
      </c>
      <c r="D104">
        <v>95</v>
      </c>
      <c r="E104">
        <v>12</v>
      </c>
      <c r="F104">
        <v>60</v>
      </c>
      <c r="G104">
        <v>1</v>
      </c>
      <c r="H104" t="s">
        <v>17</v>
      </c>
      <c r="I104">
        <v>78</v>
      </c>
      <c r="J104" t="b">
        <v>1</v>
      </c>
    </row>
    <row r="105" spans="1:10" x14ac:dyDescent="0.3">
      <c r="A105">
        <v>104</v>
      </c>
      <c r="B105" t="s">
        <v>118</v>
      </c>
      <c r="C105" t="s">
        <v>14</v>
      </c>
      <c r="D105">
        <v>92</v>
      </c>
      <c r="E105">
        <v>20</v>
      </c>
      <c r="F105">
        <v>60</v>
      </c>
      <c r="G105">
        <v>1</v>
      </c>
      <c r="H105" t="s">
        <v>17</v>
      </c>
      <c r="I105">
        <v>87</v>
      </c>
      <c r="J105" t="b">
        <v>0</v>
      </c>
    </row>
    <row r="106" spans="1:10" x14ac:dyDescent="0.3">
      <c r="A106">
        <v>105</v>
      </c>
      <c r="B106" t="s">
        <v>119</v>
      </c>
      <c r="C106" t="s">
        <v>11</v>
      </c>
      <c r="D106">
        <v>95</v>
      </c>
      <c r="E106">
        <v>15</v>
      </c>
      <c r="F106">
        <v>82</v>
      </c>
      <c r="G106">
        <v>1</v>
      </c>
      <c r="H106" t="s">
        <v>15</v>
      </c>
      <c r="I106">
        <v>62</v>
      </c>
      <c r="J106" t="b">
        <v>0</v>
      </c>
    </row>
    <row r="107" spans="1:10" x14ac:dyDescent="0.3">
      <c r="A107">
        <v>106</v>
      </c>
      <c r="B107" t="s">
        <v>120</v>
      </c>
      <c r="C107" t="s">
        <v>11</v>
      </c>
      <c r="D107">
        <v>78</v>
      </c>
      <c r="E107">
        <v>20</v>
      </c>
      <c r="F107">
        <v>86</v>
      </c>
      <c r="G107">
        <v>1</v>
      </c>
      <c r="H107" t="s">
        <v>17</v>
      </c>
      <c r="I107">
        <v>92</v>
      </c>
      <c r="J107" t="b">
        <v>1</v>
      </c>
    </row>
    <row r="108" spans="1:10" x14ac:dyDescent="0.3">
      <c r="A108">
        <v>107</v>
      </c>
      <c r="B108" t="s">
        <v>121</v>
      </c>
      <c r="C108" t="s">
        <v>977</v>
      </c>
      <c r="D108">
        <v>88</v>
      </c>
      <c r="E108">
        <v>17</v>
      </c>
      <c r="F108">
        <v>82</v>
      </c>
      <c r="G108">
        <v>1</v>
      </c>
      <c r="H108" t="s">
        <v>15</v>
      </c>
      <c r="I108">
        <v>85</v>
      </c>
      <c r="J108" t="b">
        <v>1</v>
      </c>
    </row>
    <row r="109" spans="1:10" x14ac:dyDescent="0.3">
      <c r="A109">
        <v>108</v>
      </c>
      <c r="B109" t="s">
        <v>122</v>
      </c>
      <c r="C109" t="s">
        <v>14</v>
      </c>
      <c r="D109">
        <v>91</v>
      </c>
      <c r="E109">
        <v>18</v>
      </c>
      <c r="F109">
        <v>60</v>
      </c>
      <c r="G109">
        <v>2</v>
      </c>
      <c r="H109" t="s">
        <v>15</v>
      </c>
      <c r="I109">
        <v>85</v>
      </c>
      <c r="J109" t="b">
        <v>0</v>
      </c>
    </row>
    <row r="110" spans="1:10" x14ac:dyDescent="0.3">
      <c r="A110">
        <v>109</v>
      </c>
      <c r="B110" t="s">
        <v>123</v>
      </c>
      <c r="C110" t="s">
        <v>11</v>
      </c>
      <c r="D110">
        <v>70</v>
      </c>
      <c r="E110">
        <v>22</v>
      </c>
      <c r="F110">
        <v>88</v>
      </c>
      <c r="G110">
        <v>3</v>
      </c>
      <c r="H110" t="s">
        <v>15</v>
      </c>
      <c r="I110">
        <v>85</v>
      </c>
      <c r="J110" t="b">
        <v>0</v>
      </c>
    </row>
    <row r="111" spans="1:10" x14ac:dyDescent="0.3">
      <c r="A111">
        <v>110</v>
      </c>
      <c r="B111" t="s">
        <v>124</v>
      </c>
      <c r="C111" t="s">
        <v>11</v>
      </c>
      <c r="D111">
        <v>91</v>
      </c>
      <c r="E111">
        <v>15</v>
      </c>
      <c r="F111">
        <v>86</v>
      </c>
      <c r="G111">
        <v>1</v>
      </c>
      <c r="H111" t="s">
        <v>15</v>
      </c>
      <c r="I111">
        <v>92</v>
      </c>
      <c r="J111" t="b">
        <v>1</v>
      </c>
    </row>
    <row r="112" spans="1:10" x14ac:dyDescent="0.3">
      <c r="A112">
        <v>111</v>
      </c>
      <c r="B112" t="s">
        <v>125</v>
      </c>
      <c r="C112" t="s">
        <v>14</v>
      </c>
      <c r="D112">
        <v>78</v>
      </c>
      <c r="E112">
        <v>20</v>
      </c>
      <c r="F112">
        <v>78</v>
      </c>
      <c r="G112">
        <v>2</v>
      </c>
      <c r="H112" t="s">
        <v>15</v>
      </c>
      <c r="I112">
        <v>80</v>
      </c>
      <c r="J112" t="b">
        <v>1</v>
      </c>
    </row>
    <row r="113" spans="1:10" x14ac:dyDescent="0.3">
      <c r="A113">
        <v>112</v>
      </c>
      <c r="B113" t="s">
        <v>126</v>
      </c>
      <c r="C113" t="s">
        <v>14</v>
      </c>
      <c r="D113">
        <v>95</v>
      </c>
      <c r="E113">
        <v>8</v>
      </c>
      <c r="F113">
        <v>65</v>
      </c>
      <c r="G113">
        <v>3</v>
      </c>
      <c r="H113" t="s">
        <v>12</v>
      </c>
      <c r="I113">
        <v>72</v>
      </c>
      <c r="J113" t="b">
        <v>0</v>
      </c>
    </row>
    <row r="114" spans="1:10" x14ac:dyDescent="0.3">
      <c r="A114">
        <v>113</v>
      </c>
      <c r="B114" t="s">
        <v>127</v>
      </c>
      <c r="C114" t="s">
        <v>14</v>
      </c>
      <c r="D114">
        <v>85</v>
      </c>
      <c r="E114">
        <v>18</v>
      </c>
      <c r="F114">
        <v>88</v>
      </c>
      <c r="G114">
        <v>2</v>
      </c>
      <c r="H114" t="s">
        <v>15</v>
      </c>
      <c r="I114">
        <v>87</v>
      </c>
      <c r="J114" t="b">
        <v>0</v>
      </c>
    </row>
    <row r="115" spans="1:10" x14ac:dyDescent="0.3">
      <c r="A115">
        <v>114</v>
      </c>
      <c r="B115" t="s">
        <v>128</v>
      </c>
      <c r="C115" t="s">
        <v>11</v>
      </c>
      <c r="D115">
        <v>70</v>
      </c>
      <c r="E115">
        <v>15</v>
      </c>
      <c r="F115">
        <v>82</v>
      </c>
      <c r="G115">
        <v>1</v>
      </c>
      <c r="H115" t="s">
        <v>12</v>
      </c>
      <c r="I115">
        <v>78</v>
      </c>
      <c r="J115" t="b">
        <v>0</v>
      </c>
    </row>
    <row r="116" spans="1:10" x14ac:dyDescent="0.3">
      <c r="A116">
        <v>115</v>
      </c>
      <c r="B116" t="s">
        <v>129</v>
      </c>
      <c r="C116" t="s">
        <v>14</v>
      </c>
      <c r="D116">
        <v>90</v>
      </c>
      <c r="E116">
        <v>25</v>
      </c>
      <c r="F116">
        <v>77</v>
      </c>
      <c r="G116">
        <v>1</v>
      </c>
      <c r="H116" t="s">
        <v>17</v>
      </c>
      <c r="I116">
        <v>72</v>
      </c>
      <c r="J116" t="b">
        <v>1</v>
      </c>
    </row>
    <row r="117" spans="1:10" x14ac:dyDescent="0.3">
      <c r="A117">
        <v>116</v>
      </c>
      <c r="B117" t="s">
        <v>130</v>
      </c>
      <c r="C117" t="s">
        <v>14</v>
      </c>
      <c r="D117">
        <v>88</v>
      </c>
      <c r="E117">
        <v>8</v>
      </c>
      <c r="F117">
        <v>85</v>
      </c>
      <c r="G117">
        <v>0</v>
      </c>
      <c r="H117" t="s">
        <v>12</v>
      </c>
      <c r="I117">
        <v>80</v>
      </c>
      <c r="J117" t="b">
        <v>1</v>
      </c>
    </row>
    <row r="118" spans="1:10" x14ac:dyDescent="0.3">
      <c r="A118">
        <v>117</v>
      </c>
      <c r="B118" t="s">
        <v>977</v>
      </c>
      <c r="C118" t="s">
        <v>11</v>
      </c>
      <c r="D118">
        <v>82</v>
      </c>
      <c r="E118">
        <v>10</v>
      </c>
      <c r="F118">
        <v>60</v>
      </c>
      <c r="G118">
        <v>1</v>
      </c>
      <c r="H118" t="s">
        <v>15</v>
      </c>
      <c r="I118">
        <v>72</v>
      </c>
      <c r="J118" t="b">
        <v>1</v>
      </c>
    </row>
    <row r="119" spans="1:10" x14ac:dyDescent="0.3">
      <c r="A119">
        <v>118</v>
      </c>
      <c r="B119" t="s">
        <v>131</v>
      </c>
      <c r="C119" t="s">
        <v>977</v>
      </c>
      <c r="D119">
        <v>85</v>
      </c>
      <c r="E119">
        <v>22</v>
      </c>
      <c r="F119">
        <v>60</v>
      </c>
      <c r="G119">
        <v>2</v>
      </c>
      <c r="H119" t="s">
        <v>12</v>
      </c>
      <c r="I119">
        <v>80.030208333333334</v>
      </c>
      <c r="J119" t="b">
        <v>1</v>
      </c>
    </row>
    <row r="120" spans="1:10" x14ac:dyDescent="0.3">
      <c r="A120">
        <v>119</v>
      </c>
      <c r="B120" t="s">
        <v>132</v>
      </c>
      <c r="C120" t="s">
        <v>11</v>
      </c>
      <c r="D120">
        <v>95</v>
      </c>
      <c r="E120">
        <v>12</v>
      </c>
      <c r="F120">
        <v>88</v>
      </c>
      <c r="G120">
        <v>1</v>
      </c>
      <c r="H120" t="s">
        <v>15</v>
      </c>
      <c r="I120">
        <v>85</v>
      </c>
      <c r="J120" t="b">
        <v>0</v>
      </c>
    </row>
    <row r="121" spans="1:10" x14ac:dyDescent="0.3">
      <c r="A121">
        <v>120</v>
      </c>
      <c r="B121" t="s">
        <v>133</v>
      </c>
      <c r="C121" t="s">
        <v>11</v>
      </c>
      <c r="D121">
        <v>91</v>
      </c>
      <c r="E121">
        <v>15</v>
      </c>
      <c r="F121">
        <v>78</v>
      </c>
      <c r="G121">
        <v>1</v>
      </c>
      <c r="H121" t="s">
        <v>12</v>
      </c>
      <c r="I121">
        <v>68</v>
      </c>
      <c r="J121" t="b">
        <v>1</v>
      </c>
    </row>
    <row r="122" spans="1:10" x14ac:dyDescent="0.3">
      <c r="A122">
        <v>121</v>
      </c>
      <c r="B122" t="s">
        <v>134</v>
      </c>
      <c r="C122" t="s">
        <v>11</v>
      </c>
      <c r="D122">
        <v>92</v>
      </c>
      <c r="E122">
        <v>30</v>
      </c>
      <c r="F122">
        <v>65</v>
      </c>
      <c r="G122">
        <v>3</v>
      </c>
      <c r="H122" t="s">
        <v>12</v>
      </c>
      <c r="I122">
        <v>80.030208333333334</v>
      </c>
      <c r="J122" t="b">
        <v>1</v>
      </c>
    </row>
    <row r="123" spans="1:10" x14ac:dyDescent="0.3">
      <c r="A123">
        <v>122</v>
      </c>
      <c r="B123" t="s">
        <v>135</v>
      </c>
      <c r="C123" t="s">
        <v>14</v>
      </c>
      <c r="D123">
        <v>78</v>
      </c>
      <c r="E123">
        <v>17.630526315789474</v>
      </c>
      <c r="F123">
        <v>78</v>
      </c>
      <c r="G123">
        <v>0</v>
      </c>
      <c r="H123" t="s">
        <v>12</v>
      </c>
      <c r="I123">
        <v>90</v>
      </c>
      <c r="J123" t="b">
        <v>0</v>
      </c>
    </row>
    <row r="124" spans="1:10" x14ac:dyDescent="0.3">
      <c r="A124">
        <v>123</v>
      </c>
      <c r="B124" t="s">
        <v>136</v>
      </c>
      <c r="C124" t="s">
        <v>11</v>
      </c>
      <c r="D124">
        <v>88</v>
      </c>
      <c r="E124">
        <v>15</v>
      </c>
      <c r="F124">
        <v>65</v>
      </c>
      <c r="G124">
        <v>0</v>
      </c>
      <c r="H124" t="s">
        <v>17</v>
      </c>
      <c r="I124">
        <v>87</v>
      </c>
      <c r="J124" t="b">
        <v>0</v>
      </c>
    </row>
    <row r="125" spans="1:10" x14ac:dyDescent="0.3">
      <c r="A125">
        <v>124</v>
      </c>
      <c r="B125" t="s">
        <v>137</v>
      </c>
      <c r="C125" t="s">
        <v>11</v>
      </c>
      <c r="D125">
        <v>85</v>
      </c>
      <c r="E125">
        <v>12</v>
      </c>
      <c r="F125">
        <v>90</v>
      </c>
      <c r="G125">
        <v>3</v>
      </c>
      <c r="H125" t="s">
        <v>12</v>
      </c>
      <c r="I125">
        <v>72</v>
      </c>
      <c r="J125" t="b">
        <v>1</v>
      </c>
    </row>
    <row r="126" spans="1:10" x14ac:dyDescent="0.3">
      <c r="A126">
        <v>125</v>
      </c>
      <c r="B126" t="s">
        <v>138</v>
      </c>
      <c r="C126" t="s">
        <v>14</v>
      </c>
      <c r="D126">
        <v>70</v>
      </c>
      <c r="E126">
        <v>8</v>
      </c>
      <c r="F126">
        <v>85</v>
      </c>
      <c r="G126">
        <v>1</v>
      </c>
      <c r="H126" t="s">
        <v>17</v>
      </c>
      <c r="I126">
        <v>80.030208333333334</v>
      </c>
      <c r="J126" t="b">
        <v>0</v>
      </c>
    </row>
    <row r="127" spans="1:10" x14ac:dyDescent="0.3">
      <c r="A127">
        <v>126</v>
      </c>
      <c r="B127" t="s">
        <v>139</v>
      </c>
      <c r="C127" t="s">
        <v>11</v>
      </c>
      <c r="D127">
        <v>78</v>
      </c>
      <c r="E127">
        <v>18</v>
      </c>
      <c r="F127">
        <v>86</v>
      </c>
      <c r="G127">
        <v>1</v>
      </c>
      <c r="H127" t="s">
        <v>17</v>
      </c>
      <c r="I127">
        <v>90</v>
      </c>
      <c r="J127" t="b">
        <v>0</v>
      </c>
    </row>
    <row r="128" spans="1:10" x14ac:dyDescent="0.3">
      <c r="A128">
        <v>127</v>
      </c>
      <c r="B128" t="s">
        <v>140</v>
      </c>
      <c r="C128" t="s">
        <v>14</v>
      </c>
      <c r="D128">
        <v>90</v>
      </c>
      <c r="E128">
        <v>20</v>
      </c>
      <c r="F128">
        <v>70</v>
      </c>
      <c r="G128">
        <v>3</v>
      </c>
      <c r="H128" t="s">
        <v>15</v>
      </c>
      <c r="I128">
        <v>78</v>
      </c>
      <c r="J128" t="b">
        <v>0</v>
      </c>
    </row>
    <row r="129" spans="1:10" x14ac:dyDescent="0.3">
      <c r="A129">
        <v>128</v>
      </c>
      <c r="B129" t="s">
        <v>141</v>
      </c>
      <c r="C129" t="s">
        <v>977</v>
      </c>
      <c r="D129">
        <v>70</v>
      </c>
      <c r="E129">
        <v>20</v>
      </c>
      <c r="F129">
        <v>88</v>
      </c>
      <c r="G129">
        <v>0</v>
      </c>
      <c r="H129" t="s">
        <v>15</v>
      </c>
      <c r="I129">
        <v>85</v>
      </c>
      <c r="J129" t="b">
        <v>0</v>
      </c>
    </row>
    <row r="130" spans="1:10" x14ac:dyDescent="0.3">
      <c r="A130">
        <v>129</v>
      </c>
      <c r="B130" t="s">
        <v>142</v>
      </c>
      <c r="C130" t="s">
        <v>11</v>
      </c>
      <c r="D130">
        <v>90</v>
      </c>
      <c r="E130">
        <v>20</v>
      </c>
      <c r="F130">
        <v>60</v>
      </c>
      <c r="G130">
        <v>2</v>
      </c>
      <c r="H130" t="s">
        <v>17</v>
      </c>
      <c r="I130">
        <v>90</v>
      </c>
      <c r="J130" t="b">
        <v>1</v>
      </c>
    </row>
    <row r="131" spans="1:10" x14ac:dyDescent="0.3">
      <c r="A131">
        <v>130</v>
      </c>
      <c r="B131" t="s">
        <v>143</v>
      </c>
      <c r="C131" t="s">
        <v>11</v>
      </c>
      <c r="D131">
        <v>70</v>
      </c>
      <c r="E131">
        <v>17.630526315789474</v>
      </c>
      <c r="F131">
        <v>60</v>
      </c>
      <c r="G131">
        <v>1</v>
      </c>
      <c r="H131" t="s">
        <v>15</v>
      </c>
      <c r="I131">
        <v>88</v>
      </c>
      <c r="J131" t="b">
        <v>1</v>
      </c>
    </row>
    <row r="132" spans="1:10" x14ac:dyDescent="0.3">
      <c r="A132">
        <v>131</v>
      </c>
      <c r="B132" t="s">
        <v>144</v>
      </c>
      <c r="C132" t="s">
        <v>14</v>
      </c>
      <c r="D132">
        <v>92</v>
      </c>
      <c r="E132">
        <v>20</v>
      </c>
      <c r="F132">
        <v>88</v>
      </c>
      <c r="G132">
        <v>2</v>
      </c>
      <c r="H132" t="s">
        <v>15</v>
      </c>
      <c r="I132">
        <v>87</v>
      </c>
      <c r="J132" t="b">
        <v>1</v>
      </c>
    </row>
    <row r="133" spans="1:10" x14ac:dyDescent="0.3">
      <c r="A133">
        <v>132</v>
      </c>
      <c r="B133" t="s">
        <v>145</v>
      </c>
      <c r="C133" t="s">
        <v>11</v>
      </c>
      <c r="D133">
        <v>91</v>
      </c>
      <c r="E133">
        <v>17.630526315789474</v>
      </c>
      <c r="F133">
        <v>78</v>
      </c>
      <c r="G133">
        <v>0</v>
      </c>
      <c r="H133" t="s">
        <v>15</v>
      </c>
      <c r="I133">
        <v>85</v>
      </c>
      <c r="J133" t="b">
        <v>1</v>
      </c>
    </row>
    <row r="134" spans="1:10" x14ac:dyDescent="0.3">
      <c r="A134">
        <v>133</v>
      </c>
      <c r="B134" t="s">
        <v>146</v>
      </c>
      <c r="C134" t="s">
        <v>11</v>
      </c>
      <c r="D134">
        <v>91</v>
      </c>
      <c r="E134">
        <v>8</v>
      </c>
      <c r="F134">
        <v>85</v>
      </c>
      <c r="G134">
        <v>0</v>
      </c>
      <c r="H134" t="s">
        <v>17</v>
      </c>
      <c r="I134">
        <v>80</v>
      </c>
      <c r="J134" t="b">
        <v>1</v>
      </c>
    </row>
    <row r="135" spans="1:10" x14ac:dyDescent="0.3">
      <c r="A135">
        <v>134</v>
      </c>
      <c r="B135" t="s">
        <v>147</v>
      </c>
      <c r="C135" t="s">
        <v>14</v>
      </c>
      <c r="D135">
        <v>85</v>
      </c>
      <c r="E135">
        <v>30</v>
      </c>
      <c r="F135">
        <v>77.598759048603924</v>
      </c>
      <c r="G135">
        <v>1</v>
      </c>
      <c r="H135" t="s">
        <v>15</v>
      </c>
      <c r="I135">
        <v>90</v>
      </c>
      <c r="J135" t="b">
        <v>1</v>
      </c>
    </row>
    <row r="136" spans="1:10" x14ac:dyDescent="0.3">
      <c r="A136">
        <v>135</v>
      </c>
      <c r="B136" t="s">
        <v>148</v>
      </c>
      <c r="C136" t="s">
        <v>11</v>
      </c>
      <c r="D136">
        <v>78</v>
      </c>
      <c r="E136">
        <v>22</v>
      </c>
      <c r="F136">
        <v>78</v>
      </c>
      <c r="G136">
        <v>2</v>
      </c>
      <c r="H136" t="s">
        <v>15</v>
      </c>
      <c r="I136">
        <v>78</v>
      </c>
      <c r="J136" t="b">
        <v>0</v>
      </c>
    </row>
    <row r="137" spans="1:10" x14ac:dyDescent="0.3">
      <c r="A137">
        <v>136</v>
      </c>
      <c r="B137" t="s">
        <v>149</v>
      </c>
      <c r="C137" t="s">
        <v>14</v>
      </c>
      <c r="D137">
        <v>92</v>
      </c>
      <c r="E137">
        <v>12</v>
      </c>
      <c r="F137">
        <v>85</v>
      </c>
      <c r="G137">
        <v>1</v>
      </c>
      <c r="H137" t="s">
        <v>15</v>
      </c>
      <c r="I137">
        <v>87</v>
      </c>
      <c r="J137" t="b">
        <v>0</v>
      </c>
    </row>
    <row r="138" spans="1:10" x14ac:dyDescent="0.3">
      <c r="A138">
        <v>137</v>
      </c>
      <c r="B138" t="s">
        <v>150</v>
      </c>
      <c r="C138" t="s">
        <v>14</v>
      </c>
      <c r="D138">
        <v>85</v>
      </c>
      <c r="E138">
        <v>25</v>
      </c>
      <c r="F138">
        <v>60</v>
      </c>
      <c r="G138">
        <v>3</v>
      </c>
      <c r="H138" t="s">
        <v>12</v>
      </c>
      <c r="I138">
        <v>80</v>
      </c>
      <c r="J138" t="b">
        <v>1</v>
      </c>
    </row>
    <row r="139" spans="1:10" x14ac:dyDescent="0.3">
      <c r="A139">
        <v>138</v>
      </c>
      <c r="B139" t="s">
        <v>151</v>
      </c>
      <c r="C139" t="s">
        <v>14</v>
      </c>
      <c r="D139">
        <v>95</v>
      </c>
      <c r="E139">
        <v>20</v>
      </c>
      <c r="F139">
        <v>78</v>
      </c>
      <c r="G139">
        <v>1</v>
      </c>
      <c r="H139" t="s">
        <v>17</v>
      </c>
      <c r="I139">
        <v>62</v>
      </c>
      <c r="J139" t="b">
        <v>1</v>
      </c>
    </row>
    <row r="140" spans="1:10" x14ac:dyDescent="0.3">
      <c r="A140">
        <v>139</v>
      </c>
      <c r="B140" t="s">
        <v>152</v>
      </c>
      <c r="C140" t="s">
        <v>14</v>
      </c>
      <c r="D140">
        <v>90</v>
      </c>
      <c r="E140">
        <v>8</v>
      </c>
      <c r="F140">
        <v>78</v>
      </c>
      <c r="G140">
        <v>0</v>
      </c>
      <c r="H140" t="s">
        <v>12</v>
      </c>
      <c r="I140">
        <v>78</v>
      </c>
      <c r="J140" t="b">
        <v>0</v>
      </c>
    </row>
    <row r="141" spans="1:10" x14ac:dyDescent="0.3">
      <c r="A141">
        <v>140</v>
      </c>
      <c r="B141" t="s">
        <v>153</v>
      </c>
      <c r="C141" t="s">
        <v>14</v>
      </c>
      <c r="D141">
        <v>88</v>
      </c>
      <c r="E141">
        <v>20</v>
      </c>
      <c r="F141">
        <v>60</v>
      </c>
      <c r="G141">
        <v>1</v>
      </c>
      <c r="H141" t="s">
        <v>15</v>
      </c>
      <c r="I141">
        <v>68</v>
      </c>
      <c r="J141" t="b">
        <v>0</v>
      </c>
    </row>
    <row r="142" spans="1:10" x14ac:dyDescent="0.3">
      <c r="A142">
        <v>141</v>
      </c>
      <c r="B142" t="s">
        <v>154</v>
      </c>
      <c r="C142" t="s">
        <v>11</v>
      </c>
      <c r="D142">
        <v>70</v>
      </c>
      <c r="E142">
        <v>20</v>
      </c>
      <c r="F142">
        <v>90</v>
      </c>
      <c r="G142">
        <v>0</v>
      </c>
      <c r="H142" t="s">
        <v>17</v>
      </c>
      <c r="I142">
        <v>62</v>
      </c>
      <c r="J142" t="b">
        <v>0</v>
      </c>
    </row>
    <row r="143" spans="1:10" x14ac:dyDescent="0.3">
      <c r="A143">
        <v>142</v>
      </c>
      <c r="B143" t="s">
        <v>155</v>
      </c>
      <c r="C143" t="s">
        <v>11</v>
      </c>
      <c r="D143">
        <v>95</v>
      </c>
      <c r="E143">
        <v>10</v>
      </c>
      <c r="F143">
        <v>85</v>
      </c>
      <c r="G143">
        <v>2</v>
      </c>
      <c r="H143" t="s">
        <v>17</v>
      </c>
      <c r="I143">
        <v>80.030208333333334</v>
      </c>
      <c r="J143" t="b">
        <v>0</v>
      </c>
    </row>
    <row r="144" spans="1:10" x14ac:dyDescent="0.3">
      <c r="A144">
        <v>143</v>
      </c>
      <c r="B144" t="s">
        <v>156</v>
      </c>
      <c r="C144" t="s">
        <v>11</v>
      </c>
      <c r="D144">
        <v>92</v>
      </c>
      <c r="E144">
        <v>20</v>
      </c>
      <c r="F144">
        <v>65</v>
      </c>
      <c r="G144">
        <v>2</v>
      </c>
      <c r="H144" t="s">
        <v>12</v>
      </c>
      <c r="I144">
        <v>68</v>
      </c>
      <c r="J144" t="b">
        <v>1</v>
      </c>
    </row>
    <row r="145" spans="1:10" x14ac:dyDescent="0.3">
      <c r="A145">
        <v>144</v>
      </c>
      <c r="B145" t="s">
        <v>157</v>
      </c>
      <c r="C145" t="s">
        <v>14</v>
      </c>
      <c r="D145">
        <v>85</v>
      </c>
      <c r="E145">
        <v>22</v>
      </c>
      <c r="F145">
        <v>86</v>
      </c>
      <c r="G145">
        <v>1</v>
      </c>
      <c r="H145" t="s">
        <v>17</v>
      </c>
      <c r="I145">
        <v>88</v>
      </c>
      <c r="J145" t="b">
        <v>0</v>
      </c>
    </row>
    <row r="146" spans="1:10" x14ac:dyDescent="0.3">
      <c r="A146">
        <v>145</v>
      </c>
      <c r="B146" t="s">
        <v>158</v>
      </c>
      <c r="C146" t="s">
        <v>11</v>
      </c>
      <c r="D146">
        <v>85</v>
      </c>
      <c r="E146">
        <v>20</v>
      </c>
      <c r="F146">
        <v>77</v>
      </c>
      <c r="G146">
        <v>1</v>
      </c>
      <c r="H146" t="s">
        <v>17</v>
      </c>
      <c r="I146">
        <v>85</v>
      </c>
      <c r="J146" t="b">
        <v>1</v>
      </c>
    </row>
    <row r="147" spans="1:10" x14ac:dyDescent="0.3">
      <c r="A147">
        <v>146</v>
      </c>
      <c r="B147" t="s">
        <v>159</v>
      </c>
      <c r="C147" t="s">
        <v>11</v>
      </c>
      <c r="D147">
        <v>88</v>
      </c>
      <c r="E147">
        <v>17</v>
      </c>
      <c r="F147">
        <v>77</v>
      </c>
      <c r="G147">
        <v>1</v>
      </c>
      <c r="H147" t="s">
        <v>12</v>
      </c>
      <c r="I147">
        <v>90</v>
      </c>
      <c r="J147" t="b">
        <v>1</v>
      </c>
    </row>
    <row r="148" spans="1:10" x14ac:dyDescent="0.3">
      <c r="A148">
        <v>147</v>
      </c>
      <c r="B148" t="s">
        <v>160</v>
      </c>
      <c r="C148" t="s">
        <v>14</v>
      </c>
      <c r="D148">
        <v>85</v>
      </c>
      <c r="E148">
        <v>22</v>
      </c>
      <c r="F148">
        <v>70</v>
      </c>
      <c r="G148">
        <v>1</v>
      </c>
      <c r="H148" t="s">
        <v>15</v>
      </c>
      <c r="I148">
        <v>88</v>
      </c>
      <c r="J148" t="b">
        <v>0</v>
      </c>
    </row>
    <row r="149" spans="1:10" x14ac:dyDescent="0.3">
      <c r="A149">
        <v>148</v>
      </c>
      <c r="B149" t="s">
        <v>161</v>
      </c>
      <c r="C149" t="s">
        <v>11</v>
      </c>
      <c r="D149">
        <v>85</v>
      </c>
      <c r="E149">
        <v>17</v>
      </c>
      <c r="F149">
        <v>85</v>
      </c>
      <c r="G149">
        <v>1</v>
      </c>
      <c r="H149" t="s">
        <v>17</v>
      </c>
      <c r="I149">
        <v>87</v>
      </c>
      <c r="J149" t="b">
        <v>1</v>
      </c>
    </row>
    <row r="150" spans="1:10" x14ac:dyDescent="0.3">
      <c r="A150">
        <v>149</v>
      </c>
      <c r="B150" t="s">
        <v>162</v>
      </c>
      <c r="C150" t="s">
        <v>14</v>
      </c>
      <c r="D150">
        <v>85</v>
      </c>
      <c r="E150">
        <v>12</v>
      </c>
      <c r="F150">
        <v>70</v>
      </c>
      <c r="G150">
        <v>3</v>
      </c>
      <c r="H150" t="s">
        <v>12</v>
      </c>
      <c r="I150">
        <v>90</v>
      </c>
      <c r="J150" t="b">
        <v>0</v>
      </c>
    </row>
    <row r="151" spans="1:10" x14ac:dyDescent="0.3">
      <c r="A151">
        <v>150</v>
      </c>
      <c r="B151" t="s">
        <v>163</v>
      </c>
      <c r="C151" t="s">
        <v>14</v>
      </c>
      <c r="D151">
        <v>91</v>
      </c>
      <c r="E151">
        <v>15</v>
      </c>
      <c r="F151">
        <v>88</v>
      </c>
      <c r="G151">
        <v>2</v>
      </c>
      <c r="H151" t="s">
        <v>15</v>
      </c>
      <c r="I151">
        <v>87</v>
      </c>
      <c r="J151" t="b">
        <v>0</v>
      </c>
    </row>
    <row r="152" spans="1:10" x14ac:dyDescent="0.3">
      <c r="A152">
        <v>151</v>
      </c>
      <c r="B152" t="s">
        <v>164</v>
      </c>
      <c r="C152" t="s">
        <v>11</v>
      </c>
      <c r="D152">
        <v>95</v>
      </c>
      <c r="E152">
        <v>20</v>
      </c>
      <c r="F152">
        <v>86</v>
      </c>
      <c r="G152">
        <v>0</v>
      </c>
      <c r="H152" t="s">
        <v>15</v>
      </c>
      <c r="I152">
        <v>85</v>
      </c>
      <c r="J152" t="b">
        <v>0</v>
      </c>
    </row>
    <row r="153" spans="1:10" x14ac:dyDescent="0.3">
      <c r="A153">
        <v>152</v>
      </c>
      <c r="B153" t="s">
        <v>165</v>
      </c>
      <c r="C153" t="s">
        <v>11</v>
      </c>
      <c r="D153">
        <v>88</v>
      </c>
      <c r="E153">
        <v>12</v>
      </c>
      <c r="F153">
        <v>60</v>
      </c>
      <c r="G153">
        <v>1</v>
      </c>
      <c r="H153" t="s">
        <v>12</v>
      </c>
      <c r="I153">
        <v>72</v>
      </c>
      <c r="J153" t="b">
        <v>0</v>
      </c>
    </row>
    <row r="154" spans="1:10" x14ac:dyDescent="0.3">
      <c r="A154">
        <v>153</v>
      </c>
      <c r="B154" t="s">
        <v>166</v>
      </c>
      <c r="C154" t="s">
        <v>14</v>
      </c>
      <c r="D154">
        <v>85</v>
      </c>
      <c r="E154">
        <v>30</v>
      </c>
      <c r="F154">
        <v>82</v>
      </c>
      <c r="G154">
        <v>0</v>
      </c>
      <c r="H154" t="s">
        <v>12</v>
      </c>
      <c r="I154">
        <v>90</v>
      </c>
      <c r="J154" t="b">
        <v>1</v>
      </c>
    </row>
    <row r="155" spans="1:10" x14ac:dyDescent="0.3">
      <c r="A155">
        <v>154</v>
      </c>
      <c r="B155" t="s">
        <v>167</v>
      </c>
      <c r="C155" t="s">
        <v>11</v>
      </c>
      <c r="D155">
        <v>78</v>
      </c>
      <c r="E155">
        <v>20</v>
      </c>
      <c r="F155">
        <v>82</v>
      </c>
      <c r="G155">
        <v>2</v>
      </c>
      <c r="H155" t="s">
        <v>17</v>
      </c>
      <c r="I155">
        <v>72</v>
      </c>
      <c r="J155" t="b">
        <v>1</v>
      </c>
    </row>
    <row r="156" spans="1:10" x14ac:dyDescent="0.3">
      <c r="A156">
        <v>155</v>
      </c>
      <c r="B156" t="s">
        <v>168</v>
      </c>
      <c r="C156" t="s">
        <v>11</v>
      </c>
      <c r="D156">
        <v>91</v>
      </c>
      <c r="E156">
        <v>8</v>
      </c>
      <c r="F156">
        <v>65</v>
      </c>
      <c r="G156">
        <v>0</v>
      </c>
      <c r="H156" t="s">
        <v>12</v>
      </c>
      <c r="I156">
        <v>88</v>
      </c>
      <c r="J156" t="b">
        <v>0</v>
      </c>
    </row>
    <row r="157" spans="1:10" x14ac:dyDescent="0.3">
      <c r="A157">
        <v>156</v>
      </c>
      <c r="B157" t="s">
        <v>169</v>
      </c>
      <c r="C157" t="s">
        <v>14</v>
      </c>
      <c r="D157">
        <v>95</v>
      </c>
      <c r="E157">
        <v>25</v>
      </c>
      <c r="F157">
        <v>77</v>
      </c>
      <c r="G157">
        <v>3</v>
      </c>
      <c r="H157" t="s">
        <v>15</v>
      </c>
      <c r="I157">
        <v>78</v>
      </c>
      <c r="J157" t="b">
        <v>0</v>
      </c>
    </row>
    <row r="158" spans="1:10" x14ac:dyDescent="0.3">
      <c r="A158">
        <v>157</v>
      </c>
      <c r="B158" t="s">
        <v>170</v>
      </c>
      <c r="C158" t="s">
        <v>11</v>
      </c>
      <c r="D158">
        <v>95</v>
      </c>
      <c r="E158">
        <v>22</v>
      </c>
      <c r="F158">
        <v>77.598759048603924</v>
      </c>
      <c r="G158">
        <v>1</v>
      </c>
      <c r="H158" t="s">
        <v>15</v>
      </c>
      <c r="I158">
        <v>80.030208333333334</v>
      </c>
      <c r="J158" t="b">
        <v>1</v>
      </c>
    </row>
    <row r="159" spans="1:10" x14ac:dyDescent="0.3">
      <c r="A159">
        <v>158</v>
      </c>
      <c r="B159" t="s">
        <v>171</v>
      </c>
      <c r="C159" t="s">
        <v>11</v>
      </c>
      <c r="D159">
        <v>85.510416666666671</v>
      </c>
      <c r="E159">
        <v>15</v>
      </c>
      <c r="F159">
        <v>77</v>
      </c>
      <c r="G159">
        <v>1</v>
      </c>
      <c r="H159" t="s">
        <v>17</v>
      </c>
      <c r="I159">
        <v>87</v>
      </c>
      <c r="J159" t="b">
        <v>1</v>
      </c>
    </row>
    <row r="160" spans="1:10" x14ac:dyDescent="0.3">
      <c r="A160">
        <v>159</v>
      </c>
      <c r="B160" t="s">
        <v>172</v>
      </c>
      <c r="C160" t="s">
        <v>11</v>
      </c>
      <c r="D160">
        <v>78</v>
      </c>
      <c r="E160">
        <v>18</v>
      </c>
      <c r="F160">
        <v>77</v>
      </c>
      <c r="G160">
        <v>2</v>
      </c>
      <c r="H160" t="s">
        <v>12</v>
      </c>
      <c r="I160">
        <v>62</v>
      </c>
      <c r="J160" t="b">
        <v>0</v>
      </c>
    </row>
    <row r="161" spans="1:10" x14ac:dyDescent="0.3">
      <c r="A161">
        <v>160</v>
      </c>
      <c r="B161" t="s">
        <v>173</v>
      </c>
      <c r="C161" t="s">
        <v>11</v>
      </c>
      <c r="D161">
        <v>70</v>
      </c>
      <c r="E161">
        <v>15</v>
      </c>
      <c r="F161">
        <v>60</v>
      </c>
      <c r="G161">
        <v>2</v>
      </c>
      <c r="H161" t="s">
        <v>15</v>
      </c>
      <c r="I161">
        <v>92</v>
      </c>
      <c r="J161" t="b">
        <v>0</v>
      </c>
    </row>
    <row r="162" spans="1:10" x14ac:dyDescent="0.3">
      <c r="A162">
        <v>161</v>
      </c>
      <c r="B162" t="s">
        <v>174</v>
      </c>
      <c r="C162" t="s">
        <v>11</v>
      </c>
      <c r="D162">
        <v>95</v>
      </c>
      <c r="E162">
        <v>20</v>
      </c>
      <c r="F162">
        <v>88</v>
      </c>
      <c r="G162">
        <v>0</v>
      </c>
      <c r="H162" t="s">
        <v>12</v>
      </c>
      <c r="I162">
        <v>80</v>
      </c>
      <c r="J162" t="b">
        <v>1</v>
      </c>
    </row>
    <row r="163" spans="1:10" x14ac:dyDescent="0.3">
      <c r="A163">
        <v>162</v>
      </c>
      <c r="B163" t="s">
        <v>175</v>
      </c>
      <c r="C163" t="s">
        <v>14</v>
      </c>
      <c r="D163">
        <v>91</v>
      </c>
      <c r="E163">
        <v>15</v>
      </c>
      <c r="F163">
        <v>85</v>
      </c>
      <c r="G163">
        <v>1</v>
      </c>
      <c r="H163" t="s">
        <v>15</v>
      </c>
      <c r="I163">
        <v>92</v>
      </c>
      <c r="J163" t="b">
        <v>0</v>
      </c>
    </row>
    <row r="164" spans="1:10" x14ac:dyDescent="0.3">
      <c r="A164">
        <v>163</v>
      </c>
      <c r="B164" t="s">
        <v>176</v>
      </c>
      <c r="C164" t="s">
        <v>14</v>
      </c>
      <c r="D164">
        <v>92</v>
      </c>
      <c r="E164">
        <v>17.630526315789474</v>
      </c>
      <c r="F164">
        <v>85</v>
      </c>
      <c r="G164">
        <v>1</v>
      </c>
      <c r="H164" t="s">
        <v>12</v>
      </c>
      <c r="I164">
        <v>80.030208333333334</v>
      </c>
      <c r="J164" t="b">
        <v>0</v>
      </c>
    </row>
    <row r="165" spans="1:10" x14ac:dyDescent="0.3">
      <c r="A165">
        <v>164</v>
      </c>
      <c r="B165" t="s">
        <v>177</v>
      </c>
      <c r="C165" t="s">
        <v>11</v>
      </c>
      <c r="D165">
        <v>85</v>
      </c>
      <c r="E165">
        <v>22</v>
      </c>
      <c r="F165">
        <v>70</v>
      </c>
      <c r="G165">
        <v>1</v>
      </c>
      <c r="H165" t="s">
        <v>17</v>
      </c>
      <c r="I165">
        <v>72</v>
      </c>
      <c r="J165" t="b">
        <v>1</v>
      </c>
    </row>
    <row r="166" spans="1:10" x14ac:dyDescent="0.3">
      <c r="A166">
        <v>165</v>
      </c>
      <c r="B166" t="s">
        <v>178</v>
      </c>
      <c r="C166" t="s">
        <v>14</v>
      </c>
      <c r="D166">
        <v>85</v>
      </c>
      <c r="E166">
        <v>22</v>
      </c>
      <c r="F166">
        <v>88</v>
      </c>
      <c r="G166">
        <v>3</v>
      </c>
      <c r="H166" t="s">
        <v>12</v>
      </c>
      <c r="I166">
        <v>62</v>
      </c>
      <c r="J166" t="b">
        <v>1</v>
      </c>
    </row>
    <row r="167" spans="1:10" x14ac:dyDescent="0.3">
      <c r="A167">
        <v>166</v>
      </c>
      <c r="B167" t="s">
        <v>179</v>
      </c>
      <c r="C167" t="s">
        <v>14</v>
      </c>
      <c r="D167">
        <v>90</v>
      </c>
      <c r="E167">
        <v>12</v>
      </c>
      <c r="F167">
        <v>70</v>
      </c>
      <c r="G167">
        <v>2</v>
      </c>
      <c r="H167" t="s">
        <v>17</v>
      </c>
      <c r="I167">
        <v>72</v>
      </c>
      <c r="J167" t="b">
        <v>1</v>
      </c>
    </row>
    <row r="168" spans="1:10" x14ac:dyDescent="0.3">
      <c r="A168">
        <v>167</v>
      </c>
      <c r="B168" t="s">
        <v>977</v>
      </c>
      <c r="C168" t="s">
        <v>14</v>
      </c>
      <c r="D168">
        <v>88</v>
      </c>
      <c r="E168">
        <v>15</v>
      </c>
      <c r="F168">
        <v>88</v>
      </c>
      <c r="G168">
        <v>2</v>
      </c>
      <c r="H168" t="s">
        <v>15</v>
      </c>
      <c r="I168">
        <v>92</v>
      </c>
      <c r="J168" t="b">
        <v>1</v>
      </c>
    </row>
    <row r="169" spans="1:10" x14ac:dyDescent="0.3">
      <c r="A169">
        <v>168</v>
      </c>
      <c r="B169" t="s">
        <v>180</v>
      </c>
      <c r="C169" t="s">
        <v>11</v>
      </c>
      <c r="D169">
        <v>85</v>
      </c>
      <c r="E169">
        <v>30</v>
      </c>
      <c r="F169">
        <v>70</v>
      </c>
      <c r="G169">
        <v>1</v>
      </c>
      <c r="H169" t="s">
        <v>17</v>
      </c>
      <c r="I169">
        <v>68</v>
      </c>
      <c r="J169" t="b">
        <v>0</v>
      </c>
    </row>
    <row r="170" spans="1:10" x14ac:dyDescent="0.3">
      <c r="A170">
        <v>169</v>
      </c>
      <c r="B170" t="s">
        <v>181</v>
      </c>
      <c r="C170" t="s">
        <v>11</v>
      </c>
      <c r="D170">
        <v>78</v>
      </c>
      <c r="E170">
        <v>20</v>
      </c>
      <c r="F170">
        <v>77</v>
      </c>
      <c r="G170">
        <v>1</v>
      </c>
      <c r="H170" t="s">
        <v>15</v>
      </c>
      <c r="I170">
        <v>92</v>
      </c>
      <c r="J170" t="b">
        <v>1</v>
      </c>
    </row>
    <row r="171" spans="1:10" x14ac:dyDescent="0.3">
      <c r="A171">
        <v>170</v>
      </c>
      <c r="B171" t="s">
        <v>182</v>
      </c>
      <c r="C171" t="s">
        <v>14</v>
      </c>
      <c r="D171">
        <v>82</v>
      </c>
      <c r="E171">
        <v>8</v>
      </c>
      <c r="F171">
        <v>70</v>
      </c>
      <c r="G171">
        <v>1</v>
      </c>
      <c r="H171" t="s">
        <v>15</v>
      </c>
      <c r="I171">
        <v>80</v>
      </c>
      <c r="J171" t="b">
        <v>0</v>
      </c>
    </row>
    <row r="172" spans="1:10" x14ac:dyDescent="0.3">
      <c r="A172">
        <v>171</v>
      </c>
      <c r="B172" t="s">
        <v>183</v>
      </c>
      <c r="C172" t="s">
        <v>11</v>
      </c>
      <c r="D172">
        <v>95</v>
      </c>
      <c r="E172">
        <v>18</v>
      </c>
      <c r="F172">
        <v>85</v>
      </c>
      <c r="G172">
        <v>1</v>
      </c>
      <c r="H172" t="s">
        <v>15</v>
      </c>
      <c r="I172">
        <v>62</v>
      </c>
      <c r="J172" t="b">
        <v>0</v>
      </c>
    </row>
    <row r="173" spans="1:10" x14ac:dyDescent="0.3">
      <c r="A173">
        <v>172</v>
      </c>
      <c r="B173" t="s">
        <v>184</v>
      </c>
      <c r="C173" t="s">
        <v>14</v>
      </c>
      <c r="D173">
        <v>85</v>
      </c>
      <c r="E173">
        <v>30</v>
      </c>
      <c r="F173">
        <v>70</v>
      </c>
      <c r="G173">
        <v>2</v>
      </c>
      <c r="H173" t="s">
        <v>12</v>
      </c>
      <c r="I173">
        <v>62</v>
      </c>
      <c r="J173" t="b">
        <v>1</v>
      </c>
    </row>
    <row r="174" spans="1:10" x14ac:dyDescent="0.3">
      <c r="A174">
        <v>173</v>
      </c>
      <c r="B174" t="s">
        <v>185</v>
      </c>
      <c r="C174" t="s">
        <v>14</v>
      </c>
      <c r="D174">
        <v>95</v>
      </c>
      <c r="E174">
        <v>20</v>
      </c>
      <c r="F174">
        <v>85</v>
      </c>
      <c r="G174">
        <v>1</v>
      </c>
      <c r="H174" t="s">
        <v>17</v>
      </c>
      <c r="I174">
        <v>85</v>
      </c>
      <c r="J174" t="b">
        <v>0</v>
      </c>
    </row>
    <row r="175" spans="1:10" x14ac:dyDescent="0.3">
      <c r="A175">
        <v>174</v>
      </c>
      <c r="B175" t="s">
        <v>186</v>
      </c>
      <c r="C175" t="s">
        <v>14</v>
      </c>
      <c r="D175">
        <v>95</v>
      </c>
      <c r="E175">
        <v>17</v>
      </c>
      <c r="F175">
        <v>78</v>
      </c>
      <c r="G175">
        <v>1</v>
      </c>
      <c r="H175" t="s">
        <v>17</v>
      </c>
      <c r="I175">
        <v>62</v>
      </c>
      <c r="J175" t="b">
        <v>1</v>
      </c>
    </row>
    <row r="176" spans="1:10" x14ac:dyDescent="0.3">
      <c r="A176">
        <v>175</v>
      </c>
      <c r="B176" t="s">
        <v>187</v>
      </c>
      <c r="C176" t="s">
        <v>14</v>
      </c>
      <c r="D176">
        <v>85.510416666666671</v>
      </c>
      <c r="E176">
        <v>12</v>
      </c>
      <c r="F176">
        <v>65</v>
      </c>
      <c r="G176">
        <v>1</v>
      </c>
      <c r="H176" t="s">
        <v>12</v>
      </c>
      <c r="I176">
        <v>88</v>
      </c>
      <c r="J176" t="b">
        <v>1</v>
      </c>
    </row>
    <row r="177" spans="1:10" x14ac:dyDescent="0.3">
      <c r="A177">
        <v>176</v>
      </c>
      <c r="B177" t="s">
        <v>188</v>
      </c>
      <c r="C177" t="s">
        <v>11</v>
      </c>
      <c r="D177">
        <v>92</v>
      </c>
      <c r="E177">
        <v>30</v>
      </c>
      <c r="F177">
        <v>88</v>
      </c>
      <c r="G177">
        <v>0</v>
      </c>
      <c r="H177" t="s">
        <v>17</v>
      </c>
      <c r="I177">
        <v>80</v>
      </c>
      <c r="J177" t="b">
        <v>0</v>
      </c>
    </row>
    <row r="178" spans="1:10" x14ac:dyDescent="0.3">
      <c r="A178">
        <v>177</v>
      </c>
      <c r="B178" t="s">
        <v>189</v>
      </c>
      <c r="C178" t="s">
        <v>14</v>
      </c>
      <c r="D178">
        <v>85</v>
      </c>
      <c r="E178">
        <v>20</v>
      </c>
      <c r="F178">
        <v>86</v>
      </c>
      <c r="G178">
        <v>0</v>
      </c>
      <c r="H178" t="s">
        <v>17</v>
      </c>
      <c r="I178">
        <v>90</v>
      </c>
      <c r="J178" t="b">
        <v>0</v>
      </c>
    </row>
    <row r="179" spans="1:10" x14ac:dyDescent="0.3">
      <c r="A179">
        <v>178</v>
      </c>
      <c r="B179" t="s">
        <v>190</v>
      </c>
      <c r="C179" t="s">
        <v>11</v>
      </c>
      <c r="D179">
        <v>85</v>
      </c>
      <c r="E179">
        <v>17.630526315789474</v>
      </c>
      <c r="F179">
        <v>77</v>
      </c>
      <c r="G179">
        <v>2</v>
      </c>
      <c r="H179" t="s">
        <v>15</v>
      </c>
      <c r="I179">
        <v>72</v>
      </c>
      <c r="J179" t="b">
        <v>0</v>
      </c>
    </row>
    <row r="180" spans="1:10" x14ac:dyDescent="0.3">
      <c r="A180">
        <v>179</v>
      </c>
      <c r="B180" t="s">
        <v>191</v>
      </c>
      <c r="C180" t="s">
        <v>11</v>
      </c>
      <c r="D180">
        <v>91</v>
      </c>
      <c r="E180">
        <v>18</v>
      </c>
      <c r="F180">
        <v>77</v>
      </c>
      <c r="G180">
        <v>3</v>
      </c>
      <c r="H180" t="s">
        <v>12</v>
      </c>
      <c r="I180">
        <v>68</v>
      </c>
      <c r="J180" t="b">
        <v>1</v>
      </c>
    </row>
    <row r="181" spans="1:10" x14ac:dyDescent="0.3">
      <c r="A181">
        <v>180</v>
      </c>
      <c r="B181" t="s">
        <v>192</v>
      </c>
      <c r="C181" t="s">
        <v>11</v>
      </c>
      <c r="D181">
        <v>95</v>
      </c>
      <c r="E181">
        <v>30</v>
      </c>
      <c r="F181">
        <v>85</v>
      </c>
      <c r="G181">
        <v>2</v>
      </c>
      <c r="H181" t="s">
        <v>17</v>
      </c>
      <c r="I181">
        <v>85</v>
      </c>
      <c r="J181" t="b">
        <v>1</v>
      </c>
    </row>
    <row r="182" spans="1:10" x14ac:dyDescent="0.3">
      <c r="A182">
        <v>181</v>
      </c>
      <c r="B182" t="s">
        <v>977</v>
      </c>
      <c r="C182" t="s">
        <v>11</v>
      </c>
      <c r="D182">
        <v>90</v>
      </c>
      <c r="E182">
        <v>25</v>
      </c>
      <c r="F182">
        <v>65</v>
      </c>
      <c r="G182">
        <v>3</v>
      </c>
      <c r="H182" t="s">
        <v>15</v>
      </c>
      <c r="I182">
        <v>80</v>
      </c>
      <c r="J182" t="b">
        <v>0</v>
      </c>
    </row>
    <row r="183" spans="1:10" x14ac:dyDescent="0.3">
      <c r="A183">
        <v>182</v>
      </c>
      <c r="B183" t="s">
        <v>977</v>
      </c>
      <c r="C183" t="s">
        <v>11</v>
      </c>
      <c r="D183">
        <v>91</v>
      </c>
      <c r="E183">
        <v>20</v>
      </c>
      <c r="F183">
        <v>85</v>
      </c>
      <c r="G183">
        <v>2</v>
      </c>
      <c r="H183" t="s">
        <v>15</v>
      </c>
      <c r="I183">
        <v>78</v>
      </c>
      <c r="J183" t="b">
        <v>0</v>
      </c>
    </row>
    <row r="184" spans="1:10" x14ac:dyDescent="0.3">
      <c r="A184">
        <v>183</v>
      </c>
      <c r="B184" t="s">
        <v>193</v>
      </c>
      <c r="C184" t="s">
        <v>11</v>
      </c>
      <c r="D184">
        <v>95</v>
      </c>
      <c r="E184">
        <v>20</v>
      </c>
      <c r="F184">
        <v>77</v>
      </c>
      <c r="G184">
        <v>1</v>
      </c>
      <c r="H184" t="s">
        <v>12</v>
      </c>
      <c r="I184">
        <v>72</v>
      </c>
      <c r="J184" t="b">
        <v>1</v>
      </c>
    </row>
    <row r="185" spans="1:10" x14ac:dyDescent="0.3">
      <c r="A185">
        <v>184</v>
      </c>
      <c r="B185" t="s">
        <v>194</v>
      </c>
      <c r="C185" t="s">
        <v>14</v>
      </c>
      <c r="D185">
        <v>82</v>
      </c>
      <c r="E185">
        <v>15</v>
      </c>
      <c r="F185">
        <v>85</v>
      </c>
      <c r="G185">
        <v>2</v>
      </c>
      <c r="H185" t="s">
        <v>12</v>
      </c>
      <c r="I185">
        <v>85</v>
      </c>
      <c r="J185" t="b">
        <v>1</v>
      </c>
    </row>
    <row r="186" spans="1:10" x14ac:dyDescent="0.3">
      <c r="A186">
        <v>185</v>
      </c>
      <c r="B186" t="s">
        <v>195</v>
      </c>
      <c r="C186" t="s">
        <v>14</v>
      </c>
      <c r="D186">
        <v>90</v>
      </c>
      <c r="E186">
        <v>18</v>
      </c>
      <c r="F186">
        <v>90</v>
      </c>
      <c r="G186">
        <v>1</v>
      </c>
      <c r="H186" t="s">
        <v>12</v>
      </c>
      <c r="I186">
        <v>68</v>
      </c>
      <c r="J186" t="b">
        <v>1</v>
      </c>
    </row>
    <row r="187" spans="1:10" x14ac:dyDescent="0.3">
      <c r="A187">
        <v>186</v>
      </c>
      <c r="B187" t="s">
        <v>196</v>
      </c>
      <c r="C187" t="s">
        <v>11</v>
      </c>
      <c r="D187">
        <v>91</v>
      </c>
      <c r="E187">
        <v>22</v>
      </c>
      <c r="F187">
        <v>65</v>
      </c>
      <c r="G187">
        <v>0</v>
      </c>
      <c r="H187" t="s">
        <v>17</v>
      </c>
      <c r="I187">
        <v>88</v>
      </c>
      <c r="J187" t="b">
        <v>0</v>
      </c>
    </row>
    <row r="188" spans="1:10" x14ac:dyDescent="0.3">
      <c r="A188">
        <v>187</v>
      </c>
      <c r="B188" t="s">
        <v>197</v>
      </c>
      <c r="C188" t="s">
        <v>11</v>
      </c>
      <c r="D188">
        <v>90</v>
      </c>
      <c r="E188">
        <v>15</v>
      </c>
      <c r="F188">
        <v>86</v>
      </c>
      <c r="G188">
        <v>2</v>
      </c>
      <c r="H188" t="s">
        <v>17</v>
      </c>
      <c r="I188">
        <v>92</v>
      </c>
      <c r="J188" t="b">
        <v>1</v>
      </c>
    </row>
    <row r="189" spans="1:10" x14ac:dyDescent="0.3">
      <c r="A189">
        <v>188</v>
      </c>
      <c r="B189" t="s">
        <v>198</v>
      </c>
      <c r="C189" t="s">
        <v>14</v>
      </c>
      <c r="D189">
        <v>88</v>
      </c>
      <c r="E189">
        <v>17</v>
      </c>
      <c r="F189">
        <v>90</v>
      </c>
      <c r="G189">
        <v>0</v>
      </c>
      <c r="H189" t="s">
        <v>15</v>
      </c>
      <c r="I189">
        <v>78</v>
      </c>
      <c r="J189" t="b">
        <v>1</v>
      </c>
    </row>
    <row r="190" spans="1:10" x14ac:dyDescent="0.3">
      <c r="A190">
        <v>189</v>
      </c>
      <c r="B190" t="s">
        <v>199</v>
      </c>
      <c r="C190" t="s">
        <v>14</v>
      </c>
      <c r="D190">
        <v>85</v>
      </c>
      <c r="E190">
        <v>17</v>
      </c>
      <c r="F190">
        <v>90</v>
      </c>
      <c r="G190">
        <v>1</v>
      </c>
      <c r="H190" t="s">
        <v>17</v>
      </c>
      <c r="I190">
        <v>68</v>
      </c>
      <c r="J190" t="b">
        <v>0</v>
      </c>
    </row>
    <row r="191" spans="1:10" x14ac:dyDescent="0.3">
      <c r="A191">
        <v>190</v>
      </c>
      <c r="B191" t="s">
        <v>200</v>
      </c>
      <c r="C191" t="s">
        <v>14</v>
      </c>
      <c r="D191">
        <v>78</v>
      </c>
      <c r="E191">
        <v>30</v>
      </c>
      <c r="F191">
        <v>70</v>
      </c>
      <c r="G191">
        <v>2</v>
      </c>
      <c r="H191" t="s">
        <v>12</v>
      </c>
      <c r="I191">
        <v>90</v>
      </c>
      <c r="J191" t="b">
        <v>0</v>
      </c>
    </row>
    <row r="192" spans="1:10" x14ac:dyDescent="0.3">
      <c r="A192">
        <v>191</v>
      </c>
      <c r="B192" t="s">
        <v>201</v>
      </c>
      <c r="C192" t="s">
        <v>11</v>
      </c>
      <c r="D192">
        <v>78</v>
      </c>
      <c r="E192">
        <v>20</v>
      </c>
      <c r="F192">
        <v>78</v>
      </c>
      <c r="G192">
        <v>2</v>
      </c>
      <c r="H192" t="s">
        <v>15</v>
      </c>
      <c r="I192">
        <v>88</v>
      </c>
      <c r="J192" t="b">
        <v>1</v>
      </c>
    </row>
    <row r="193" spans="1:10" x14ac:dyDescent="0.3">
      <c r="A193">
        <v>192</v>
      </c>
      <c r="B193" t="s">
        <v>202</v>
      </c>
      <c r="C193" t="s">
        <v>11</v>
      </c>
      <c r="D193">
        <v>78</v>
      </c>
      <c r="E193">
        <v>17</v>
      </c>
      <c r="F193">
        <v>77.598759048603924</v>
      </c>
      <c r="G193">
        <v>1</v>
      </c>
      <c r="H193" t="s">
        <v>15</v>
      </c>
      <c r="I193">
        <v>85</v>
      </c>
      <c r="J193" t="b">
        <v>0</v>
      </c>
    </row>
    <row r="194" spans="1:10" x14ac:dyDescent="0.3">
      <c r="A194">
        <v>193</v>
      </c>
      <c r="B194" t="s">
        <v>203</v>
      </c>
      <c r="C194" t="s">
        <v>14</v>
      </c>
      <c r="D194">
        <v>92</v>
      </c>
      <c r="E194">
        <v>25</v>
      </c>
      <c r="F194">
        <v>86</v>
      </c>
      <c r="G194">
        <v>1</v>
      </c>
      <c r="H194" t="s">
        <v>12</v>
      </c>
      <c r="I194">
        <v>80</v>
      </c>
      <c r="J194" t="b">
        <v>0</v>
      </c>
    </row>
    <row r="195" spans="1:10" x14ac:dyDescent="0.3">
      <c r="A195">
        <v>194</v>
      </c>
      <c r="B195" t="s">
        <v>204</v>
      </c>
      <c r="C195" t="s">
        <v>11</v>
      </c>
      <c r="D195">
        <v>90</v>
      </c>
      <c r="E195">
        <v>8</v>
      </c>
      <c r="F195">
        <v>65</v>
      </c>
      <c r="G195">
        <v>2</v>
      </c>
      <c r="H195" t="s">
        <v>17</v>
      </c>
      <c r="I195">
        <v>90</v>
      </c>
      <c r="J195" t="b">
        <v>1</v>
      </c>
    </row>
    <row r="196" spans="1:10" x14ac:dyDescent="0.3">
      <c r="A196">
        <v>195</v>
      </c>
      <c r="B196" t="s">
        <v>205</v>
      </c>
      <c r="C196" t="s">
        <v>11</v>
      </c>
      <c r="D196">
        <v>91</v>
      </c>
      <c r="E196">
        <v>12</v>
      </c>
      <c r="F196">
        <v>90</v>
      </c>
      <c r="G196">
        <v>1</v>
      </c>
      <c r="H196" t="s">
        <v>17</v>
      </c>
      <c r="I196">
        <v>85</v>
      </c>
      <c r="J196" t="b">
        <v>0</v>
      </c>
    </row>
    <row r="197" spans="1:10" x14ac:dyDescent="0.3">
      <c r="A197">
        <v>196</v>
      </c>
      <c r="B197" t="s">
        <v>206</v>
      </c>
      <c r="C197" t="s">
        <v>11</v>
      </c>
      <c r="D197">
        <v>78</v>
      </c>
      <c r="E197">
        <v>20</v>
      </c>
      <c r="F197">
        <v>60</v>
      </c>
      <c r="G197">
        <v>1</v>
      </c>
      <c r="H197" t="s">
        <v>15</v>
      </c>
      <c r="I197">
        <v>72</v>
      </c>
      <c r="J197" t="b">
        <v>1</v>
      </c>
    </row>
    <row r="198" spans="1:10" x14ac:dyDescent="0.3">
      <c r="A198">
        <v>197</v>
      </c>
      <c r="B198" t="s">
        <v>207</v>
      </c>
      <c r="C198" t="s">
        <v>14</v>
      </c>
      <c r="D198">
        <v>82</v>
      </c>
      <c r="E198">
        <v>15</v>
      </c>
      <c r="F198">
        <v>78</v>
      </c>
      <c r="G198">
        <v>1</v>
      </c>
      <c r="H198" t="s">
        <v>12</v>
      </c>
      <c r="I198">
        <v>90</v>
      </c>
      <c r="J198" t="b">
        <v>0</v>
      </c>
    </row>
    <row r="199" spans="1:10" x14ac:dyDescent="0.3">
      <c r="A199">
        <v>198</v>
      </c>
      <c r="B199" t="s">
        <v>208</v>
      </c>
      <c r="C199" t="s">
        <v>11</v>
      </c>
      <c r="D199">
        <v>95</v>
      </c>
      <c r="E199">
        <v>17.630526315789474</v>
      </c>
      <c r="F199">
        <v>88</v>
      </c>
      <c r="G199">
        <v>0</v>
      </c>
      <c r="H199" t="s">
        <v>15</v>
      </c>
      <c r="I199">
        <v>80.030208333333334</v>
      </c>
      <c r="J199" t="b">
        <v>0</v>
      </c>
    </row>
    <row r="200" spans="1:10" x14ac:dyDescent="0.3">
      <c r="A200">
        <v>199</v>
      </c>
      <c r="B200" t="s">
        <v>209</v>
      </c>
      <c r="C200" t="s">
        <v>14</v>
      </c>
      <c r="D200">
        <v>91</v>
      </c>
      <c r="E200">
        <v>18</v>
      </c>
      <c r="F200">
        <v>77.598759048603924</v>
      </c>
      <c r="G200">
        <v>1</v>
      </c>
      <c r="H200" t="s">
        <v>15</v>
      </c>
      <c r="I200">
        <v>90</v>
      </c>
      <c r="J200" t="b">
        <v>0</v>
      </c>
    </row>
    <row r="201" spans="1:10" x14ac:dyDescent="0.3">
      <c r="A201">
        <v>200</v>
      </c>
      <c r="B201" t="s">
        <v>210</v>
      </c>
      <c r="C201" t="s">
        <v>14</v>
      </c>
      <c r="D201">
        <v>88</v>
      </c>
      <c r="E201">
        <v>22</v>
      </c>
      <c r="F201">
        <v>86</v>
      </c>
      <c r="G201">
        <v>3</v>
      </c>
      <c r="H201" t="s">
        <v>17</v>
      </c>
      <c r="I201">
        <v>80</v>
      </c>
      <c r="J201" t="b">
        <v>0</v>
      </c>
    </row>
    <row r="202" spans="1:10" x14ac:dyDescent="0.3">
      <c r="A202">
        <v>201</v>
      </c>
      <c r="B202" t="s">
        <v>211</v>
      </c>
      <c r="C202" t="s">
        <v>977</v>
      </c>
      <c r="D202">
        <v>85</v>
      </c>
      <c r="E202">
        <v>22</v>
      </c>
      <c r="F202">
        <v>85</v>
      </c>
      <c r="G202">
        <v>3</v>
      </c>
      <c r="H202" t="s">
        <v>12</v>
      </c>
      <c r="I202">
        <v>78</v>
      </c>
      <c r="J202" t="b">
        <v>0</v>
      </c>
    </row>
    <row r="203" spans="1:10" x14ac:dyDescent="0.3">
      <c r="A203">
        <v>202</v>
      </c>
      <c r="B203" t="s">
        <v>212</v>
      </c>
      <c r="C203" t="s">
        <v>14</v>
      </c>
      <c r="D203">
        <v>82</v>
      </c>
      <c r="E203">
        <v>22</v>
      </c>
      <c r="F203">
        <v>77</v>
      </c>
      <c r="G203">
        <v>1</v>
      </c>
      <c r="H203" t="s">
        <v>17</v>
      </c>
      <c r="I203">
        <v>68</v>
      </c>
      <c r="J203" t="b">
        <v>0</v>
      </c>
    </row>
    <row r="204" spans="1:10" x14ac:dyDescent="0.3">
      <c r="A204">
        <v>203</v>
      </c>
      <c r="B204" t="s">
        <v>213</v>
      </c>
      <c r="C204" t="s">
        <v>14</v>
      </c>
      <c r="D204">
        <v>95</v>
      </c>
      <c r="E204">
        <v>10</v>
      </c>
      <c r="F204">
        <v>77</v>
      </c>
      <c r="G204">
        <v>2</v>
      </c>
      <c r="H204" t="s">
        <v>15</v>
      </c>
      <c r="I204">
        <v>72</v>
      </c>
      <c r="J204" t="b">
        <v>0</v>
      </c>
    </row>
    <row r="205" spans="1:10" x14ac:dyDescent="0.3">
      <c r="A205">
        <v>204</v>
      </c>
      <c r="B205" t="s">
        <v>214</v>
      </c>
      <c r="C205" t="s">
        <v>11</v>
      </c>
      <c r="D205">
        <v>92</v>
      </c>
      <c r="E205">
        <v>18</v>
      </c>
      <c r="F205">
        <v>70</v>
      </c>
      <c r="G205">
        <v>2</v>
      </c>
      <c r="H205" t="s">
        <v>12</v>
      </c>
      <c r="I205">
        <v>85</v>
      </c>
      <c r="J205" t="b">
        <v>1</v>
      </c>
    </row>
    <row r="206" spans="1:10" x14ac:dyDescent="0.3">
      <c r="A206">
        <v>205</v>
      </c>
      <c r="B206" t="s">
        <v>215</v>
      </c>
      <c r="C206" t="s">
        <v>14</v>
      </c>
      <c r="D206">
        <v>85</v>
      </c>
      <c r="E206">
        <v>30</v>
      </c>
      <c r="F206">
        <v>70</v>
      </c>
      <c r="G206">
        <v>2</v>
      </c>
      <c r="H206" t="s">
        <v>15</v>
      </c>
      <c r="I206">
        <v>87</v>
      </c>
      <c r="J206" t="b">
        <v>0</v>
      </c>
    </row>
    <row r="207" spans="1:10" x14ac:dyDescent="0.3">
      <c r="A207">
        <v>206</v>
      </c>
      <c r="B207" t="s">
        <v>216</v>
      </c>
      <c r="C207" t="s">
        <v>14</v>
      </c>
      <c r="D207">
        <v>78</v>
      </c>
      <c r="E207">
        <v>18</v>
      </c>
      <c r="F207">
        <v>78</v>
      </c>
      <c r="G207">
        <v>2</v>
      </c>
      <c r="H207" t="s">
        <v>17</v>
      </c>
      <c r="I207">
        <v>87</v>
      </c>
      <c r="J207" t="b">
        <v>0</v>
      </c>
    </row>
    <row r="208" spans="1:10" x14ac:dyDescent="0.3">
      <c r="A208">
        <v>207</v>
      </c>
      <c r="B208" t="s">
        <v>217</v>
      </c>
      <c r="C208" t="s">
        <v>11</v>
      </c>
      <c r="D208">
        <v>92</v>
      </c>
      <c r="E208">
        <v>12</v>
      </c>
      <c r="F208">
        <v>82</v>
      </c>
      <c r="G208">
        <v>2</v>
      </c>
      <c r="H208" t="s">
        <v>17</v>
      </c>
      <c r="I208">
        <v>85</v>
      </c>
      <c r="J208" t="b">
        <v>1</v>
      </c>
    </row>
    <row r="209" spans="1:10" x14ac:dyDescent="0.3">
      <c r="A209">
        <v>208</v>
      </c>
      <c r="B209" t="s">
        <v>218</v>
      </c>
      <c r="C209" t="s">
        <v>11</v>
      </c>
      <c r="D209">
        <v>82</v>
      </c>
      <c r="E209">
        <v>25</v>
      </c>
      <c r="F209">
        <v>90</v>
      </c>
      <c r="G209">
        <v>1</v>
      </c>
      <c r="H209" t="s">
        <v>12</v>
      </c>
      <c r="I209">
        <v>62</v>
      </c>
      <c r="J209" t="b">
        <v>1</v>
      </c>
    </row>
    <row r="210" spans="1:10" x14ac:dyDescent="0.3">
      <c r="A210">
        <v>209</v>
      </c>
      <c r="B210" t="s">
        <v>219</v>
      </c>
      <c r="C210" t="s">
        <v>11</v>
      </c>
      <c r="D210">
        <v>82</v>
      </c>
      <c r="E210">
        <v>17.630526315789474</v>
      </c>
      <c r="F210">
        <v>60</v>
      </c>
      <c r="G210">
        <v>1</v>
      </c>
      <c r="H210" t="s">
        <v>15</v>
      </c>
      <c r="I210">
        <v>92</v>
      </c>
      <c r="J210" t="b">
        <v>0</v>
      </c>
    </row>
    <row r="211" spans="1:10" x14ac:dyDescent="0.3">
      <c r="A211">
        <v>210</v>
      </c>
      <c r="B211" t="s">
        <v>220</v>
      </c>
      <c r="C211" t="s">
        <v>11</v>
      </c>
      <c r="D211">
        <v>90</v>
      </c>
      <c r="E211">
        <v>22</v>
      </c>
      <c r="F211">
        <v>90</v>
      </c>
      <c r="G211">
        <v>2</v>
      </c>
      <c r="H211" t="s">
        <v>17</v>
      </c>
      <c r="I211">
        <v>80</v>
      </c>
      <c r="J211" t="b">
        <v>0</v>
      </c>
    </row>
    <row r="212" spans="1:10" x14ac:dyDescent="0.3">
      <c r="A212">
        <v>211</v>
      </c>
      <c r="B212" t="s">
        <v>221</v>
      </c>
      <c r="C212" t="s">
        <v>11</v>
      </c>
      <c r="D212">
        <v>70</v>
      </c>
      <c r="E212">
        <v>17</v>
      </c>
      <c r="F212">
        <v>65</v>
      </c>
      <c r="G212">
        <v>2</v>
      </c>
      <c r="H212" t="s">
        <v>12</v>
      </c>
      <c r="I212">
        <v>80</v>
      </c>
      <c r="J212" t="b">
        <v>1</v>
      </c>
    </row>
    <row r="213" spans="1:10" x14ac:dyDescent="0.3">
      <c r="A213">
        <v>212</v>
      </c>
      <c r="B213" t="s">
        <v>222</v>
      </c>
      <c r="C213" t="s">
        <v>14</v>
      </c>
      <c r="D213">
        <v>85</v>
      </c>
      <c r="E213">
        <v>12</v>
      </c>
      <c r="F213">
        <v>70</v>
      </c>
      <c r="G213">
        <v>1</v>
      </c>
      <c r="H213" t="s">
        <v>12</v>
      </c>
      <c r="I213">
        <v>72</v>
      </c>
      <c r="J213" t="b">
        <v>1</v>
      </c>
    </row>
    <row r="214" spans="1:10" x14ac:dyDescent="0.3">
      <c r="A214">
        <v>213</v>
      </c>
      <c r="B214" t="s">
        <v>223</v>
      </c>
      <c r="C214" t="s">
        <v>11</v>
      </c>
      <c r="D214">
        <v>85</v>
      </c>
      <c r="E214">
        <v>18</v>
      </c>
      <c r="F214">
        <v>65</v>
      </c>
      <c r="G214">
        <v>1</v>
      </c>
      <c r="H214" t="s">
        <v>17</v>
      </c>
      <c r="I214">
        <v>90</v>
      </c>
      <c r="J214" t="b">
        <v>1</v>
      </c>
    </row>
    <row r="215" spans="1:10" x14ac:dyDescent="0.3">
      <c r="A215">
        <v>214</v>
      </c>
      <c r="B215" t="s">
        <v>224</v>
      </c>
      <c r="C215" t="s">
        <v>14</v>
      </c>
      <c r="D215">
        <v>70</v>
      </c>
      <c r="E215">
        <v>12</v>
      </c>
      <c r="F215">
        <v>88</v>
      </c>
      <c r="G215">
        <v>2</v>
      </c>
      <c r="H215" t="s">
        <v>15</v>
      </c>
      <c r="I215">
        <v>87</v>
      </c>
      <c r="J215" t="b">
        <v>0</v>
      </c>
    </row>
    <row r="216" spans="1:10" x14ac:dyDescent="0.3">
      <c r="A216">
        <v>215</v>
      </c>
      <c r="B216" t="s">
        <v>225</v>
      </c>
      <c r="C216" t="s">
        <v>11</v>
      </c>
      <c r="D216">
        <v>85</v>
      </c>
      <c r="E216">
        <v>18</v>
      </c>
      <c r="F216">
        <v>60</v>
      </c>
      <c r="G216">
        <v>3</v>
      </c>
      <c r="H216" t="s">
        <v>15</v>
      </c>
      <c r="I216">
        <v>85</v>
      </c>
      <c r="J216" t="b">
        <v>1</v>
      </c>
    </row>
    <row r="217" spans="1:10" x14ac:dyDescent="0.3">
      <c r="A217">
        <v>216</v>
      </c>
      <c r="B217" t="s">
        <v>226</v>
      </c>
      <c r="C217" t="s">
        <v>14</v>
      </c>
      <c r="D217">
        <v>92</v>
      </c>
      <c r="E217">
        <v>15</v>
      </c>
      <c r="F217">
        <v>85</v>
      </c>
      <c r="G217">
        <v>1</v>
      </c>
      <c r="H217" t="s">
        <v>12</v>
      </c>
      <c r="I217">
        <v>68</v>
      </c>
      <c r="J217" t="b">
        <v>0</v>
      </c>
    </row>
    <row r="218" spans="1:10" x14ac:dyDescent="0.3">
      <c r="A218">
        <v>217</v>
      </c>
      <c r="B218" t="s">
        <v>227</v>
      </c>
      <c r="C218" t="s">
        <v>977</v>
      </c>
      <c r="D218">
        <v>95</v>
      </c>
      <c r="E218">
        <v>22</v>
      </c>
      <c r="F218">
        <v>90</v>
      </c>
      <c r="G218">
        <v>3</v>
      </c>
      <c r="H218" t="s">
        <v>12</v>
      </c>
      <c r="I218">
        <v>78</v>
      </c>
      <c r="J218" t="b">
        <v>0</v>
      </c>
    </row>
    <row r="219" spans="1:10" x14ac:dyDescent="0.3">
      <c r="A219">
        <v>218</v>
      </c>
      <c r="B219" t="s">
        <v>228</v>
      </c>
      <c r="C219" t="s">
        <v>14</v>
      </c>
      <c r="D219">
        <v>82</v>
      </c>
      <c r="E219">
        <v>25</v>
      </c>
      <c r="F219">
        <v>90</v>
      </c>
      <c r="G219">
        <v>3</v>
      </c>
      <c r="H219" t="s">
        <v>12</v>
      </c>
      <c r="I219">
        <v>72</v>
      </c>
      <c r="J219" t="b">
        <v>0</v>
      </c>
    </row>
    <row r="220" spans="1:10" x14ac:dyDescent="0.3">
      <c r="A220">
        <v>219</v>
      </c>
      <c r="B220" t="s">
        <v>229</v>
      </c>
      <c r="C220" t="s">
        <v>11</v>
      </c>
      <c r="D220">
        <v>85</v>
      </c>
      <c r="E220">
        <v>12</v>
      </c>
      <c r="F220">
        <v>70</v>
      </c>
      <c r="G220">
        <v>3</v>
      </c>
      <c r="H220" t="s">
        <v>17</v>
      </c>
      <c r="I220">
        <v>72</v>
      </c>
      <c r="J220" t="b">
        <v>0</v>
      </c>
    </row>
    <row r="221" spans="1:10" x14ac:dyDescent="0.3">
      <c r="A221">
        <v>220</v>
      </c>
      <c r="B221" t="s">
        <v>230</v>
      </c>
      <c r="C221" t="s">
        <v>11</v>
      </c>
      <c r="D221">
        <v>91</v>
      </c>
      <c r="E221">
        <v>17</v>
      </c>
      <c r="F221">
        <v>85</v>
      </c>
      <c r="G221">
        <v>2</v>
      </c>
      <c r="H221" t="s">
        <v>15</v>
      </c>
      <c r="I221">
        <v>80</v>
      </c>
      <c r="J221" t="b">
        <v>0</v>
      </c>
    </row>
    <row r="222" spans="1:10" x14ac:dyDescent="0.3">
      <c r="A222">
        <v>221</v>
      </c>
      <c r="B222" t="s">
        <v>231</v>
      </c>
      <c r="C222" t="s">
        <v>11</v>
      </c>
      <c r="D222">
        <v>82</v>
      </c>
      <c r="E222">
        <v>17</v>
      </c>
      <c r="F222">
        <v>82</v>
      </c>
      <c r="G222">
        <v>1</v>
      </c>
      <c r="H222" t="s">
        <v>15</v>
      </c>
      <c r="I222">
        <v>85</v>
      </c>
      <c r="J222" t="b">
        <v>1</v>
      </c>
    </row>
    <row r="223" spans="1:10" x14ac:dyDescent="0.3">
      <c r="A223">
        <v>222</v>
      </c>
      <c r="B223" t="s">
        <v>232</v>
      </c>
      <c r="C223" t="s">
        <v>11</v>
      </c>
      <c r="D223">
        <v>70</v>
      </c>
      <c r="E223">
        <v>30</v>
      </c>
      <c r="F223">
        <v>85</v>
      </c>
      <c r="G223">
        <v>2</v>
      </c>
      <c r="H223" t="s">
        <v>12</v>
      </c>
      <c r="I223">
        <v>80.030208333333334</v>
      </c>
      <c r="J223" t="b">
        <v>1</v>
      </c>
    </row>
    <row r="224" spans="1:10" x14ac:dyDescent="0.3">
      <c r="A224">
        <v>223</v>
      </c>
      <c r="B224" t="s">
        <v>233</v>
      </c>
      <c r="C224" t="s">
        <v>14</v>
      </c>
      <c r="D224">
        <v>78</v>
      </c>
      <c r="E224">
        <v>10</v>
      </c>
      <c r="F224">
        <v>60</v>
      </c>
      <c r="G224">
        <v>1</v>
      </c>
      <c r="H224" t="s">
        <v>15</v>
      </c>
      <c r="I224">
        <v>80.030208333333334</v>
      </c>
      <c r="J224" t="b">
        <v>0</v>
      </c>
    </row>
    <row r="225" spans="1:10" x14ac:dyDescent="0.3">
      <c r="A225">
        <v>224</v>
      </c>
      <c r="B225" t="s">
        <v>234</v>
      </c>
      <c r="C225" t="s">
        <v>11</v>
      </c>
      <c r="D225">
        <v>95</v>
      </c>
      <c r="E225">
        <v>20</v>
      </c>
      <c r="F225">
        <v>65</v>
      </c>
      <c r="G225">
        <v>2</v>
      </c>
      <c r="H225" t="s">
        <v>15</v>
      </c>
      <c r="I225">
        <v>72</v>
      </c>
      <c r="J225" t="b">
        <v>1</v>
      </c>
    </row>
    <row r="226" spans="1:10" x14ac:dyDescent="0.3">
      <c r="A226">
        <v>225</v>
      </c>
      <c r="B226" t="s">
        <v>235</v>
      </c>
      <c r="C226" t="s">
        <v>14</v>
      </c>
      <c r="D226">
        <v>85</v>
      </c>
      <c r="E226">
        <v>12</v>
      </c>
      <c r="F226">
        <v>60</v>
      </c>
      <c r="G226">
        <v>2</v>
      </c>
      <c r="H226" t="s">
        <v>15</v>
      </c>
      <c r="I226">
        <v>92</v>
      </c>
      <c r="J226" t="b">
        <v>1</v>
      </c>
    </row>
    <row r="227" spans="1:10" x14ac:dyDescent="0.3">
      <c r="A227">
        <v>226</v>
      </c>
      <c r="B227" t="s">
        <v>236</v>
      </c>
      <c r="C227" t="s">
        <v>11</v>
      </c>
      <c r="D227">
        <v>90</v>
      </c>
      <c r="E227">
        <v>15</v>
      </c>
      <c r="F227">
        <v>60</v>
      </c>
      <c r="G227">
        <v>3</v>
      </c>
      <c r="H227" t="s">
        <v>12</v>
      </c>
      <c r="I227">
        <v>80.030208333333334</v>
      </c>
      <c r="J227" t="b">
        <v>1</v>
      </c>
    </row>
    <row r="228" spans="1:10" x14ac:dyDescent="0.3">
      <c r="A228">
        <v>227</v>
      </c>
      <c r="B228" t="s">
        <v>237</v>
      </c>
      <c r="C228" t="s">
        <v>11</v>
      </c>
      <c r="D228">
        <v>92</v>
      </c>
      <c r="E228">
        <v>15</v>
      </c>
      <c r="F228">
        <v>60</v>
      </c>
      <c r="G228">
        <v>1</v>
      </c>
      <c r="H228" t="s">
        <v>12</v>
      </c>
      <c r="I228">
        <v>72</v>
      </c>
      <c r="J228" t="b">
        <v>1</v>
      </c>
    </row>
    <row r="229" spans="1:10" x14ac:dyDescent="0.3">
      <c r="A229">
        <v>228</v>
      </c>
      <c r="B229" t="s">
        <v>238</v>
      </c>
      <c r="C229" t="s">
        <v>14</v>
      </c>
      <c r="D229">
        <v>92</v>
      </c>
      <c r="E229">
        <v>22</v>
      </c>
      <c r="F229">
        <v>77.598759048603924</v>
      </c>
      <c r="G229">
        <v>3</v>
      </c>
      <c r="H229" t="s">
        <v>17</v>
      </c>
      <c r="I229">
        <v>90</v>
      </c>
      <c r="J229" t="b">
        <v>1</v>
      </c>
    </row>
    <row r="230" spans="1:10" x14ac:dyDescent="0.3">
      <c r="A230">
        <v>229</v>
      </c>
      <c r="B230" t="s">
        <v>239</v>
      </c>
      <c r="C230" t="s">
        <v>977</v>
      </c>
      <c r="D230">
        <v>88</v>
      </c>
      <c r="E230">
        <v>15</v>
      </c>
      <c r="F230">
        <v>70</v>
      </c>
      <c r="G230">
        <v>3</v>
      </c>
      <c r="H230" t="s">
        <v>17</v>
      </c>
      <c r="I230">
        <v>68</v>
      </c>
      <c r="J230" t="b">
        <v>0</v>
      </c>
    </row>
    <row r="231" spans="1:10" x14ac:dyDescent="0.3">
      <c r="A231">
        <v>230</v>
      </c>
      <c r="B231" t="s">
        <v>240</v>
      </c>
      <c r="C231" t="s">
        <v>14</v>
      </c>
      <c r="D231">
        <v>85.510416666666671</v>
      </c>
      <c r="E231">
        <v>12</v>
      </c>
      <c r="F231">
        <v>88</v>
      </c>
      <c r="G231">
        <v>0</v>
      </c>
      <c r="H231" t="s">
        <v>15</v>
      </c>
      <c r="I231">
        <v>68</v>
      </c>
      <c r="J231" t="b">
        <v>0</v>
      </c>
    </row>
    <row r="232" spans="1:10" x14ac:dyDescent="0.3">
      <c r="A232">
        <v>231</v>
      </c>
      <c r="B232" t="s">
        <v>241</v>
      </c>
      <c r="C232" t="s">
        <v>11</v>
      </c>
      <c r="D232">
        <v>88</v>
      </c>
      <c r="E232">
        <v>10</v>
      </c>
      <c r="F232">
        <v>77</v>
      </c>
      <c r="G232">
        <v>1</v>
      </c>
      <c r="H232" t="s">
        <v>17</v>
      </c>
      <c r="I232">
        <v>62</v>
      </c>
      <c r="J232" t="b">
        <v>1</v>
      </c>
    </row>
    <row r="233" spans="1:10" x14ac:dyDescent="0.3">
      <c r="A233">
        <v>232</v>
      </c>
      <c r="B233" t="s">
        <v>242</v>
      </c>
      <c r="C233" t="s">
        <v>11</v>
      </c>
      <c r="D233">
        <v>88</v>
      </c>
      <c r="E233">
        <v>25</v>
      </c>
      <c r="F233">
        <v>88</v>
      </c>
      <c r="G233">
        <v>2</v>
      </c>
      <c r="H233" t="s">
        <v>15</v>
      </c>
      <c r="I233">
        <v>90</v>
      </c>
      <c r="J233" t="b">
        <v>1</v>
      </c>
    </row>
    <row r="234" spans="1:10" x14ac:dyDescent="0.3">
      <c r="A234">
        <v>233</v>
      </c>
      <c r="B234" t="s">
        <v>243</v>
      </c>
      <c r="C234" t="s">
        <v>14</v>
      </c>
      <c r="D234">
        <v>70</v>
      </c>
      <c r="E234">
        <v>22</v>
      </c>
      <c r="F234">
        <v>86</v>
      </c>
      <c r="G234">
        <v>1</v>
      </c>
      <c r="H234" t="s">
        <v>12</v>
      </c>
      <c r="I234">
        <v>92</v>
      </c>
      <c r="J234" t="b">
        <v>1</v>
      </c>
    </row>
    <row r="235" spans="1:10" x14ac:dyDescent="0.3">
      <c r="A235">
        <v>234</v>
      </c>
      <c r="B235" t="s">
        <v>244</v>
      </c>
      <c r="C235" t="s">
        <v>11</v>
      </c>
      <c r="D235">
        <v>95</v>
      </c>
      <c r="E235">
        <v>18</v>
      </c>
      <c r="F235">
        <v>78</v>
      </c>
      <c r="G235">
        <v>3</v>
      </c>
      <c r="H235" t="s">
        <v>12</v>
      </c>
      <c r="I235">
        <v>87</v>
      </c>
      <c r="J235" t="b">
        <v>0</v>
      </c>
    </row>
    <row r="236" spans="1:10" x14ac:dyDescent="0.3">
      <c r="A236">
        <v>235</v>
      </c>
      <c r="B236" t="s">
        <v>245</v>
      </c>
      <c r="C236" t="s">
        <v>11</v>
      </c>
      <c r="D236">
        <v>70</v>
      </c>
      <c r="E236">
        <v>25</v>
      </c>
      <c r="F236">
        <v>70</v>
      </c>
      <c r="G236">
        <v>1</v>
      </c>
      <c r="H236" t="s">
        <v>15</v>
      </c>
      <c r="I236">
        <v>62</v>
      </c>
      <c r="J236" t="b">
        <v>0</v>
      </c>
    </row>
    <row r="237" spans="1:10" x14ac:dyDescent="0.3">
      <c r="A237">
        <v>236</v>
      </c>
      <c r="B237" t="s">
        <v>246</v>
      </c>
      <c r="C237" t="s">
        <v>14</v>
      </c>
      <c r="D237">
        <v>95</v>
      </c>
      <c r="E237">
        <v>12</v>
      </c>
      <c r="F237">
        <v>77</v>
      </c>
      <c r="G237">
        <v>1</v>
      </c>
      <c r="H237" t="s">
        <v>12</v>
      </c>
      <c r="I237">
        <v>78</v>
      </c>
      <c r="J237" t="b">
        <v>1</v>
      </c>
    </row>
    <row r="238" spans="1:10" x14ac:dyDescent="0.3">
      <c r="A238">
        <v>237</v>
      </c>
      <c r="B238" t="s">
        <v>247</v>
      </c>
      <c r="C238" t="s">
        <v>14</v>
      </c>
      <c r="D238">
        <v>70</v>
      </c>
      <c r="E238">
        <v>17.630526315789474</v>
      </c>
      <c r="F238">
        <v>86</v>
      </c>
      <c r="G238">
        <v>3</v>
      </c>
      <c r="H238" t="s">
        <v>17</v>
      </c>
      <c r="I238">
        <v>68</v>
      </c>
      <c r="J238" t="b">
        <v>0</v>
      </c>
    </row>
    <row r="239" spans="1:10" x14ac:dyDescent="0.3">
      <c r="A239">
        <v>238</v>
      </c>
      <c r="B239" t="s">
        <v>248</v>
      </c>
      <c r="C239" t="s">
        <v>11</v>
      </c>
      <c r="D239">
        <v>92</v>
      </c>
      <c r="E239">
        <v>30</v>
      </c>
      <c r="F239">
        <v>90</v>
      </c>
      <c r="G239">
        <v>0</v>
      </c>
      <c r="H239" t="s">
        <v>17</v>
      </c>
      <c r="I239">
        <v>92</v>
      </c>
      <c r="J239" t="b">
        <v>0</v>
      </c>
    </row>
    <row r="240" spans="1:10" x14ac:dyDescent="0.3">
      <c r="A240">
        <v>239</v>
      </c>
      <c r="B240" t="s">
        <v>249</v>
      </c>
      <c r="C240" t="s">
        <v>14</v>
      </c>
      <c r="D240">
        <v>85</v>
      </c>
      <c r="E240">
        <v>17</v>
      </c>
      <c r="F240">
        <v>65</v>
      </c>
      <c r="G240">
        <v>1</v>
      </c>
      <c r="H240" t="s">
        <v>12</v>
      </c>
      <c r="I240">
        <v>68</v>
      </c>
      <c r="J240" t="b">
        <v>1</v>
      </c>
    </row>
    <row r="241" spans="1:10" x14ac:dyDescent="0.3">
      <c r="A241">
        <v>240</v>
      </c>
      <c r="B241" t="s">
        <v>250</v>
      </c>
      <c r="C241" t="s">
        <v>11</v>
      </c>
      <c r="D241">
        <v>82</v>
      </c>
      <c r="E241">
        <v>15</v>
      </c>
      <c r="F241">
        <v>85</v>
      </c>
      <c r="G241">
        <v>1</v>
      </c>
      <c r="H241" t="s">
        <v>12</v>
      </c>
      <c r="I241">
        <v>62</v>
      </c>
      <c r="J241" t="b">
        <v>1</v>
      </c>
    </row>
    <row r="242" spans="1:10" x14ac:dyDescent="0.3">
      <c r="A242">
        <v>241</v>
      </c>
      <c r="B242" t="s">
        <v>251</v>
      </c>
      <c r="C242" t="s">
        <v>11</v>
      </c>
      <c r="D242">
        <v>85</v>
      </c>
      <c r="E242">
        <v>25</v>
      </c>
      <c r="F242">
        <v>70</v>
      </c>
      <c r="G242">
        <v>1</v>
      </c>
      <c r="H242" t="s">
        <v>15</v>
      </c>
      <c r="I242">
        <v>80</v>
      </c>
      <c r="J242" t="b">
        <v>0</v>
      </c>
    </row>
    <row r="243" spans="1:10" x14ac:dyDescent="0.3">
      <c r="A243">
        <v>242</v>
      </c>
      <c r="B243" t="s">
        <v>252</v>
      </c>
      <c r="C243" t="s">
        <v>11</v>
      </c>
      <c r="D243">
        <v>85</v>
      </c>
      <c r="E243">
        <v>12</v>
      </c>
      <c r="F243">
        <v>70</v>
      </c>
      <c r="G243">
        <v>0</v>
      </c>
      <c r="H243" t="s">
        <v>12</v>
      </c>
      <c r="I243">
        <v>80</v>
      </c>
      <c r="J243" t="b">
        <v>0</v>
      </c>
    </row>
    <row r="244" spans="1:10" x14ac:dyDescent="0.3">
      <c r="A244">
        <v>243</v>
      </c>
      <c r="B244" t="s">
        <v>253</v>
      </c>
      <c r="C244" t="s">
        <v>14</v>
      </c>
      <c r="D244">
        <v>78</v>
      </c>
      <c r="E244">
        <v>20</v>
      </c>
      <c r="F244">
        <v>85</v>
      </c>
      <c r="G244">
        <v>2</v>
      </c>
      <c r="H244" t="s">
        <v>12</v>
      </c>
      <c r="I244">
        <v>92</v>
      </c>
      <c r="J244" t="b">
        <v>0</v>
      </c>
    </row>
    <row r="245" spans="1:10" x14ac:dyDescent="0.3">
      <c r="A245">
        <v>244</v>
      </c>
      <c r="B245" t="s">
        <v>254</v>
      </c>
      <c r="C245" t="s">
        <v>14</v>
      </c>
      <c r="D245">
        <v>70</v>
      </c>
      <c r="E245">
        <v>20</v>
      </c>
      <c r="F245">
        <v>88</v>
      </c>
      <c r="G245">
        <v>0</v>
      </c>
      <c r="H245" t="s">
        <v>15</v>
      </c>
      <c r="I245">
        <v>88</v>
      </c>
      <c r="J245" t="b">
        <v>1</v>
      </c>
    </row>
    <row r="246" spans="1:10" x14ac:dyDescent="0.3">
      <c r="A246">
        <v>245</v>
      </c>
      <c r="B246" t="s">
        <v>255</v>
      </c>
      <c r="C246" t="s">
        <v>11</v>
      </c>
      <c r="D246">
        <v>85</v>
      </c>
      <c r="E246">
        <v>20</v>
      </c>
      <c r="F246">
        <v>60</v>
      </c>
      <c r="G246">
        <v>0</v>
      </c>
      <c r="H246" t="s">
        <v>15</v>
      </c>
      <c r="I246">
        <v>72</v>
      </c>
      <c r="J246" t="b">
        <v>1</v>
      </c>
    </row>
    <row r="247" spans="1:10" x14ac:dyDescent="0.3">
      <c r="A247">
        <v>246</v>
      </c>
      <c r="B247" t="s">
        <v>256</v>
      </c>
      <c r="C247" t="s">
        <v>11</v>
      </c>
      <c r="D247">
        <v>85</v>
      </c>
      <c r="E247">
        <v>8</v>
      </c>
      <c r="F247">
        <v>77.598759048603924</v>
      </c>
      <c r="G247">
        <v>3</v>
      </c>
      <c r="H247" t="s">
        <v>12</v>
      </c>
      <c r="I247">
        <v>72</v>
      </c>
      <c r="J247" t="b">
        <v>1</v>
      </c>
    </row>
    <row r="248" spans="1:10" x14ac:dyDescent="0.3">
      <c r="A248">
        <v>247</v>
      </c>
      <c r="B248" t="s">
        <v>257</v>
      </c>
      <c r="C248" t="s">
        <v>14</v>
      </c>
      <c r="D248">
        <v>85</v>
      </c>
      <c r="E248">
        <v>20</v>
      </c>
      <c r="F248">
        <v>82</v>
      </c>
      <c r="G248">
        <v>2</v>
      </c>
      <c r="H248" t="s">
        <v>17</v>
      </c>
      <c r="I248">
        <v>80</v>
      </c>
      <c r="J248" t="b">
        <v>1</v>
      </c>
    </row>
    <row r="249" spans="1:10" x14ac:dyDescent="0.3">
      <c r="A249">
        <v>248</v>
      </c>
      <c r="B249" t="s">
        <v>258</v>
      </c>
      <c r="C249" t="s">
        <v>11</v>
      </c>
      <c r="D249">
        <v>85.510416666666671</v>
      </c>
      <c r="E249">
        <v>17.630526315789474</v>
      </c>
      <c r="F249">
        <v>82</v>
      </c>
      <c r="G249">
        <v>0</v>
      </c>
      <c r="H249" t="s">
        <v>17</v>
      </c>
      <c r="I249">
        <v>92</v>
      </c>
      <c r="J249" t="b">
        <v>0</v>
      </c>
    </row>
    <row r="250" spans="1:10" x14ac:dyDescent="0.3">
      <c r="A250">
        <v>249</v>
      </c>
      <c r="B250" t="s">
        <v>259</v>
      </c>
      <c r="C250" t="s">
        <v>11</v>
      </c>
      <c r="D250">
        <v>90</v>
      </c>
      <c r="E250">
        <v>12</v>
      </c>
      <c r="F250">
        <v>88</v>
      </c>
      <c r="G250">
        <v>1</v>
      </c>
      <c r="H250" t="s">
        <v>12</v>
      </c>
      <c r="I250">
        <v>62</v>
      </c>
      <c r="J250" t="b">
        <v>0</v>
      </c>
    </row>
    <row r="251" spans="1:10" x14ac:dyDescent="0.3">
      <c r="A251">
        <v>250</v>
      </c>
      <c r="B251" t="s">
        <v>260</v>
      </c>
      <c r="C251" t="s">
        <v>14</v>
      </c>
      <c r="D251">
        <v>85</v>
      </c>
      <c r="E251">
        <v>18</v>
      </c>
      <c r="F251">
        <v>77</v>
      </c>
      <c r="G251">
        <v>1</v>
      </c>
      <c r="H251" t="s">
        <v>12</v>
      </c>
      <c r="I251">
        <v>90</v>
      </c>
      <c r="J251" t="b">
        <v>0</v>
      </c>
    </row>
    <row r="252" spans="1:10" x14ac:dyDescent="0.3">
      <c r="A252">
        <v>251</v>
      </c>
      <c r="B252" t="s">
        <v>261</v>
      </c>
      <c r="C252" t="s">
        <v>14</v>
      </c>
      <c r="D252">
        <v>90</v>
      </c>
      <c r="E252">
        <v>22</v>
      </c>
      <c r="F252">
        <v>82</v>
      </c>
      <c r="G252">
        <v>3</v>
      </c>
      <c r="H252" t="s">
        <v>17</v>
      </c>
      <c r="I252">
        <v>87</v>
      </c>
      <c r="J252" t="b">
        <v>0</v>
      </c>
    </row>
    <row r="253" spans="1:10" x14ac:dyDescent="0.3">
      <c r="A253">
        <v>252</v>
      </c>
      <c r="B253" t="s">
        <v>262</v>
      </c>
      <c r="C253" t="s">
        <v>14</v>
      </c>
      <c r="D253">
        <v>95</v>
      </c>
      <c r="E253">
        <v>30</v>
      </c>
      <c r="F253">
        <v>77.598759048603924</v>
      </c>
      <c r="G253">
        <v>2</v>
      </c>
      <c r="H253" t="s">
        <v>12</v>
      </c>
      <c r="I253">
        <v>85</v>
      </c>
      <c r="J253" t="b">
        <v>0</v>
      </c>
    </row>
    <row r="254" spans="1:10" x14ac:dyDescent="0.3">
      <c r="A254">
        <v>253</v>
      </c>
      <c r="B254" t="s">
        <v>263</v>
      </c>
      <c r="C254" t="s">
        <v>11</v>
      </c>
      <c r="D254">
        <v>90</v>
      </c>
      <c r="E254">
        <v>10</v>
      </c>
      <c r="F254">
        <v>60</v>
      </c>
      <c r="G254">
        <v>1</v>
      </c>
      <c r="H254" t="s">
        <v>17</v>
      </c>
      <c r="I254">
        <v>72</v>
      </c>
      <c r="J254" t="b">
        <v>1</v>
      </c>
    </row>
    <row r="255" spans="1:10" x14ac:dyDescent="0.3">
      <c r="A255">
        <v>254</v>
      </c>
      <c r="B255" t="s">
        <v>264</v>
      </c>
      <c r="C255" t="s">
        <v>14</v>
      </c>
      <c r="D255">
        <v>82</v>
      </c>
      <c r="E255">
        <v>20</v>
      </c>
      <c r="F255">
        <v>86</v>
      </c>
      <c r="G255">
        <v>3</v>
      </c>
      <c r="H255" t="s">
        <v>15</v>
      </c>
      <c r="I255">
        <v>62</v>
      </c>
      <c r="J255" t="b">
        <v>0</v>
      </c>
    </row>
    <row r="256" spans="1:10" x14ac:dyDescent="0.3">
      <c r="A256">
        <v>255</v>
      </c>
      <c r="B256" t="s">
        <v>265</v>
      </c>
      <c r="C256" t="s">
        <v>11</v>
      </c>
      <c r="D256">
        <v>91</v>
      </c>
      <c r="E256">
        <v>12</v>
      </c>
      <c r="F256">
        <v>65</v>
      </c>
      <c r="G256">
        <v>0</v>
      </c>
      <c r="H256" t="s">
        <v>12</v>
      </c>
      <c r="I256">
        <v>68</v>
      </c>
      <c r="J256" t="b">
        <v>0</v>
      </c>
    </row>
    <row r="257" spans="1:10" x14ac:dyDescent="0.3">
      <c r="A257">
        <v>256</v>
      </c>
      <c r="B257" t="s">
        <v>266</v>
      </c>
      <c r="C257" t="s">
        <v>11</v>
      </c>
      <c r="D257">
        <v>78</v>
      </c>
      <c r="E257">
        <v>8</v>
      </c>
      <c r="F257">
        <v>82</v>
      </c>
      <c r="G257">
        <v>0</v>
      </c>
      <c r="H257" t="s">
        <v>15</v>
      </c>
      <c r="I257">
        <v>78</v>
      </c>
      <c r="J257" t="b">
        <v>0</v>
      </c>
    </row>
    <row r="258" spans="1:10" x14ac:dyDescent="0.3">
      <c r="A258">
        <v>257</v>
      </c>
      <c r="B258" t="s">
        <v>267</v>
      </c>
      <c r="C258" t="s">
        <v>14</v>
      </c>
      <c r="D258">
        <v>91</v>
      </c>
      <c r="E258">
        <v>22</v>
      </c>
      <c r="F258">
        <v>90</v>
      </c>
      <c r="G258">
        <v>1</v>
      </c>
      <c r="H258" t="s">
        <v>12</v>
      </c>
      <c r="I258">
        <v>68</v>
      </c>
      <c r="J258" t="b">
        <v>0</v>
      </c>
    </row>
    <row r="259" spans="1:10" x14ac:dyDescent="0.3">
      <c r="A259">
        <v>258</v>
      </c>
      <c r="B259" t="s">
        <v>268</v>
      </c>
      <c r="C259" t="s">
        <v>14</v>
      </c>
      <c r="D259">
        <v>85</v>
      </c>
      <c r="E259">
        <v>30</v>
      </c>
      <c r="F259">
        <v>60</v>
      </c>
      <c r="G259">
        <v>3</v>
      </c>
      <c r="H259" t="s">
        <v>12</v>
      </c>
      <c r="I259">
        <v>85</v>
      </c>
      <c r="J259" t="b">
        <v>1</v>
      </c>
    </row>
    <row r="260" spans="1:10" x14ac:dyDescent="0.3">
      <c r="A260">
        <v>259</v>
      </c>
      <c r="B260" t="s">
        <v>269</v>
      </c>
      <c r="C260" t="s">
        <v>14</v>
      </c>
      <c r="D260">
        <v>78</v>
      </c>
      <c r="E260">
        <v>8</v>
      </c>
      <c r="F260">
        <v>88</v>
      </c>
      <c r="G260">
        <v>2</v>
      </c>
      <c r="H260" t="s">
        <v>17</v>
      </c>
      <c r="I260">
        <v>78</v>
      </c>
      <c r="J260" t="b">
        <v>1</v>
      </c>
    </row>
    <row r="261" spans="1:10" x14ac:dyDescent="0.3">
      <c r="A261">
        <v>260</v>
      </c>
      <c r="B261" t="s">
        <v>270</v>
      </c>
      <c r="C261" t="s">
        <v>14</v>
      </c>
      <c r="D261">
        <v>88</v>
      </c>
      <c r="E261">
        <v>8</v>
      </c>
      <c r="F261">
        <v>88</v>
      </c>
      <c r="G261">
        <v>2</v>
      </c>
      <c r="H261" t="s">
        <v>17</v>
      </c>
      <c r="I261">
        <v>92</v>
      </c>
      <c r="J261" t="b">
        <v>1</v>
      </c>
    </row>
    <row r="262" spans="1:10" x14ac:dyDescent="0.3">
      <c r="A262">
        <v>261</v>
      </c>
      <c r="B262" t="s">
        <v>271</v>
      </c>
      <c r="C262" t="s">
        <v>14</v>
      </c>
      <c r="D262">
        <v>92</v>
      </c>
      <c r="E262">
        <v>17</v>
      </c>
      <c r="F262">
        <v>82</v>
      </c>
      <c r="G262">
        <v>2</v>
      </c>
      <c r="H262" t="s">
        <v>15</v>
      </c>
      <c r="I262">
        <v>80.030208333333334</v>
      </c>
      <c r="J262" t="b">
        <v>1</v>
      </c>
    </row>
    <row r="263" spans="1:10" x14ac:dyDescent="0.3">
      <c r="A263">
        <v>262</v>
      </c>
      <c r="B263" t="s">
        <v>272</v>
      </c>
      <c r="C263" t="s">
        <v>11</v>
      </c>
      <c r="D263">
        <v>70</v>
      </c>
      <c r="E263">
        <v>8</v>
      </c>
      <c r="F263">
        <v>85</v>
      </c>
      <c r="G263">
        <v>1</v>
      </c>
      <c r="H263" t="s">
        <v>17</v>
      </c>
      <c r="I263">
        <v>78</v>
      </c>
      <c r="J263" t="b">
        <v>0</v>
      </c>
    </row>
    <row r="264" spans="1:10" x14ac:dyDescent="0.3">
      <c r="A264">
        <v>263</v>
      </c>
      <c r="B264" t="s">
        <v>273</v>
      </c>
      <c r="C264" t="s">
        <v>11</v>
      </c>
      <c r="D264">
        <v>95</v>
      </c>
      <c r="E264">
        <v>12</v>
      </c>
      <c r="F264">
        <v>86</v>
      </c>
      <c r="G264">
        <v>2</v>
      </c>
      <c r="H264" t="s">
        <v>12</v>
      </c>
      <c r="I264">
        <v>92</v>
      </c>
      <c r="J264" t="b">
        <v>1</v>
      </c>
    </row>
    <row r="265" spans="1:10" x14ac:dyDescent="0.3">
      <c r="A265">
        <v>264</v>
      </c>
      <c r="B265" t="s">
        <v>274</v>
      </c>
      <c r="C265" t="s">
        <v>14</v>
      </c>
      <c r="D265">
        <v>95</v>
      </c>
      <c r="E265">
        <v>8</v>
      </c>
      <c r="F265">
        <v>85</v>
      </c>
      <c r="G265">
        <v>1</v>
      </c>
      <c r="H265" t="s">
        <v>12</v>
      </c>
      <c r="I265">
        <v>85</v>
      </c>
      <c r="J265" t="b">
        <v>1</v>
      </c>
    </row>
    <row r="266" spans="1:10" x14ac:dyDescent="0.3">
      <c r="A266">
        <v>265</v>
      </c>
      <c r="B266" t="s">
        <v>275</v>
      </c>
      <c r="C266" t="s">
        <v>14</v>
      </c>
      <c r="D266">
        <v>70</v>
      </c>
      <c r="E266">
        <v>17</v>
      </c>
      <c r="F266">
        <v>86</v>
      </c>
      <c r="G266">
        <v>2</v>
      </c>
      <c r="H266" t="s">
        <v>12</v>
      </c>
      <c r="I266">
        <v>90</v>
      </c>
      <c r="J266" t="b">
        <v>1</v>
      </c>
    </row>
    <row r="267" spans="1:10" x14ac:dyDescent="0.3">
      <c r="A267">
        <v>266</v>
      </c>
      <c r="B267" t="s">
        <v>276</v>
      </c>
      <c r="C267" t="s">
        <v>14</v>
      </c>
      <c r="D267">
        <v>90</v>
      </c>
      <c r="E267">
        <v>20</v>
      </c>
      <c r="F267">
        <v>65</v>
      </c>
      <c r="G267">
        <v>1</v>
      </c>
      <c r="H267" t="s">
        <v>15</v>
      </c>
      <c r="I267">
        <v>90</v>
      </c>
      <c r="J267" t="b">
        <v>0</v>
      </c>
    </row>
    <row r="268" spans="1:10" x14ac:dyDescent="0.3">
      <c r="A268">
        <v>267</v>
      </c>
      <c r="B268" t="s">
        <v>277</v>
      </c>
      <c r="C268" t="s">
        <v>14</v>
      </c>
      <c r="D268">
        <v>90</v>
      </c>
      <c r="E268">
        <v>17.630526315789474</v>
      </c>
      <c r="F268">
        <v>77</v>
      </c>
      <c r="G268">
        <v>1</v>
      </c>
      <c r="H268" t="s">
        <v>12</v>
      </c>
      <c r="I268">
        <v>85</v>
      </c>
      <c r="J268" t="b">
        <v>1</v>
      </c>
    </row>
    <row r="269" spans="1:10" x14ac:dyDescent="0.3">
      <c r="A269">
        <v>268</v>
      </c>
      <c r="B269" t="s">
        <v>278</v>
      </c>
      <c r="C269" t="s">
        <v>14</v>
      </c>
      <c r="D269">
        <v>90</v>
      </c>
      <c r="E269">
        <v>10</v>
      </c>
      <c r="F269">
        <v>90</v>
      </c>
      <c r="G269">
        <v>2</v>
      </c>
      <c r="H269" t="s">
        <v>12</v>
      </c>
      <c r="I269">
        <v>72</v>
      </c>
      <c r="J269" t="b">
        <v>0</v>
      </c>
    </row>
    <row r="270" spans="1:10" x14ac:dyDescent="0.3">
      <c r="A270">
        <v>269</v>
      </c>
      <c r="B270" t="s">
        <v>279</v>
      </c>
      <c r="C270" t="s">
        <v>11</v>
      </c>
      <c r="D270">
        <v>70</v>
      </c>
      <c r="E270">
        <v>10</v>
      </c>
      <c r="F270">
        <v>65</v>
      </c>
      <c r="G270">
        <v>1</v>
      </c>
      <c r="H270" t="s">
        <v>15</v>
      </c>
      <c r="I270">
        <v>80</v>
      </c>
      <c r="J270" t="b">
        <v>0</v>
      </c>
    </row>
    <row r="271" spans="1:10" x14ac:dyDescent="0.3">
      <c r="A271">
        <v>270</v>
      </c>
      <c r="B271" t="s">
        <v>280</v>
      </c>
      <c r="C271" t="s">
        <v>14</v>
      </c>
      <c r="D271">
        <v>85</v>
      </c>
      <c r="E271">
        <v>25</v>
      </c>
      <c r="F271">
        <v>90</v>
      </c>
      <c r="G271">
        <v>2</v>
      </c>
      <c r="H271" t="s">
        <v>17</v>
      </c>
      <c r="I271">
        <v>87</v>
      </c>
      <c r="J271" t="b">
        <v>1</v>
      </c>
    </row>
    <row r="272" spans="1:10" x14ac:dyDescent="0.3">
      <c r="A272">
        <v>271</v>
      </c>
      <c r="B272" t="s">
        <v>281</v>
      </c>
      <c r="C272" t="s">
        <v>14</v>
      </c>
      <c r="D272">
        <v>85.510416666666671</v>
      </c>
      <c r="E272">
        <v>17</v>
      </c>
      <c r="F272">
        <v>85</v>
      </c>
      <c r="G272">
        <v>2</v>
      </c>
      <c r="H272" t="s">
        <v>17</v>
      </c>
      <c r="I272">
        <v>78</v>
      </c>
      <c r="J272" t="b">
        <v>0</v>
      </c>
    </row>
    <row r="273" spans="1:10" x14ac:dyDescent="0.3">
      <c r="A273">
        <v>272</v>
      </c>
      <c r="B273" t="s">
        <v>282</v>
      </c>
      <c r="C273" t="s">
        <v>14</v>
      </c>
      <c r="D273">
        <v>91</v>
      </c>
      <c r="E273">
        <v>20</v>
      </c>
      <c r="F273">
        <v>88</v>
      </c>
      <c r="G273">
        <v>1</v>
      </c>
      <c r="H273" t="s">
        <v>15</v>
      </c>
      <c r="I273">
        <v>88</v>
      </c>
      <c r="J273" t="b">
        <v>0</v>
      </c>
    </row>
    <row r="274" spans="1:10" x14ac:dyDescent="0.3">
      <c r="A274">
        <v>273</v>
      </c>
      <c r="B274" t="s">
        <v>283</v>
      </c>
      <c r="C274" t="s">
        <v>11</v>
      </c>
      <c r="D274">
        <v>95</v>
      </c>
      <c r="E274">
        <v>20</v>
      </c>
      <c r="F274">
        <v>90</v>
      </c>
      <c r="G274">
        <v>2</v>
      </c>
      <c r="H274" t="s">
        <v>12</v>
      </c>
      <c r="I274">
        <v>68</v>
      </c>
      <c r="J274" t="b">
        <v>0</v>
      </c>
    </row>
    <row r="275" spans="1:10" x14ac:dyDescent="0.3">
      <c r="A275">
        <v>274</v>
      </c>
      <c r="B275" t="s">
        <v>284</v>
      </c>
      <c r="C275" t="s">
        <v>11</v>
      </c>
      <c r="D275">
        <v>91</v>
      </c>
      <c r="E275">
        <v>8</v>
      </c>
      <c r="F275">
        <v>60</v>
      </c>
      <c r="G275">
        <v>0</v>
      </c>
      <c r="H275" t="s">
        <v>15</v>
      </c>
      <c r="I275">
        <v>72</v>
      </c>
      <c r="J275" t="b">
        <v>1</v>
      </c>
    </row>
    <row r="276" spans="1:10" x14ac:dyDescent="0.3">
      <c r="A276">
        <v>275</v>
      </c>
      <c r="B276" t="s">
        <v>285</v>
      </c>
      <c r="C276" t="s">
        <v>14</v>
      </c>
      <c r="D276">
        <v>85.510416666666671</v>
      </c>
      <c r="E276">
        <v>10</v>
      </c>
      <c r="F276">
        <v>65</v>
      </c>
      <c r="G276">
        <v>1</v>
      </c>
      <c r="H276" t="s">
        <v>15</v>
      </c>
      <c r="I276">
        <v>88</v>
      </c>
      <c r="J276" t="b">
        <v>1</v>
      </c>
    </row>
    <row r="277" spans="1:10" x14ac:dyDescent="0.3">
      <c r="A277">
        <v>276</v>
      </c>
      <c r="B277" t="s">
        <v>286</v>
      </c>
      <c r="C277" t="s">
        <v>11</v>
      </c>
      <c r="D277">
        <v>92</v>
      </c>
      <c r="E277">
        <v>8</v>
      </c>
      <c r="F277">
        <v>70</v>
      </c>
      <c r="G277">
        <v>2</v>
      </c>
      <c r="H277" t="s">
        <v>17</v>
      </c>
      <c r="I277">
        <v>78</v>
      </c>
      <c r="J277" t="b">
        <v>0</v>
      </c>
    </row>
    <row r="278" spans="1:10" x14ac:dyDescent="0.3">
      <c r="A278">
        <v>277</v>
      </c>
      <c r="B278" t="s">
        <v>287</v>
      </c>
      <c r="C278" t="s">
        <v>14</v>
      </c>
      <c r="D278">
        <v>78</v>
      </c>
      <c r="E278">
        <v>20</v>
      </c>
      <c r="F278">
        <v>86</v>
      </c>
      <c r="G278">
        <v>1</v>
      </c>
      <c r="H278" t="s">
        <v>12</v>
      </c>
      <c r="I278">
        <v>85</v>
      </c>
      <c r="J278" t="b">
        <v>0</v>
      </c>
    </row>
    <row r="279" spans="1:10" x14ac:dyDescent="0.3">
      <c r="A279">
        <v>278</v>
      </c>
      <c r="B279" t="s">
        <v>288</v>
      </c>
      <c r="C279" t="s">
        <v>14</v>
      </c>
      <c r="D279">
        <v>91</v>
      </c>
      <c r="E279">
        <v>17</v>
      </c>
      <c r="F279">
        <v>70</v>
      </c>
      <c r="G279">
        <v>2</v>
      </c>
      <c r="H279" t="s">
        <v>12</v>
      </c>
      <c r="I279">
        <v>88</v>
      </c>
      <c r="J279" t="b">
        <v>0</v>
      </c>
    </row>
    <row r="280" spans="1:10" x14ac:dyDescent="0.3">
      <c r="A280">
        <v>279</v>
      </c>
      <c r="B280" t="s">
        <v>289</v>
      </c>
      <c r="C280" t="s">
        <v>11</v>
      </c>
      <c r="D280">
        <v>85</v>
      </c>
      <c r="E280">
        <v>12</v>
      </c>
      <c r="F280">
        <v>90</v>
      </c>
      <c r="G280">
        <v>0</v>
      </c>
      <c r="H280" t="s">
        <v>12</v>
      </c>
      <c r="I280">
        <v>92</v>
      </c>
      <c r="J280" t="b">
        <v>0</v>
      </c>
    </row>
    <row r="281" spans="1:10" x14ac:dyDescent="0.3">
      <c r="A281">
        <v>280</v>
      </c>
      <c r="B281" t="s">
        <v>290</v>
      </c>
      <c r="C281" t="s">
        <v>14</v>
      </c>
      <c r="D281">
        <v>90</v>
      </c>
      <c r="E281">
        <v>17</v>
      </c>
      <c r="F281">
        <v>85</v>
      </c>
      <c r="G281">
        <v>3</v>
      </c>
      <c r="H281" t="s">
        <v>12</v>
      </c>
      <c r="I281">
        <v>88</v>
      </c>
      <c r="J281" t="b">
        <v>0</v>
      </c>
    </row>
    <row r="282" spans="1:10" x14ac:dyDescent="0.3">
      <c r="A282">
        <v>281</v>
      </c>
      <c r="B282" t="s">
        <v>291</v>
      </c>
      <c r="C282" t="s">
        <v>11</v>
      </c>
      <c r="D282">
        <v>92</v>
      </c>
      <c r="E282">
        <v>25</v>
      </c>
      <c r="F282">
        <v>78</v>
      </c>
      <c r="G282">
        <v>3</v>
      </c>
      <c r="H282" t="s">
        <v>15</v>
      </c>
      <c r="I282">
        <v>72</v>
      </c>
      <c r="J282" t="b">
        <v>1</v>
      </c>
    </row>
    <row r="283" spans="1:10" x14ac:dyDescent="0.3">
      <c r="A283">
        <v>282</v>
      </c>
      <c r="B283" t="s">
        <v>292</v>
      </c>
      <c r="C283" t="s">
        <v>14</v>
      </c>
      <c r="D283">
        <v>88</v>
      </c>
      <c r="E283">
        <v>22</v>
      </c>
      <c r="F283">
        <v>82</v>
      </c>
      <c r="G283">
        <v>1</v>
      </c>
      <c r="H283" t="s">
        <v>17</v>
      </c>
      <c r="I283">
        <v>87</v>
      </c>
      <c r="J283" t="b">
        <v>0</v>
      </c>
    </row>
    <row r="284" spans="1:10" x14ac:dyDescent="0.3">
      <c r="A284">
        <v>283</v>
      </c>
      <c r="B284" t="s">
        <v>293</v>
      </c>
      <c r="C284" t="s">
        <v>14</v>
      </c>
      <c r="D284">
        <v>78</v>
      </c>
      <c r="E284">
        <v>10</v>
      </c>
      <c r="F284">
        <v>90</v>
      </c>
      <c r="G284">
        <v>0</v>
      </c>
      <c r="H284" t="s">
        <v>17</v>
      </c>
      <c r="I284">
        <v>90</v>
      </c>
      <c r="J284" t="b">
        <v>0</v>
      </c>
    </row>
    <row r="285" spans="1:10" x14ac:dyDescent="0.3">
      <c r="A285">
        <v>284</v>
      </c>
      <c r="B285" t="s">
        <v>294</v>
      </c>
      <c r="C285" t="s">
        <v>11</v>
      </c>
      <c r="D285">
        <v>91</v>
      </c>
      <c r="E285">
        <v>18</v>
      </c>
      <c r="F285">
        <v>60</v>
      </c>
      <c r="G285">
        <v>0</v>
      </c>
      <c r="H285" t="s">
        <v>15</v>
      </c>
      <c r="I285">
        <v>87</v>
      </c>
      <c r="J285" t="b">
        <v>1</v>
      </c>
    </row>
    <row r="286" spans="1:10" x14ac:dyDescent="0.3">
      <c r="A286">
        <v>285</v>
      </c>
      <c r="B286" t="s">
        <v>295</v>
      </c>
      <c r="C286" t="s">
        <v>14</v>
      </c>
      <c r="D286">
        <v>95</v>
      </c>
      <c r="E286">
        <v>17</v>
      </c>
      <c r="F286">
        <v>77</v>
      </c>
      <c r="G286">
        <v>1</v>
      </c>
      <c r="H286" t="s">
        <v>17</v>
      </c>
      <c r="I286">
        <v>80</v>
      </c>
      <c r="J286" t="b">
        <v>1</v>
      </c>
    </row>
    <row r="287" spans="1:10" x14ac:dyDescent="0.3">
      <c r="A287">
        <v>286</v>
      </c>
      <c r="B287" t="s">
        <v>296</v>
      </c>
      <c r="C287" t="s">
        <v>14</v>
      </c>
      <c r="D287">
        <v>90</v>
      </c>
      <c r="E287">
        <v>12</v>
      </c>
      <c r="F287">
        <v>60</v>
      </c>
      <c r="G287">
        <v>3</v>
      </c>
      <c r="H287" t="s">
        <v>15</v>
      </c>
      <c r="I287">
        <v>92</v>
      </c>
      <c r="J287" t="b">
        <v>0</v>
      </c>
    </row>
    <row r="288" spans="1:10" x14ac:dyDescent="0.3">
      <c r="A288">
        <v>287</v>
      </c>
      <c r="B288" t="s">
        <v>297</v>
      </c>
      <c r="C288" t="s">
        <v>11</v>
      </c>
      <c r="D288">
        <v>91</v>
      </c>
      <c r="E288">
        <v>17</v>
      </c>
      <c r="F288">
        <v>88</v>
      </c>
      <c r="G288">
        <v>1</v>
      </c>
      <c r="H288" t="s">
        <v>12</v>
      </c>
      <c r="I288">
        <v>87</v>
      </c>
      <c r="J288" t="b">
        <v>1</v>
      </c>
    </row>
    <row r="289" spans="1:10" x14ac:dyDescent="0.3">
      <c r="A289">
        <v>288</v>
      </c>
      <c r="B289" t="s">
        <v>298</v>
      </c>
      <c r="C289" t="s">
        <v>11</v>
      </c>
      <c r="D289">
        <v>85</v>
      </c>
      <c r="E289">
        <v>17</v>
      </c>
      <c r="F289">
        <v>78</v>
      </c>
      <c r="G289">
        <v>0</v>
      </c>
      <c r="H289" t="s">
        <v>12</v>
      </c>
      <c r="I289">
        <v>68</v>
      </c>
      <c r="J289" t="b">
        <v>1</v>
      </c>
    </row>
    <row r="290" spans="1:10" x14ac:dyDescent="0.3">
      <c r="A290">
        <v>289</v>
      </c>
      <c r="B290" t="s">
        <v>299</v>
      </c>
      <c r="C290" t="s">
        <v>11</v>
      </c>
      <c r="D290">
        <v>95</v>
      </c>
      <c r="E290">
        <v>18</v>
      </c>
      <c r="F290">
        <v>85</v>
      </c>
      <c r="G290">
        <v>1</v>
      </c>
      <c r="H290" t="s">
        <v>17</v>
      </c>
      <c r="I290">
        <v>68</v>
      </c>
      <c r="J290" t="b">
        <v>0</v>
      </c>
    </row>
    <row r="291" spans="1:10" x14ac:dyDescent="0.3">
      <c r="A291">
        <v>290</v>
      </c>
      <c r="B291" t="s">
        <v>300</v>
      </c>
      <c r="C291" t="s">
        <v>14</v>
      </c>
      <c r="D291">
        <v>90</v>
      </c>
      <c r="E291">
        <v>20</v>
      </c>
      <c r="F291">
        <v>78</v>
      </c>
      <c r="G291">
        <v>1</v>
      </c>
      <c r="H291" t="s">
        <v>15</v>
      </c>
      <c r="I291">
        <v>87</v>
      </c>
      <c r="J291" t="b">
        <v>0</v>
      </c>
    </row>
    <row r="292" spans="1:10" x14ac:dyDescent="0.3">
      <c r="A292">
        <v>291</v>
      </c>
      <c r="B292" t="s">
        <v>977</v>
      </c>
      <c r="C292" t="s">
        <v>11</v>
      </c>
      <c r="D292">
        <v>85.510416666666671</v>
      </c>
      <c r="E292">
        <v>20</v>
      </c>
      <c r="F292">
        <v>60</v>
      </c>
      <c r="G292">
        <v>0</v>
      </c>
      <c r="H292" t="s">
        <v>15</v>
      </c>
      <c r="I292">
        <v>87</v>
      </c>
      <c r="J292" t="b">
        <v>1</v>
      </c>
    </row>
    <row r="293" spans="1:10" x14ac:dyDescent="0.3">
      <c r="A293">
        <v>292</v>
      </c>
      <c r="B293" t="s">
        <v>977</v>
      </c>
      <c r="C293" t="s">
        <v>14</v>
      </c>
      <c r="D293">
        <v>95</v>
      </c>
      <c r="E293">
        <v>18</v>
      </c>
      <c r="F293">
        <v>65</v>
      </c>
      <c r="G293">
        <v>0</v>
      </c>
      <c r="H293" t="s">
        <v>12</v>
      </c>
      <c r="I293">
        <v>68</v>
      </c>
      <c r="J293" t="b">
        <v>1</v>
      </c>
    </row>
    <row r="294" spans="1:10" x14ac:dyDescent="0.3">
      <c r="A294">
        <v>293</v>
      </c>
      <c r="B294" t="s">
        <v>301</v>
      </c>
      <c r="C294" t="s">
        <v>14</v>
      </c>
      <c r="D294">
        <v>95</v>
      </c>
      <c r="E294">
        <v>25</v>
      </c>
      <c r="F294">
        <v>65</v>
      </c>
      <c r="G294">
        <v>0</v>
      </c>
      <c r="H294" t="s">
        <v>17</v>
      </c>
      <c r="I294">
        <v>78</v>
      </c>
      <c r="J294" t="b">
        <v>1</v>
      </c>
    </row>
    <row r="295" spans="1:10" x14ac:dyDescent="0.3">
      <c r="A295">
        <v>294</v>
      </c>
      <c r="B295" t="s">
        <v>302</v>
      </c>
      <c r="C295" t="s">
        <v>11</v>
      </c>
      <c r="D295">
        <v>91</v>
      </c>
      <c r="E295">
        <v>8</v>
      </c>
      <c r="F295">
        <v>88</v>
      </c>
      <c r="G295">
        <v>0</v>
      </c>
      <c r="H295" t="s">
        <v>15</v>
      </c>
      <c r="I295">
        <v>68</v>
      </c>
      <c r="J295" t="b">
        <v>1</v>
      </c>
    </row>
    <row r="296" spans="1:10" x14ac:dyDescent="0.3">
      <c r="A296">
        <v>295</v>
      </c>
      <c r="B296" t="s">
        <v>303</v>
      </c>
      <c r="C296" t="s">
        <v>14</v>
      </c>
      <c r="D296">
        <v>85</v>
      </c>
      <c r="E296">
        <v>18</v>
      </c>
      <c r="F296">
        <v>90</v>
      </c>
      <c r="G296">
        <v>2</v>
      </c>
      <c r="H296" t="s">
        <v>17</v>
      </c>
      <c r="I296">
        <v>72</v>
      </c>
      <c r="J296" t="b">
        <v>0</v>
      </c>
    </row>
    <row r="297" spans="1:10" x14ac:dyDescent="0.3">
      <c r="A297">
        <v>296</v>
      </c>
      <c r="B297" t="s">
        <v>304</v>
      </c>
      <c r="C297" t="s">
        <v>11</v>
      </c>
      <c r="D297">
        <v>85</v>
      </c>
      <c r="E297">
        <v>8</v>
      </c>
      <c r="F297">
        <v>85</v>
      </c>
      <c r="G297">
        <v>3</v>
      </c>
      <c r="H297" t="s">
        <v>15</v>
      </c>
      <c r="I297">
        <v>88</v>
      </c>
      <c r="J297" t="b">
        <v>0</v>
      </c>
    </row>
    <row r="298" spans="1:10" x14ac:dyDescent="0.3">
      <c r="A298">
        <v>297</v>
      </c>
      <c r="B298" t="s">
        <v>305</v>
      </c>
      <c r="C298" t="s">
        <v>977</v>
      </c>
      <c r="D298">
        <v>70</v>
      </c>
      <c r="E298">
        <v>22</v>
      </c>
      <c r="F298">
        <v>60</v>
      </c>
      <c r="G298">
        <v>1</v>
      </c>
      <c r="H298" t="s">
        <v>17</v>
      </c>
      <c r="I298">
        <v>68</v>
      </c>
      <c r="J298" t="b">
        <v>1</v>
      </c>
    </row>
    <row r="299" spans="1:10" x14ac:dyDescent="0.3">
      <c r="A299">
        <v>298</v>
      </c>
      <c r="B299" t="s">
        <v>306</v>
      </c>
      <c r="C299" t="s">
        <v>11</v>
      </c>
      <c r="D299">
        <v>85</v>
      </c>
      <c r="E299">
        <v>18</v>
      </c>
      <c r="F299">
        <v>90</v>
      </c>
      <c r="G299">
        <v>1</v>
      </c>
      <c r="H299" t="s">
        <v>12</v>
      </c>
      <c r="I299">
        <v>62</v>
      </c>
      <c r="J299" t="b">
        <v>0</v>
      </c>
    </row>
    <row r="300" spans="1:10" x14ac:dyDescent="0.3">
      <c r="A300">
        <v>299</v>
      </c>
      <c r="B300" t="s">
        <v>307</v>
      </c>
      <c r="C300" t="s">
        <v>14</v>
      </c>
      <c r="D300">
        <v>90</v>
      </c>
      <c r="E300">
        <v>12</v>
      </c>
      <c r="F300">
        <v>70</v>
      </c>
      <c r="G300">
        <v>3</v>
      </c>
      <c r="H300" t="s">
        <v>12</v>
      </c>
      <c r="I300">
        <v>85</v>
      </c>
      <c r="J300" t="b">
        <v>1</v>
      </c>
    </row>
    <row r="301" spans="1:10" x14ac:dyDescent="0.3">
      <c r="A301">
        <v>300</v>
      </c>
      <c r="B301" t="s">
        <v>308</v>
      </c>
      <c r="C301" t="s">
        <v>14</v>
      </c>
      <c r="D301">
        <v>70</v>
      </c>
      <c r="E301">
        <v>22</v>
      </c>
      <c r="F301">
        <v>85</v>
      </c>
      <c r="G301">
        <v>2</v>
      </c>
      <c r="H301" t="s">
        <v>17</v>
      </c>
      <c r="I301">
        <v>62</v>
      </c>
      <c r="J301" t="b">
        <v>1</v>
      </c>
    </row>
    <row r="302" spans="1:10" x14ac:dyDescent="0.3">
      <c r="A302">
        <v>301</v>
      </c>
      <c r="B302" t="s">
        <v>309</v>
      </c>
      <c r="C302" t="s">
        <v>11</v>
      </c>
      <c r="D302">
        <v>70</v>
      </c>
      <c r="E302">
        <v>20</v>
      </c>
      <c r="F302">
        <v>77</v>
      </c>
      <c r="G302">
        <v>3</v>
      </c>
      <c r="H302" t="s">
        <v>17</v>
      </c>
      <c r="I302">
        <v>80</v>
      </c>
      <c r="J302" t="b">
        <v>1</v>
      </c>
    </row>
    <row r="303" spans="1:10" x14ac:dyDescent="0.3">
      <c r="A303">
        <v>302</v>
      </c>
      <c r="B303" t="s">
        <v>310</v>
      </c>
      <c r="C303" t="s">
        <v>11</v>
      </c>
      <c r="D303">
        <v>78</v>
      </c>
      <c r="E303">
        <v>15</v>
      </c>
      <c r="F303">
        <v>65</v>
      </c>
      <c r="G303">
        <v>1</v>
      </c>
      <c r="H303" t="s">
        <v>15</v>
      </c>
      <c r="I303">
        <v>72</v>
      </c>
      <c r="J303" t="b">
        <v>0</v>
      </c>
    </row>
    <row r="304" spans="1:10" x14ac:dyDescent="0.3">
      <c r="A304">
        <v>303</v>
      </c>
      <c r="B304" t="s">
        <v>311</v>
      </c>
      <c r="C304" t="s">
        <v>14</v>
      </c>
      <c r="D304">
        <v>78</v>
      </c>
      <c r="E304">
        <v>18</v>
      </c>
      <c r="F304">
        <v>85</v>
      </c>
      <c r="G304">
        <v>1</v>
      </c>
      <c r="H304" t="s">
        <v>15</v>
      </c>
      <c r="I304">
        <v>62</v>
      </c>
      <c r="J304" t="b">
        <v>0</v>
      </c>
    </row>
    <row r="305" spans="1:10" x14ac:dyDescent="0.3">
      <c r="A305">
        <v>304</v>
      </c>
      <c r="B305" t="s">
        <v>312</v>
      </c>
      <c r="C305" t="s">
        <v>14</v>
      </c>
      <c r="D305">
        <v>85</v>
      </c>
      <c r="E305">
        <v>12</v>
      </c>
      <c r="F305">
        <v>88</v>
      </c>
      <c r="G305">
        <v>1</v>
      </c>
      <c r="H305" t="s">
        <v>15</v>
      </c>
      <c r="I305">
        <v>88</v>
      </c>
      <c r="J305" t="b">
        <v>0</v>
      </c>
    </row>
    <row r="306" spans="1:10" x14ac:dyDescent="0.3">
      <c r="A306">
        <v>305</v>
      </c>
      <c r="B306" t="s">
        <v>313</v>
      </c>
      <c r="C306" t="s">
        <v>11</v>
      </c>
      <c r="D306">
        <v>92</v>
      </c>
      <c r="E306">
        <v>12</v>
      </c>
      <c r="F306">
        <v>77.598759048603924</v>
      </c>
      <c r="G306">
        <v>1</v>
      </c>
      <c r="H306" t="s">
        <v>12</v>
      </c>
      <c r="I306">
        <v>92</v>
      </c>
      <c r="J306" t="b">
        <v>0</v>
      </c>
    </row>
    <row r="307" spans="1:10" x14ac:dyDescent="0.3">
      <c r="A307">
        <v>306</v>
      </c>
      <c r="B307" t="s">
        <v>314</v>
      </c>
      <c r="C307" t="s">
        <v>11</v>
      </c>
      <c r="D307">
        <v>85</v>
      </c>
      <c r="E307">
        <v>12</v>
      </c>
      <c r="F307">
        <v>60</v>
      </c>
      <c r="G307">
        <v>3</v>
      </c>
      <c r="H307" t="s">
        <v>12</v>
      </c>
      <c r="I307">
        <v>92</v>
      </c>
      <c r="J307" t="b">
        <v>0</v>
      </c>
    </row>
    <row r="308" spans="1:10" x14ac:dyDescent="0.3">
      <c r="A308">
        <v>307</v>
      </c>
      <c r="B308" t="s">
        <v>315</v>
      </c>
      <c r="C308" t="s">
        <v>11</v>
      </c>
      <c r="D308">
        <v>91</v>
      </c>
      <c r="E308">
        <v>30</v>
      </c>
      <c r="F308">
        <v>85</v>
      </c>
      <c r="G308">
        <v>2</v>
      </c>
      <c r="H308" t="s">
        <v>17</v>
      </c>
      <c r="I308">
        <v>80</v>
      </c>
      <c r="J308" t="b">
        <v>1</v>
      </c>
    </row>
    <row r="309" spans="1:10" x14ac:dyDescent="0.3">
      <c r="A309">
        <v>308</v>
      </c>
      <c r="B309" t="s">
        <v>316</v>
      </c>
      <c r="C309" t="s">
        <v>11</v>
      </c>
      <c r="D309">
        <v>85</v>
      </c>
      <c r="E309">
        <v>18</v>
      </c>
      <c r="F309">
        <v>82</v>
      </c>
      <c r="G309">
        <v>1</v>
      </c>
      <c r="H309" t="s">
        <v>12</v>
      </c>
      <c r="I309">
        <v>72</v>
      </c>
      <c r="J309" t="b">
        <v>1</v>
      </c>
    </row>
    <row r="310" spans="1:10" x14ac:dyDescent="0.3">
      <c r="A310">
        <v>309</v>
      </c>
      <c r="B310" t="s">
        <v>317</v>
      </c>
      <c r="C310" t="s">
        <v>14</v>
      </c>
      <c r="D310">
        <v>91</v>
      </c>
      <c r="E310">
        <v>25</v>
      </c>
      <c r="F310">
        <v>77</v>
      </c>
      <c r="G310">
        <v>1</v>
      </c>
      <c r="H310" t="s">
        <v>17</v>
      </c>
      <c r="I310">
        <v>78</v>
      </c>
      <c r="J310" t="b">
        <v>1</v>
      </c>
    </row>
    <row r="311" spans="1:10" x14ac:dyDescent="0.3">
      <c r="A311">
        <v>310</v>
      </c>
      <c r="B311" t="s">
        <v>318</v>
      </c>
      <c r="C311" t="s">
        <v>11</v>
      </c>
      <c r="D311">
        <v>78</v>
      </c>
      <c r="E311">
        <v>15</v>
      </c>
      <c r="F311">
        <v>60</v>
      </c>
      <c r="G311">
        <v>1</v>
      </c>
      <c r="H311" t="s">
        <v>12</v>
      </c>
      <c r="I311">
        <v>72</v>
      </c>
      <c r="J311" t="b">
        <v>1</v>
      </c>
    </row>
    <row r="312" spans="1:10" x14ac:dyDescent="0.3">
      <c r="A312">
        <v>311</v>
      </c>
      <c r="B312" t="s">
        <v>319</v>
      </c>
      <c r="C312" t="s">
        <v>11</v>
      </c>
      <c r="D312">
        <v>70</v>
      </c>
      <c r="E312">
        <v>18</v>
      </c>
      <c r="F312">
        <v>85</v>
      </c>
      <c r="G312">
        <v>3</v>
      </c>
      <c r="H312" t="s">
        <v>17</v>
      </c>
      <c r="I312">
        <v>92</v>
      </c>
      <c r="J312" t="b">
        <v>1</v>
      </c>
    </row>
    <row r="313" spans="1:10" x14ac:dyDescent="0.3">
      <c r="A313">
        <v>312</v>
      </c>
      <c r="B313" t="s">
        <v>320</v>
      </c>
      <c r="C313" t="s">
        <v>11</v>
      </c>
      <c r="D313">
        <v>85</v>
      </c>
      <c r="E313">
        <v>25</v>
      </c>
      <c r="F313">
        <v>70</v>
      </c>
      <c r="G313">
        <v>0</v>
      </c>
      <c r="H313" t="s">
        <v>17</v>
      </c>
      <c r="I313">
        <v>90</v>
      </c>
      <c r="J313" t="b">
        <v>1</v>
      </c>
    </row>
    <row r="314" spans="1:10" x14ac:dyDescent="0.3">
      <c r="A314">
        <v>313</v>
      </c>
      <c r="B314" t="s">
        <v>321</v>
      </c>
      <c r="C314" t="s">
        <v>11</v>
      </c>
      <c r="D314">
        <v>70</v>
      </c>
      <c r="E314">
        <v>20</v>
      </c>
      <c r="F314">
        <v>86</v>
      </c>
      <c r="G314">
        <v>3</v>
      </c>
      <c r="H314" t="s">
        <v>12</v>
      </c>
      <c r="I314">
        <v>62</v>
      </c>
      <c r="J314" t="b">
        <v>1</v>
      </c>
    </row>
    <row r="315" spans="1:10" x14ac:dyDescent="0.3">
      <c r="A315">
        <v>314</v>
      </c>
      <c r="B315" t="s">
        <v>322</v>
      </c>
      <c r="C315" t="s">
        <v>14</v>
      </c>
      <c r="D315">
        <v>95</v>
      </c>
      <c r="E315">
        <v>8</v>
      </c>
      <c r="F315">
        <v>88</v>
      </c>
      <c r="G315">
        <v>1</v>
      </c>
      <c r="H315" t="s">
        <v>15</v>
      </c>
      <c r="I315">
        <v>85</v>
      </c>
      <c r="J315" t="b">
        <v>1</v>
      </c>
    </row>
    <row r="316" spans="1:10" x14ac:dyDescent="0.3">
      <c r="A316">
        <v>315</v>
      </c>
      <c r="B316" t="s">
        <v>323</v>
      </c>
      <c r="C316" t="s">
        <v>11</v>
      </c>
      <c r="D316">
        <v>85.510416666666671</v>
      </c>
      <c r="E316">
        <v>10</v>
      </c>
      <c r="F316">
        <v>77</v>
      </c>
      <c r="G316">
        <v>1</v>
      </c>
      <c r="H316" t="s">
        <v>15</v>
      </c>
      <c r="I316">
        <v>62</v>
      </c>
      <c r="J316" t="b">
        <v>1</v>
      </c>
    </row>
    <row r="317" spans="1:10" x14ac:dyDescent="0.3">
      <c r="A317">
        <v>316</v>
      </c>
      <c r="B317" t="s">
        <v>324</v>
      </c>
      <c r="C317" t="s">
        <v>14</v>
      </c>
      <c r="D317">
        <v>85</v>
      </c>
      <c r="E317">
        <v>18</v>
      </c>
      <c r="F317">
        <v>85</v>
      </c>
      <c r="G317">
        <v>2</v>
      </c>
      <c r="H317" t="s">
        <v>12</v>
      </c>
      <c r="I317">
        <v>85</v>
      </c>
      <c r="J317" t="b">
        <v>1</v>
      </c>
    </row>
    <row r="318" spans="1:10" x14ac:dyDescent="0.3">
      <c r="A318">
        <v>317</v>
      </c>
      <c r="B318" t="s">
        <v>325</v>
      </c>
      <c r="C318" t="s">
        <v>14</v>
      </c>
      <c r="D318">
        <v>78</v>
      </c>
      <c r="E318">
        <v>20</v>
      </c>
      <c r="F318">
        <v>90</v>
      </c>
      <c r="G318">
        <v>1</v>
      </c>
      <c r="H318" t="s">
        <v>15</v>
      </c>
      <c r="I318">
        <v>72</v>
      </c>
      <c r="J318" t="b">
        <v>0</v>
      </c>
    </row>
    <row r="319" spans="1:10" x14ac:dyDescent="0.3">
      <c r="A319">
        <v>318</v>
      </c>
      <c r="B319" t="s">
        <v>326</v>
      </c>
      <c r="C319" t="s">
        <v>11</v>
      </c>
      <c r="D319">
        <v>70</v>
      </c>
      <c r="E319">
        <v>17</v>
      </c>
      <c r="F319">
        <v>70</v>
      </c>
      <c r="G319">
        <v>2</v>
      </c>
      <c r="H319" t="s">
        <v>12</v>
      </c>
      <c r="I319">
        <v>87</v>
      </c>
      <c r="J319" t="b">
        <v>1</v>
      </c>
    </row>
    <row r="320" spans="1:10" x14ac:dyDescent="0.3">
      <c r="A320">
        <v>319</v>
      </c>
      <c r="B320" t="s">
        <v>327</v>
      </c>
      <c r="C320" t="s">
        <v>11</v>
      </c>
      <c r="D320">
        <v>85</v>
      </c>
      <c r="E320">
        <v>25</v>
      </c>
      <c r="F320">
        <v>65</v>
      </c>
      <c r="G320">
        <v>3</v>
      </c>
      <c r="H320" t="s">
        <v>15</v>
      </c>
      <c r="I320">
        <v>90</v>
      </c>
      <c r="J320" t="b">
        <v>1</v>
      </c>
    </row>
    <row r="321" spans="1:10" x14ac:dyDescent="0.3">
      <c r="A321">
        <v>320</v>
      </c>
      <c r="B321" t="s">
        <v>328</v>
      </c>
      <c r="C321" t="s">
        <v>11</v>
      </c>
      <c r="D321">
        <v>85</v>
      </c>
      <c r="E321">
        <v>20</v>
      </c>
      <c r="F321">
        <v>90</v>
      </c>
      <c r="G321">
        <v>1</v>
      </c>
      <c r="H321" t="s">
        <v>12</v>
      </c>
      <c r="I321">
        <v>87</v>
      </c>
      <c r="J321" t="b">
        <v>1</v>
      </c>
    </row>
    <row r="322" spans="1:10" x14ac:dyDescent="0.3">
      <c r="A322">
        <v>321</v>
      </c>
      <c r="B322" t="s">
        <v>329</v>
      </c>
      <c r="C322" t="s">
        <v>14</v>
      </c>
      <c r="D322">
        <v>85</v>
      </c>
      <c r="E322">
        <v>10</v>
      </c>
      <c r="F322">
        <v>86</v>
      </c>
      <c r="G322">
        <v>0</v>
      </c>
      <c r="H322" t="s">
        <v>17</v>
      </c>
      <c r="I322">
        <v>62</v>
      </c>
      <c r="J322" t="b">
        <v>0</v>
      </c>
    </row>
    <row r="323" spans="1:10" x14ac:dyDescent="0.3">
      <c r="A323">
        <v>322</v>
      </c>
      <c r="B323" t="s">
        <v>330</v>
      </c>
      <c r="C323" t="s">
        <v>14</v>
      </c>
      <c r="D323">
        <v>92</v>
      </c>
      <c r="E323">
        <v>10</v>
      </c>
      <c r="F323">
        <v>82</v>
      </c>
      <c r="G323">
        <v>2</v>
      </c>
      <c r="H323" t="s">
        <v>12</v>
      </c>
      <c r="I323">
        <v>68</v>
      </c>
      <c r="J323" t="b">
        <v>1</v>
      </c>
    </row>
    <row r="324" spans="1:10" x14ac:dyDescent="0.3">
      <c r="A324">
        <v>323</v>
      </c>
      <c r="B324" t="s">
        <v>331</v>
      </c>
      <c r="C324" t="s">
        <v>14</v>
      </c>
      <c r="D324">
        <v>70</v>
      </c>
      <c r="E324">
        <v>12</v>
      </c>
      <c r="F324">
        <v>77</v>
      </c>
      <c r="G324">
        <v>1</v>
      </c>
      <c r="H324" t="s">
        <v>12</v>
      </c>
      <c r="I324">
        <v>85</v>
      </c>
      <c r="J324" t="b">
        <v>1</v>
      </c>
    </row>
    <row r="325" spans="1:10" x14ac:dyDescent="0.3">
      <c r="A325">
        <v>324</v>
      </c>
      <c r="B325" t="s">
        <v>332</v>
      </c>
      <c r="C325" t="s">
        <v>11</v>
      </c>
      <c r="D325">
        <v>82</v>
      </c>
      <c r="E325">
        <v>15</v>
      </c>
      <c r="F325">
        <v>60</v>
      </c>
      <c r="G325">
        <v>1</v>
      </c>
      <c r="H325" t="s">
        <v>15</v>
      </c>
      <c r="I325">
        <v>72</v>
      </c>
      <c r="J325" t="b">
        <v>0</v>
      </c>
    </row>
    <row r="326" spans="1:10" x14ac:dyDescent="0.3">
      <c r="A326">
        <v>325</v>
      </c>
      <c r="B326" t="s">
        <v>333</v>
      </c>
      <c r="C326" t="s">
        <v>14</v>
      </c>
      <c r="D326">
        <v>78</v>
      </c>
      <c r="E326">
        <v>15</v>
      </c>
      <c r="F326">
        <v>88</v>
      </c>
      <c r="G326">
        <v>3</v>
      </c>
      <c r="H326" t="s">
        <v>12</v>
      </c>
      <c r="I326">
        <v>80</v>
      </c>
      <c r="J326" t="b">
        <v>0</v>
      </c>
    </row>
    <row r="327" spans="1:10" x14ac:dyDescent="0.3">
      <c r="A327">
        <v>326</v>
      </c>
      <c r="B327" t="s">
        <v>334</v>
      </c>
      <c r="C327" t="s">
        <v>14</v>
      </c>
      <c r="D327">
        <v>85.510416666666671</v>
      </c>
      <c r="E327">
        <v>17.630526315789474</v>
      </c>
      <c r="F327">
        <v>86</v>
      </c>
      <c r="G327">
        <v>3</v>
      </c>
      <c r="H327" t="s">
        <v>12</v>
      </c>
      <c r="I327">
        <v>87</v>
      </c>
      <c r="J327" t="b">
        <v>0</v>
      </c>
    </row>
    <row r="328" spans="1:10" x14ac:dyDescent="0.3">
      <c r="A328">
        <v>327</v>
      </c>
      <c r="B328" t="s">
        <v>335</v>
      </c>
      <c r="C328" t="s">
        <v>11</v>
      </c>
      <c r="D328">
        <v>92</v>
      </c>
      <c r="E328">
        <v>22</v>
      </c>
      <c r="F328">
        <v>60</v>
      </c>
      <c r="G328">
        <v>1</v>
      </c>
      <c r="H328" t="s">
        <v>12</v>
      </c>
      <c r="I328">
        <v>68</v>
      </c>
      <c r="J328" t="b">
        <v>0</v>
      </c>
    </row>
    <row r="329" spans="1:10" x14ac:dyDescent="0.3">
      <c r="A329">
        <v>328</v>
      </c>
      <c r="B329" t="s">
        <v>336</v>
      </c>
      <c r="C329" t="s">
        <v>14</v>
      </c>
      <c r="D329">
        <v>91</v>
      </c>
      <c r="E329">
        <v>22</v>
      </c>
      <c r="F329">
        <v>65</v>
      </c>
      <c r="G329">
        <v>3</v>
      </c>
      <c r="H329" t="s">
        <v>12</v>
      </c>
      <c r="I329">
        <v>78</v>
      </c>
      <c r="J329" t="b">
        <v>0</v>
      </c>
    </row>
    <row r="330" spans="1:10" x14ac:dyDescent="0.3">
      <c r="A330">
        <v>329</v>
      </c>
      <c r="B330" t="s">
        <v>337</v>
      </c>
      <c r="C330" t="s">
        <v>11</v>
      </c>
      <c r="D330">
        <v>85</v>
      </c>
      <c r="E330">
        <v>25</v>
      </c>
      <c r="F330">
        <v>86</v>
      </c>
      <c r="G330">
        <v>3</v>
      </c>
      <c r="H330" t="s">
        <v>12</v>
      </c>
      <c r="I330">
        <v>72</v>
      </c>
      <c r="J330" t="b">
        <v>1</v>
      </c>
    </row>
    <row r="331" spans="1:10" x14ac:dyDescent="0.3">
      <c r="A331">
        <v>330</v>
      </c>
      <c r="B331" t="s">
        <v>338</v>
      </c>
      <c r="C331" t="s">
        <v>14</v>
      </c>
      <c r="D331">
        <v>78</v>
      </c>
      <c r="E331">
        <v>30</v>
      </c>
      <c r="F331">
        <v>78</v>
      </c>
      <c r="G331">
        <v>1</v>
      </c>
      <c r="H331" t="s">
        <v>12</v>
      </c>
      <c r="I331">
        <v>88</v>
      </c>
      <c r="J331" t="b">
        <v>1</v>
      </c>
    </row>
    <row r="332" spans="1:10" x14ac:dyDescent="0.3">
      <c r="A332">
        <v>331</v>
      </c>
      <c r="B332" t="s">
        <v>339</v>
      </c>
      <c r="C332" t="s">
        <v>14</v>
      </c>
      <c r="D332">
        <v>90</v>
      </c>
      <c r="E332">
        <v>17.630526315789474</v>
      </c>
      <c r="F332">
        <v>60</v>
      </c>
      <c r="G332">
        <v>3</v>
      </c>
      <c r="H332" t="s">
        <v>12</v>
      </c>
      <c r="I332">
        <v>90</v>
      </c>
      <c r="J332" t="b">
        <v>1</v>
      </c>
    </row>
    <row r="333" spans="1:10" x14ac:dyDescent="0.3">
      <c r="A333">
        <v>332</v>
      </c>
      <c r="B333" t="s">
        <v>340</v>
      </c>
      <c r="C333" t="s">
        <v>14</v>
      </c>
      <c r="D333">
        <v>95</v>
      </c>
      <c r="E333">
        <v>10</v>
      </c>
      <c r="F333">
        <v>70</v>
      </c>
      <c r="G333">
        <v>3</v>
      </c>
      <c r="H333" t="s">
        <v>15</v>
      </c>
      <c r="I333">
        <v>92</v>
      </c>
      <c r="J333" t="b">
        <v>0</v>
      </c>
    </row>
    <row r="334" spans="1:10" x14ac:dyDescent="0.3">
      <c r="A334">
        <v>333</v>
      </c>
      <c r="B334" t="s">
        <v>341</v>
      </c>
      <c r="C334" t="s">
        <v>14</v>
      </c>
      <c r="D334">
        <v>78</v>
      </c>
      <c r="E334">
        <v>10</v>
      </c>
      <c r="F334">
        <v>78</v>
      </c>
      <c r="G334">
        <v>3</v>
      </c>
      <c r="H334" t="s">
        <v>15</v>
      </c>
      <c r="I334">
        <v>88</v>
      </c>
      <c r="J334" t="b">
        <v>0</v>
      </c>
    </row>
    <row r="335" spans="1:10" x14ac:dyDescent="0.3">
      <c r="A335">
        <v>334</v>
      </c>
      <c r="B335" t="s">
        <v>342</v>
      </c>
      <c r="C335" t="s">
        <v>11</v>
      </c>
      <c r="D335">
        <v>85</v>
      </c>
      <c r="E335">
        <v>10</v>
      </c>
      <c r="F335">
        <v>88</v>
      </c>
      <c r="G335">
        <v>2</v>
      </c>
      <c r="H335" t="s">
        <v>12</v>
      </c>
      <c r="I335">
        <v>90</v>
      </c>
      <c r="J335" t="b">
        <v>1</v>
      </c>
    </row>
    <row r="336" spans="1:10" x14ac:dyDescent="0.3">
      <c r="A336">
        <v>335</v>
      </c>
      <c r="B336" t="s">
        <v>343</v>
      </c>
      <c r="C336" t="s">
        <v>14</v>
      </c>
      <c r="D336">
        <v>85</v>
      </c>
      <c r="E336">
        <v>18</v>
      </c>
      <c r="F336">
        <v>90</v>
      </c>
      <c r="G336">
        <v>3</v>
      </c>
      <c r="H336" t="s">
        <v>17</v>
      </c>
      <c r="I336">
        <v>87</v>
      </c>
      <c r="J336" t="b">
        <v>1</v>
      </c>
    </row>
    <row r="337" spans="1:10" x14ac:dyDescent="0.3">
      <c r="A337">
        <v>336</v>
      </c>
      <c r="B337" t="s">
        <v>344</v>
      </c>
      <c r="C337" t="s">
        <v>11</v>
      </c>
      <c r="D337">
        <v>70</v>
      </c>
      <c r="E337">
        <v>17</v>
      </c>
      <c r="F337">
        <v>60</v>
      </c>
      <c r="G337">
        <v>0</v>
      </c>
      <c r="H337" t="s">
        <v>15</v>
      </c>
      <c r="I337">
        <v>80.030208333333334</v>
      </c>
      <c r="J337" t="b">
        <v>0</v>
      </c>
    </row>
    <row r="338" spans="1:10" x14ac:dyDescent="0.3">
      <c r="A338">
        <v>337</v>
      </c>
      <c r="B338" t="s">
        <v>345</v>
      </c>
      <c r="C338" t="s">
        <v>14</v>
      </c>
      <c r="D338">
        <v>91</v>
      </c>
      <c r="E338">
        <v>25</v>
      </c>
      <c r="F338">
        <v>65</v>
      </c>
      <c r="G338">
        <v>1</v>
      </c>
      <c r="H338" t="s">
        <v>12</v>
      </c>
      <c r="I338">
        <v>80</v>
      </c>
      <c r="J338" t="b">
        <v>0</v>
      </c>
    </row>
    <row r="339" spans="1:10" x14ac:dyDescent="0.3">
      <c r="A339">
        <v>338</v>
      </c>
      <c r="B339" t="s">
        <v>346</v>
      </c>
      <c r="C339" t="s">
        <v>11</v>
      </c>
      <c r="D339">
        <v>95</v>
      </c>
      <c r="E339">
        <v>10</v>
      </c>
      <c r="F339">
        <v>60</v>
      </c>
      <c r="G339">
        <v>0</v>
      </c>
      <c r="H339" t="s">
        <v>17</v>
      </c>
      <c r="I339">
        <v>87</v>
      </c>
      <c r="J339" t="b">
        <v>0</v>
      </c>
    </row>
    <row r="340" spans="1:10" x14ac:dyDescent="0.3">
      <c r="A340">
        <v>339</v>
      </c>
      <c r="B340" t="s">
        <v>347</v>
      </c>
      <c r="C340" t="s">
        <v>11</v>
      </c>
      <c r="D340">
        <v>70</v>
      </c>
      <c r="E340">
        <v>10</v>
      </c>
      <c r="F340">
        <v>86</v>
      </c>
      <c r="G340">
        <v>0</v>
      </c>
      <c r="H340" t="s">
        <v>12</v>
      </c>
      <c r="I340">
        <v>80</v>
      </c>
      <c r="J340" t="b">
        <v>1</v>
      </c>
    </row>
    <row r="341" spans="1:10" x14ac:dyDescent="0.3">
      <c r="A341">
        <v>340</v>
      </c>
      <c r="B341" t="s">
        <v>348</v>
      </c>
      <c r="C341" t="s">
        <v>14</v>
      </c>
      <c r="D341">
        <v>88</v>
      </c>
      <c r="E341">
        <v>18</v>
      </c>
      <c r="F341">
        <v>90</v>
      </c>
      <c r="G341">
        <v>2</v>
      </c>
      <c r="H341" t="s">
        <v>12</v>
      </c>
      <c r="I341">
        <v>62</v>
      </c>
      <c r="J341" t="b">
        <v>1</v>
      </c>
    </row>
    <row r="342" spans="1:10" x14ac:dyDescent="0.3">
      <c r="A342">
        <v>341</v>
      </c>
      <c r="B342" t="s">
        <v>349</v>
      </c>
      <c r="C342" t="s">
        <v>14</v>
      </c>
      <c r="D342">
        <v>85</v>
      </c>
      <c r="E342">
        <v>8</v>
      </c>
      <c r="F342">
        <v>85</v>
      </c>
      <c r="G342">
        <v>2</v>
      </c>
      <c r="H342" t="s">
        <v>17</v>
      </c>
      <c r="I342">
        <v>88</v>
      </c>
      <c r="J342" t="b">
        <v>1</v>
      </c>
    </row>
    <row r="343" spans="1:10" x14ac:dyDescent="0.3">
      <c r="A343">
        <v>342</v>
      </c>
      <c r="B343" t="s">
        <v>350</v>
      </c>
      <c r="C343" t="s">
        <v>11</v>
      </c>
      <c r="D343">
        <v>88</v>
      </c>
      <c r="E343">
        <v>20</v>
      </c>
      <c r="F343">
        <v>77</v>
      </c>
      <c r="G343">
        <v>2</v>
      </c>
      <c r="H343" t="s">
        <v>15</v>
      </c>
      <c r="I343">
        <v>62</v>
      </c>
      <c r="J343" t="b">
        <v>0</v>
      </c>
    </row>
    <row r="344" spans="1:10" x14ac:dyDescent="0.3">
      <c r="A344">
        <v>343</v>
      </c>
      <c r="B344" t="s">
        <v>351</v>
      </c>
      <c r="C344" t="s">
        <v>14</v>
      </c>
      <c r="D344">
        <v>78</v>
      </c>
      <c r="E344">
        <v>30</v>
      </c>
      <c r="F344">
        <v>60</v>
      </c>
      <c r="G344">
        <v>1</v>
      </c>
      <c r="H344" t="s">
        <v>12</v>
      </c>
      <c r="I344">
        <v>78</v>
      </c>
      <c r="J344" t="b">
        <v>0</v>
      </c>
    </row>
    <row r="345" spans="1:10" x14ac:dyDescent="0.3">
      <c r="A345">
        <v>344</v>
      </c>
      <c r="B345" t="s">
        <v>977</v>
      </c>
      <c r="C345" t="s">
        <v>11</v>
      </c>
      <c r="D345">
        <v>85.510416666666671</v>
      </c>
      <c r="E345">
        <v>22</v>
      </c>
      <c r="F345">
        <v>78</v>
      </c>
      <c r="G345">
        <v>0</v>
      </c>
      <c r="H345" t="s">
        <v>17</v>
      </c>
      <c r="I345">
        <v>87</v>
      </c>
      <c r="J345" t="b">
        <v>0</v>
      </c>
    </row>
    <row r="346" spans="1:10" x14ac:dyDescent="0.3">
      <c r="A346">
        <v>345</v>
      </c>
      <c r="B346" t="s">
        <v>352</v>
      </c>
      <c r="C346" t="s">
        <v>11</v>
      </c>
      <c r="D346">
        <v>70</v>
      </c>
      <c r="E346">
        <v>12</v>
      </c>
      <c r="F346">
        <v>60</v>
      </c>
      <c r="G346">
        <v>2</v>
      </c>
      <c r="H346" t="s">
        <v>17</v>
      </c>
      <c r="I346">
        <v>78</v>
      </c>
      <c r="J346" t="b">
        <v>0</v>
      </c>
    </row>
    <row r="347" spans="1:10" x14ac:dyDescent="0.3">
      <c r="A347">
        <v>346</v>
      </c>
      <c r="B347" t="s">
        <v>353</v>
      </c>
      <c r="C347" t="s">
        <v>11</v>
      </c>
      <c r="D347">
        <v>70</v>
      </c>
      <c r="E347">
        <v>15</v>
      </c>
      <c r="F347">
        <v>70</v>
      </c>
      <c r="G347">
        <v>3</v>
      </c>
      <c r="H347" t="s">
        <v>17</v>
      </c>
      <c r="I347">
        <v>88</v>
      </c>
      <c r="J347" t="b">
        <v>1</v>
      </c>
    </row>
    <row r="348" spans="1:10" x14ac:dyDescent="0.3">
      <c r="A348">
        <v>347</v>
      </c>
      <c r="B348" t="s">
        <v>354</v>
      </c>
      <c r="C348" t="s">
        <v>14</v>
      </c>
      <c r="D348">
        <v>78</v>
      </c>
      <c r="E348">
        <v>10</v>
      </c>
      <c r="F348">
        <v>90</v>
      </c>
      <c r="G348">
        <v>3</v>
      </c>
      <c r="H348" t="s">
        <v>12</v>
      </c>
      <c r="I348">
        <v>80</v>
      </c>
      <c r="J348" t="b">
        <v>0</v>
      </c>
    </row>
    <row r="349" spans="1:10" x14ac:dyDescent="0.3">
      <c r="A349">
        <v>348</v>
      </c>
      <c r="B349" t="s">
        <v>355</v>
      </c>
      <c r="C349" t="s">
        <v>11</v>
      </c>
      <c r="D349">
        <v>91</v>
      </c>
      <c r="E349">
        <v>18</v>
      </c>
      <c r="F349">
        <v>88</v>
      </c>
      <c r="G349">
        <v>2</v>
      </c>
      <c r="H349" t="s">
        <v>12</v>
      </c>
      <c r="I349">
        <v>62</v>
      </c>
      <c r="J349" t="b">
        <v>0</v>
      </c>
    </row>
    <row r="350" spans="1:10" x14ac:dyDescent="0.3">
      <c r="A350">
        <v>349</v>
      </c>
      <c r="B350" t="s">
        <v>356</v>
      </c>
      <c r="C350" t="s">
        <v>14</v>
      </c>
      <c r="D350">
        <v>85</v>
      </c>
      <c r="E350">
        <v>22</v>
      </c>
      <c r="F350">
        <v>86</v>
      </c>
      <c r="G350">
        <v>2</v>
      </c>
      <c r="H350" t="s">
        <v>15</v>
      </c>
      <c r="I350">
        <v>87</v>
      </c>
      <c r="J350" t="b">
        <v>1</v>
      </c>
    </row>
    <row r="351" spans="1:10" x14ac:dyDescent="0.3">
      <c r="A351">
        <v>350</v>
      </c>
      <c r="B351" t="s">
        <v>357</v>
      </c>
      <c r="C351" t="s">
        <v>11</v>
      </c>
      <c r="D351">
        <v>88</v>
      </c>
      <c r="E351">
        <v>12</v>
      </c>
      <c r="F351">
        <v>88</v>
      </c>
      <c r="G351">
        <v>0</v>
      </c>
      <c r="H351" t="s">
        <v>15</v>
      </c>
      <c r="I351">
        <v>62</v>
      </c>
      <c r="J351" t="b">
        <v>0</v>
      </c>
    </row>
    <row r="352" spans="1:10" x14ac:dyDescent="0.3">
      <c r="A352">
        <v>351</v>
      </c>
      <c r="B352" t="s">
        <v>358</v>
      </c>
      <c r="C352" t="s">
        <v>11</v>
      </c>
      <c r="D352">
        <v>88</v>
      </c>
      <c r="E352">
        <v>8</v>
      </c>
      <c r="F352">
        <v>65</v>
      </c>
      <c r="G352">
        <v>3</v>
      </c>
      <c r="H352" t="s">
        <v>17</v>
      </c>
      <c r="I352">
        <v>62</v>
      </c>
      <c r="J352" t="b">
        <v>1</v>
      </c>
    </row>
    <row r="353" spans="1:10" x14ac:dyDescent="0.3">
      <c r="A353">
        <v>352</v>
      </c>
      <c r="B353" t="s">
        <v>359</v>
      </c>
      <c r="C353" t="s">
        <v>14</v>
      </c>
      <c r="D353">
        <v>88</v>
      </c>
      <c r="E353">
        <v>30</v>
      </c>
      <c r="F353">
        <v>78</v>
      </c>
      <c r="G353">
        <v>1</v>
      </c>
      <c r="H353" t="s">
        <v>15</v>
      </c>
      <c r="I353">
        <v>80.030208333333334</v>
      </c>
      <c r="J353" t="b">
        <v>1</v>
      </c>
    </row>
    <row r="354" spans="1:10" x14ac:dyDescent="0.3">
      <c r="A354">
        <v>353</v>
      </c>
      <c r="B354" t="s">
        <v>360</v>
      </c>
      <c r="C354" t="s">
        <v>11</v>
      </c>
      <c r="D354">
        <v>88</v>
      </c>
      <c r="E354">
        <v>17</v>
      </c>
      <c r="F354">
        <v>88</v>
      </c>
      <c r="G354">
        <v>2</v>
      </c>
      <c r="H354" t="s">
        <v>17</v>
      </c>
      <c r="I354">
        <v>62</v>
      </c>
      <c r="J354" t="b">
        <v>1</v>
      </c>
    </row>
    <row r="355" spans="1:10" x14ac:dyDescent="0.3">
      <c r="A355">
        <v>354</v>
      </c>
      <c r="B355" t="s">
        <v>361</v>
      </c>
      <c r="C355" t="s">
        <v>11</v>
      </c>
      <c r="D355">
        <v>70</v>
      </c>
      <c r="E355">
        <v>17</v>
      </c>
      <c r="F355">
        <v>70</v>
      </c>
      <c r="G355">
        <v>1</v>
      </c>
      <c r="H355" t="s">
        <v>12</v>
      </c>
      <c r="I355">
        <v>72</v>
      </c>
      <c r="J355" t="b">
        <v>0</v>
      </c>
    </row>
    <row r="356" spans="1:10" x14ac:dyDescent="0.3">
      <c r="A356">
        <v>355</v>
      </c>
      <c r="B356" t="s">
        <v>362</v>
      </c>
      <c r="C356" t="s">
        <v>14</v>
      </c>
      <c r="D356">
        <v>78</v>
      </c>
      <c r="E356">
        <v>12</v>
      </c>
      <c r="F356">
        <v>86</v>
      </c>
      <c r="G356">
        <v>1</v>
      </c>
      <c r="H356" t="s">
        <v>12</v>
      </c>
      <c r="I356">
        <v>92</v>
      </c>
      <c r="J356" t="b">
        <v>1</v>
      </c>
    </row>
    <row r="357" spans="1:10" x14ac:dyDescent="0.3">
      <c r="A357">
        <v>356</v>
      </c>
      <c r="B357" t="s">
        <v>363</v>
      </c>
      <c r="C357" t="s">
        <v>11</v>
      </c>
      <c r="D357">
        <v>85</v>
      </c>
      <c r="E357">
        <v>15</v>
      </c>
      <c r="F357">
        <v>88</v>
      </c>
      <c r="G357">
        <v>3</v>
      </c>
      <c r="H357" t="s">
        <v>15</v>
      </c>
      <c r="I357">
        <v>80.030208333333334</v>
      </c>
      <c r="J357" t="b">
        <v>0</v>
      </c>
    </row>
    <row r="358" spans="1:10" x14ac:dyDescent="0.3">
      <c r="A358">
        <v>357</v>
      </c>
      <c r="B358" t="s">
        <v>364</v>
      </c>
      <c r="C358" t="s">
        <v>11</v>
      </c>
      <c r="D358">
        <v>92</v>
      </c>
      <c r="E358">
        <v>30</v>
      </c>
      <c r="F358">
        <v>77</v>
      </c>
      <c r="G358">
        <v>3</v>
      </c>
      <c r="H358" t="s">
        <v>15</v>
      </c>
      <c r="I358">
        <v>68</v>
      </c>
      <c r="J358" t="b">
        <v>0</v>
      </c>
    </row>
    <row r="359" spans="1:10" x14ac:dyDescent="0.3">
      <c r="A359">
        <v>358</v>
      </c>
      <c r="B359" t="s">
        <v>365</v>
      </c>
      <c r="C359" t="s">
        <v>11</v>
      </c>
      <c r="D359">
        <v>88</v>
      </c>
      <c r="E359">
        <v>20</v>
      </c>
      <c r="F359">
        <v>82</v>
      </c>
      <c r="G359">
        <v>1</v>
      </c>
      <c r="H359" t="s">
        <v>15</v>
      </c>
      <c r="I359">
        <v>80</v>
      </c>
      <c r="J359" t="b">
        <v>1</v>
      </c>
    </row>
    <row r="360" spans="1:10" x14ac:dyDescent="0.3">
      <c r="A360">
        <v>359</v>
      </c>
      <c r="B360" t="s">
        <v>366</v>
      </c>
      <c r="C360" t="s">
        <v>11</v>
      </c>
      <c r="D360">
        <v>92</v>
      </c>
      <c r="E360">
        <v>18</v>
      </c>
      <c r="F360">
        <v>60</v>
      </c>
      <c r="G360">
        <v>2</v>
      </c>
      <c r="H360" t="s">
        <v>12</v>
      </c>
      <c r="I360">
        <v>80</v>
      </c>
      <c r="J360" t="b">
        <v>1</v>
      </c>
    </row>
    <row r="361" spans="1:10" x14ac:dyDescent="0.3">
      <c r="A361">
        <v>360</v>
      </c>
      <c r="B361" t="s">
        <v>367</v>
      </c>
      <c r="C361" t="s">
        <v>977</v>
      </c>
      <c r="D361">
        <v>88</v>
      </c>
      <c r="E361">
        <v>22</v>
      </c>
      <c r="F361">
        <v>82</v>
      </c>
      <c r="G361">
        <v>2</v>
      </c>
      <c r="H361" t="s">
        <v>15</v>
      </c>
      <c r="I361">
        <v>62</v>
      </c>
      <c r="J361" t="b">
        <v>0</v>
      </c>
    </row>
    <row r="362" spans="1:10" x14ac:dyDescent="0.3">
      <c r="A362">
        <v>361</v>
      </c>
      <c r="B362" t="s">
        <v>977</v>
      </c>
      <c r="C362" t="s">
        <v>14</v>
      </c>
      <c r="D362">
        <v>88</v>
      </c>
      <c r="E362">
        <v>12</v>
      </c>
      <c r="F362">
        <v>86</v>
      </c>
      <c r="G362">
        <v>0</v>
      </c>
      <c r="H362" t="s">
        <v>17</v>
      </c>
      <c r="I362">
        <v>87</v>
      </c>
      <c r="J362" t="b">
        <v>1</v>
      </c>
    </row>
    <row r="363" spans="1:10" x14ac:dyDescent="0.3">
      <c r="A363">
        <v>362</v>
      </c>
      <c r="B363" t="s">
        <v>368</v>
      </c>
      <c r="C363" t="s">
        <v>14</v>
      </c>
      <c r="D363">
        <v>90</v>
      </c>
      <c r="E363">
        <v>17</v>
      </c>
      <c r="F363">
        <v>85</v>
      </c>
      <c r="G363">
        <v>1</v>
      </c>
      <c r="H363" t="s">
        <v>15</v>
      </c>
      <c r="I363">
        <v>90</v>
      </c>
      <c r="J363" t="b">
        <v>0</v>
      </c>
    </row>
    <row r="364" spans="1:10" x14ac:dyDescent="0.3">
      <c r="A364">
        <v>363</v>
      </c>
      <c r="B364" t="s">
        <v>369</v>
      </c>
      <c r="C364" t="s">
        <v>11</v>
      </c>
      <c r="D364">
        <v>82</v>
      </c>
      <c r="E364">
        <v>25</v>
      </c>
      <c r="F364">
        <v>78</v>
      </c>
      <c r="G364">
        <v>3</v>
      </c>
      <c r="H364" t="s">
        <v>15</v>
      </c>
      <c r="I364">
        <v>90</v>
      </c>
      <c r="J364" t="b">
        <v>1</v>
      </c>
    </row>
    <row r="365" spans="1:10" x14ac:dyDescent="0.3">
      <c r="A365">
        <v>364</v>
      </c>
      <c r="B365" t="s">
        <v>370</v>
      </c>
      <c r="C365" t="s">
        <v>14</v>
      </c>
      <c r="D365">
        <v>88</v>
      </c>
      <c r="E365">
        <v>8</v>
      </c>
      <c r="F365">
        <v>60</v>
      </c>
      <c r="G365">
        <v>0</v>
      </c>
      <c r="H365" t="s">
        <v>17</v>
      </c>
      <c r="I365">
        <v>80</v>
      </c>
      <c r="J365" t="b">
        <v>1</v>
      </c>
    </row>
    <row r="366" spans="1:10" x14ac:dyDescent="0.3">
      <c r="A366">
        <v>365</v>
      </c>
      <c r="B366" t="s">
        <v>371</v>
      </c>
      <c r="C366" t="s">
        <v>11</v>
      </c>
      <c r="D366">
        <v>82</v>
      </c>
      <c r="E366">
        <v>17</v>
      </c>
      <c r="F366">
        <v>88</v>
      </c>
      <c r="G366">
        <v>2</v>
      </c>
      <c r="H366" t="s">
        <v>15</v>
      </c>
      <c r="I366">
        <v>68</v>
      </c>
      <c r="J366" t="b">
        <v>1</v>
      </c>
    </row>
    <row r="367" spans="1:10" x14ac:dyDescent="0.3">
      <c r="A367">
        <v>366</v>
      </c>
      <c r="B367" t="s">
        <v>372</v>
      </c>
      <c r="C367" t="s">
        <v>11</v>
      </c>
      <c r="D367">
        <v>85</v>
      </c>
      <c r="E367">
        <v>10</v>
      </c>
      <c r="F367">
        <v>82</v>
      </c>
      <c r="G367">
        <v>2</v>
      </c>
      <c r="H367" t="s">
        <v>12</v>
      </c>
      <c r="I367">
        <v>90</v>
      </c>
      <c r="J367" t="b">
        <v>0</v>
      </c>
    </row>
    <row r="368" spans="1:10" x14ac:dyDescent="0.3">
      <c r="A368">
        <v>367</v>
      </c>
      <c r="B368" t="s">
        <v>373</v>
      </c>
      <c r="C368" t="s">
        <v>14</v>
      </c>
      <c r="D368">
        <v>70</v>
      </c>
      <c r="E368">
        <v>30</v>
      </c>
      <c r="F368">
        <v>77.598759048603924</v>
      </c>
      <c r="G368">
        <v>2</v>
      </c>
      <c r="H368" t="s">
        <v>17</v>
      </c>
      <c r="I368">
        <v>85</v>
      </c>
      <c r="J368" t="b">
        <v>0</v>
      </c>
    </row>
    <row r="369" spans="1:10" x14ac:dyDescent="0.3">
      <c r="A369">
        <v>368</v>
      </c>
      <c r="B369" t="s">
        <v>374</v>
      </c>
      <c r="C369" t="s">
        <v>11</v>
      </c>
      <c r="D369">
        <v>85</v>
      </c>
      <c r="E369">
        <v>25</v>
      </c>
      <c r="F369">
        <v>70</v>
      </c>
      <c r="G369">
        <v>2</v>
      </c>
      <c r="H369" t="s">
        <v>17</v>
      </c>
      <c r="I369">
        <v>62</v>
      </c>
      <c r="J369" t="b">
        <v>1</v>
      </c>
    </row>
    <row r="370" spans="1:10" x14ac:dyDescent="0.3">
      <c r="A370">
        <v>369</v>
      </c>
      <c r="B370" t="s">
        <v>375</v>
      </c>
      <c r="C370" t="s">
        <v>11</v>
      </c>
      <c r="D370">
        <v>92</v>
      </c>
      <c r="E370">
        <v>30</v>
      </c>
      <c r="F370">
        <v>60</v>
      </c>
      <c r="G370">
        <v>3</v>
      </c>
      <c r="H370" t="s">
        <v>15</v>
      </c>
      <c r="I370">
        <v>68</v>
      </c>
      <c r="J370" t="b">
        <v>1</v>
      </c>
    </row>
    <row r="371" spans="1:10" x14ac:dyDescent="0.3">
      <c r="A371">
        <v>370</v>
      </c>
      <c r="B371" t="s">
        <v>376</v>
      </c>
      <c r="C371" t="s">
        <v>14</v>
      </c>
      <c r="D371">
        <v>95</v>
      </c>
      <c r="E371">
        <v>10</v>
      </c>
      <c r="F371">
        <v>88</v>
      </c>
      <c r="G371">
        <v>1</v>
      </c>
      <c r="H371" t="s">
        <v>12</v>
      </c>
      <c r="I371">
        <v>78</v>
      </c>
      <c r="J371" t="b">
        <v>1</v>
      </c>
    </row>
    <row r="372" spans="1:10" x14ac:dyDescent="0.3">
      <c r="A372">
        <v>371</v>
      </c>
      <c r="B372" t="s">
        <v>377</v>
      </c>
      <c r="C372" t="s">
        <v>14</v>
      </c>
      <c r="D372">
        <v>90</v>
      </c>
      <c r="E372">
        <v>10</v>
      </c>
      <c r="F372">
        <v>86</v>
      </c>
      <c r="G372">
        <v>1</v>
      </c>
      <c r="H372" t="s">
        <v>17</v>
      </c>
      <c r="I372">
        <v>62</v>
      </c>
      <c r="J372" t="b">
        <v>0</v>
      </c>
    </row>
    <row r="373" spans="1:10" x14ac:dyDescent="0.3">
      <c r="A373">
        <v>372</v>
      </c>
      <c r="B373" t="s">
        <v>378</v>
      </c>
      <c r="C373" t="s">
        <v>11</v>
      </c>
      <c r="D373">
        <v>82</v>
      </c>
      <c r="E373">
        <v>25</v>
      </c>
      <c r="F373">
        <v>88</v>
      </c>
      <c r="G373">
        <v>1</v>
      </c>
      <c r="H373" t="s">
        <v>15</v>
      </c>
      <c r="I373">
        <v>72</v>
      </c>
      <c r="J373" t="b">
        <v>1</v>
      </c>
    </row>
    <row r="374" spans="1:10" x14ac:dyDescent="0.3">
      <c r="A374">
        <v>373</v>
      </c>
      <c r="B374" t="s">
        <v>379</v>
      </c>
      <c r="C374" t="s">
        <v>11</v>
      </c>
      <c r="D374">
        <v>95</v>
      </c>
      <c r="E374">
        <v>18</v>
      </c>
      <c r="F374">
        <v>65</v>
      </c>
      <c r="G374">
        <v>2</v>
      </c>
      <c r="H374" t="s">
        <v>15</v>
      </c>
      <c r="I374">
        <v>72</v>
      </c>
      <c r="J374" t="b">
        <v>1</v>
      </c>
    </row>
    <row r="375" spans="1:10" x14ac:dyDescent="0.3">
      <c r="A375">
        <v>374</v>
      </c>
      <c r="B375" t="s">
        <v>380</v>
      </c>
      <c r="C375" t="s">
        <v>14</v>
      </c>
      <c r="D375">
        <v>88</v>
      </c>
      <c r="E375">
        <v>17</v>
      </c>
      <c r="F375">
        <v>70</v>
      </c>
      <c r="G375">
        <v>3</v>
      </c>
      <c r="H375" t="s">
        <v>17</v>
      </c>
      <c r="I375">
        <v>80.030208333333334</v>
      </c>
      <c r="J375" t="b">
        <v>1</v>
      </c>
    </row>
    <row r="376" spans="1:10" x14ac:dyDescent="0.3">
      <c r="A376">
        <v>375</v>
      </c>
      <c r="B376" t="s">
        <v>381</v>
      </c>
      <c r="C376" t="s">
        <v>14</v>
      </c>
      <c r="D376">
        <v>95</v>
      </c>
      <c r="E376">
        <v>25</v>
      </c>
      <c r="F376">
        <v>65</v>
      </c>
      <c r="G376">
        <v>0</v>
      </c>
      <c r="H376" t="s">
        <v>12</v>
      </c>
      <c r="I376">
        <v>92</v>
      </c>
      <c r="J376" t="b">
        <v>1</v>
      </c>
    </row>
    <row r="377" spans="1:10" x14ac:dyDescent="0.3">
      <c r="A377">
        <v>376</v>
      </c>
      <c r="B377" t="s">
        <v>382</v>
      </c>
      <c r="C377" t="s">
        <v>11</v>
      </c>
      <c r="D377">
        <v>90</v>
      </c>
      <c r="E377">
        <v>30</v>
      </c>
      <c r="F377">
        <v>78</v>
      </c>
      <c r="G377">
        <v>0</v>
      </c>
      <c r="H377" t="s">
        <v>17</v>
      </c>
      <c r="I377">
        <v>85</v>
      </c>
      <c r="J377" t="b">
        <v>1</v>
      </c>
    </row>
    <row r="378" spans="1:10" x14ac:dyDescent="0.3">
      <c r="A378">
        <v>377</v>
      </c>
      <c r="B378" t="s">
        <v>383</v>
      </c>
      <c r="C378" t="s">
        <v>11</v>
      </c>
      <c r="D378">
        <v>85</v>
      </c>
      <c r="E378">
        <v>15</v>
      </c>
      <c r="F378">
        <v>85</v>
      </c>
      <c r="G378">
        <v>0</v>
      </c>
      <c r="H378" t="s">
        <v>15</v>
      </c>
      <c r="I378">
        <v>62</v>
      </c>
      <c r="J378" t="b">
        <v>0</v>
      </c>
    </row>
    <row r="379" spans="1:10" x14ac:dyDescent="0.3">
      <c r="A379">
        <v>378</v>
      </c>
      <c r="B379" t="s">
        <v>384</v>
      </c>
      <c r="C379" t="s">
        <v>11</v>
      </c>
      <c r="D379">
        <v>85</v>
      </c>
      <c r="E379">
        <v>18</v>
      </c>
      <c r="F379">
        <v>60</v>
      </c>
      <c r="G379">
        <v>2</v>
      </c>
      <c r="H379" t="s">
        <v>17</v>
      </c>
      <c r="I379">
        <v>72</v>
      </c>
      <c r="J379" t="b">
        <v>1</v>
      </c>
    </row>
    <row r="380" spans="1:10" x14ac:dyDescent="0.3">
      <c r="A380">
        <v>379</v>
      </c>
      <c r="B380" t="s">
        <v>385</v>
      </c>
      <c r="C380" t="s">
        <v>11</v>
      </c>
      <c r="D380">
        <v>82</v>
      </c>
      <c r="E380">
        <v>22</v>
      </c>
      <c r="F380">
        <v>85</v>
      </c>
      <c r="G380">
        <v>2</v>
      </c>
      <c r="H380" t="s">
        <v>12</v>
      </c>
      <c r="I380">
        <v>87</v>
      </c>
      <c r="J380" t="b">
        <v>1</v>
      </c>
    </row>
    <row r="381" spans="1:10" x14ac:dyDescent="0.3">
      <c r="A381">
        <v>380</v>
      </c>
      <c r="B381" t="s">
        <v>386</v>
      </c>
      <c r="C381" t="s">
        <v>11</v>
      </c>
      <c r="D381">
        <v>95</v>
      </c>
      <c r="E381">
        <v>8</v>
      </c>
      <c r="F381">
        <v>82</v>
      </c>
      <c r="G381">
        <v>0</v>
      </c>
      <c r="H381" t="s">
        <v>12</v>
      </c>
      <c r="I381">
        <v>72</v>
      </c>
      <c r="J381" t="b">
        <v>0</v>
      </c>
    </row>
    <row r="382" spans="1:10" x14ac:dyDescent="0.3">
      <c r="A382">
        <v>381</v>
      </c>
      <c r="B382" t="s">
        <v>387</v>
      </c>
      <c r="C382" t="s">
        <v>11</v>
      </c>
      <c r="D382">
        <v>85</v>
      </c>
      <c r="E382">
        <v>15</v>
      </c>
      <c r="F382">
        <v>85</v>
      </c>
      <c r="G382">
        <v>2</v>
      </c>
      <c r="H382" t="s">
        <v>17</v>
      </c>
      <c r="I382">
        <v>78</v>
      </c>
      <c r="J382" t="b">
        <v>1</v>
      </c>
    </row>
    <row r="383" spans="1:10" x14ac:dyDescent="0.3">
      <c r="A383">
        <v>382</v>
      </c>
      <c r="B383" t="s">
        <v>388</v>
      </c>
      <c r="C383" t="s">
        <v>14</v>
      </c>
      <c r="D383">
        <v>92</v>
      </c>
      <c r="E383">
        <v>17</v>
      </c>
      <c r="F383">
        <v>82</v>
      </c>
      <c r="G383">
        <v>2</v>
      </c>
      <c r="H383" t="s">
        <v>15</v>
      </c>
      <c r="I383">
        <v>80</v>
      </c>
      <c r="J383" t="b">
        <v>1</v>
      </c>
    </row>
    <row r="384" spans="1:10" x14ac:dyDescent="0.3">
      <c r="A384">
        <v>383</v>
      </c>
      <c r="B384" t="s">
        <v>977</v>
      </c>
      <c r="C384" t="s">
        <v>14</v>
      </c>
      <c r="D384">
        <v>95</v>
      </c>
      <c r="E384">
        <v>8</v>
      </c>
      <c r="F384">
        <v>85</v>
      </c>
      <c r="G384">
        <v>2</v>
      </c>
      <c r="H384" t="s">
        <v>12</v>
      </c>
      <c r="I384">
        <v>80</v>
      </c>
      <c r="J384" t="b">
        <v>1</v>
      </c>
    </row>
    <row r="385" spans="1:10" x14ac:dyDescent="0.3">
      <c r="A385">
        <v>384</v>
      </c>
      <c r="B385" t="s">
        <v>389</v>
      </c>
      <c r="C385" t="s">
        <v>14</v>
      </c>
      <c r="D385">
        <v>85.510416666666671</v>
      </c>
      <c r="E385">
        <v>22</v>
      </c>
      <c r="F385">
        <v>82</v>
      </c>
      <c r="G385">
        <v>2</v>
      </c>
      <c r="H385" t="s">
        <v>15</v>
      </c>
      <c r="I385">
        <v>90</v>
      </c>
      <c r="J385" t="b">
        <v>0</v>
      </c>
    </row>
    <row r="386" spans="1:10" x14ac:dyDescent="0.3">
      <c r="A386">
        <v>385</v>
      </c>
      <c r="B386" t="s">
        <v>390</v>
      </c>
      <c r="C386" t="s">
        <v>14</v>
      </c>
      <c r="D386">
        <v>70</v>
      </c>
      <c r="E386">
        <v>17</v>
      </c>
      <c r="F386">
        <v>60</v>
      </c>
      <c r="G386">
        <v>0</v>
      </c>
      <c r="H386" t="s">
        <v>12</v>
      </c>
      <c r="I386">
        <v>68</v>
      </c>
      <c r="J386" t="b">
        <v>1</v>
      </c>
    </row>
    <row r="387" spans="1:10" x14ac:dyDescent="0.3">
      <c r="A387">
        <v>386</v>
      </c>
      <c r="B387" t="s">
        <v>391</v>
      </c>
      <c r="C387" t="s">
        <v>14</v>
      </c>
      <c r="D387">
        <v>91</v>
      </c>
      <c r="E387">
        <v>17</v>
      </c>
      <c r="F387">
        <v>86</v>
      </c>
      <c r="G387">
        <v>1</v>
      </c>
      <c r="H387" t="s">
        <v>12</v>
      </c>
      <c r="I387">
        <v>88</v>
      </c>
      <c r="J387" t="b">
        <v>1</v>
      </c>
    </row>
    <row r="388" spans="1:10" x14ac:dyDescent="0.3">
      <c r="A388">
        <v>387</v>
      </c>
      <c r="B388" t="s">
        <v>392</v>
      </c>
      <c r="C388" t="s">
        <v>14</v>
      </c>
      <c r="D388">
        <v>85</v>
      </c>
      <c r="E388">
        <v>20</v>
      </c>
      <c r="F388">
        <v>60</v>
      </c>
      <c r="G388">
        <v>1</v>
      </c>
      <c r="H388" t="s">
        <v>12</v>
      </c>
      <c r="I388">
        <v>87</v>
      </c>
      <c r="J388" t="b">
        <v>1</v>
      </c>
    </row>
    <row r="389" spans="1:10" x14ac:dyDescent="0.3">
      <c r="A389">
        <v>388</v>
      </c>
      <c r="B389" t="s">
        <v>393</v>
      </c>
      <c r="C389" t="s">
        <v>11</v>
      </c>
      <c r="D389">
        <v>95</v>
      </c>
      <c r="E389">
        <v>12</v>
      </c>
      <c r="F389">
        <v>70</v>
      </c>
      <c r="G389">
        <v>1</v>
      </c>
      <c r="H389" t="s">
        <v>12</v>
      </c>
      <c r="I389">
        <v>62</v>
      </c>
      <c r="J389" t="b">
        <v>0</v>
      </c>
    </row>
    <row r="390" spans="1:10" x14ac:dyDescent="0.3">
      <c r="A390">
        <v>389</v>
      </c>
      <c r="B390" t="s">
        <v>394</v>
      </c>
      <c r="C390" t="s">
        <v>14</v>
      </c>
      <c r="D390">
        <v>78</v>
      </c>
      <c r="E390">
        <v>12</v>
      </c>
      <c r="F390">
        <v>86</v>
      </c>
      <c r="G390">
        <v>1</v>
      </c>
      <c r="H390" t="s">
        <v>12</v>
      </c>
      <c r="I390">
        <v>68</v>
      </c>
      <c r="J390" t="b">
        <v>0</v>
      </c>
    </row>
    <row r="391" spans="1:10" x14ac:dyDescent="0.3">
      <c r="A391">
        <v>390</v>
      </c>
      <c r="B391" t="s">
        <v>395</v>
      </c>
      <c r="C391" t="s">
        <v>11</v>
      </c>
      <c r="D391">
        <v>85</v>
      </c>
      <c r="E391">
        <v>30</v>
      </c>
      <c r="F391">
        <v>90</v>
      </c>
      <c r="G391">
        <v>1</v>
      </c>
      <c r="H391" t="s">
        <v>15</v>
      </c>
      <c r="I391">
        <v>80</v>
      </c>
      <c r="J391" t="b">
        <v>0</v>
      </c>
    </row>
    <row r="392" spans="1:10" x14ac:dyDescent="0.3">
      <c r="A392">
        <v>391</v>
      </c>
      <c r="B392" t="s">
        <v>977</v>
      </c>
      <c r="C392" t="s">
        <v>977</v>
      </c>
      <c r="D392">
        <v>90</v>
      </c>
      <c r="E392">
        <v>17</v>
      </c>
      <c r="F392">
        <v>77</v>
      </c>
      <c r="G392">
        <v>3</v>
      </c>
      <c r="H392" t="s">
        <v>15</v>
      </c>
      <c r="I392">
        <v>87</v>
      </c>
      <c r="J392" t="b">
        <v>0</v>
      </c>
    </row>
    <row r="393" spans="1:10" x14ac:dyDescent="0.3">
      <c r="A393">
        <v>392</v>
      </c>
      <c r="B393" t="s">
        <v>396</v>
      </c>
      <c r="C393" t="s">
        <v>14</v>
      </c>
      <c r="D393">
        <v>85</v>
      </c>
      <c r="E393">
        <v>20</v>
      </c>
      <c r="F393">
        <v>77.598759048603924</v>
      </c>
      <c r="G393">
        <v>0</v>
      </c>
      <c r="H393" t="s">
        <v>12</v>
      </c>
      <c r="I393">
        <v>72</v>
      </c>
      <c r="J393" t="b">
        <v>0</v>
      </c>
    </row>
    <row r="394" spans="1:10" x14ac:dyDescent="0.3">
      <c r="A394">
        <v>393</v>
      </c>
      <c r="B394" t="s">
        <v>397</v>
      </c>
      <c r="C394" t="s">
        <v>11</v>
      </c>
      <c r="D394">
        <v>85</v>
      </c>
      <c r="E394">
        <v>30</v>
      </c>
      <c r="F394">
        <v>88</v>
      </c>
      <c r="G394">
        <v>1</v>
      </c>
      <c r="H394" t="s">
        <v>12</v>
      </c>
      <c r="I394">
        <v>78</v>
      </c>
      <c r="J394" t="b">
        <v>0</v>
      </c>
    </row>
    <row r="395" spans="1:10" x14ac:dyDescent="0.3">
      <c r="A395">
        <v>394</v>
      </c>
      <c r="B395" t="s">
        <v>398</v>
      </c>
      <c r="C395" t="s">
        <v>14</v>
      </c>
      <c r="D395">
        <v>90</v>
      </c>
      <c r="E395">
        <v>20</v>
      </c>
      <c r="F395">
        <v>90</v>
      </c>
      <c r="G395">
        <v>1</v>
      </c>
      <c r="H395" t="s">
        <v>15</v>
      </c>
      <c r="I395">
        <v>90</v>
      </c>
      <c r="J395" t="b">
        <v>0</v>
      </c>
    </row>
    <row r="396" spans="1:10" x14ac:dyDescent="0.3">
      <c r="A396">
        <v>395</v>
      </c>
      <c r="B396" t="s">
        <v>399</v>
      </c>
      <c r="C396" t="s">
        <v>11</v>
      </c>
      <c r="D396">
        <v>78</v>
      </c>
      <c r="E396">
        <v>17</v>
      </c>
      <c r="F396">
        <v>65</v>
      </c>
      <c r="G396">
        <v>0</v>
      </c>
      <c r="H396" t="s">
        <v>12</v>
      </c>
      <c r="I396">
        <v>85</v>
      </c>
      <c r="J396" t="b">
        <v>1</v>
      </c>
    </row>
    <row r="397" spans="1:10" x14ac:dyDescent="0.3">
      <c r="A397">
        <v>396</v>
      </c>
      <c r="B397" t="s">
        <v>400</v>
      </c>
      <c r="C397" t="s">
        <v>11</v>
      </c>
      <c r="D397">
        <v>85</v>
      </c>
      <c r="E397">
        <v>25</v>
      </c>
      <c r="F397">
        <v>88</v>
      </c>
      <c r="G397">
        <v>2</v>
      </c>
      <c r="H397" t="s">
        <v>15</v>
      </c>
      <c r="I397">
        <v>80</v>
      </c>
      <c r="J397" t="b">
        <v>1</v>
      </c>
    </row>
    <row r="398" spans="1:10" x14ac:dyDescent="0.3">
      <c r="A398">
        <v>397</v>
      </c>
      <c r="B398" t="s">
        <v>401</v>
      </c>
      <c r="C398" t="s">
        <v>14</v>
      </c>
      <c r="D398">
        <v>91</v>
      </c>
      <c r="E398">
        <v>12</v>
      </c>
      <c r="F398">
        <v>65</v>
      </c>
      <c r="G398">
        <v>1</v>
      </c>
      <c r="H398" t="s">
        <v>12</v>
      </c>
      <c r="I398">
        <v>72</v>
      </c>
      <c r="J398" t="b">
        <v>0</v>
      </c>
    </row>
    <row r="399" spans="1:10" x14ac:dyDescent="0.3">
      <c r="A399">
        <v>398</v>
      </c>
      <c r="B399" t="s">
        <v>402</v>
      </c>
      <c r="C399" t="s">
        <v>11</v>
      </c>
      <c r="D399">
        <v>91</v>
      </c>
      <c r="E399">
        <v>10</v>
      </c>
      <c r="F399">
        <v>65</v>
      </c>
      <c r="G399">
        <v>2</v>
      </c>
      <c r="H399" t="s">
        <v>15</v>
      </c>
      <c r="I399">
        <v>88</v>
      </c>
      <c r="J399" t="b">
        <v>0</v>
      </c>
    </row>
    <row r="400" spans="1:10" x14ac:dyDescent="0.3">
      <c r="A400">
        <v>399</v>
      </c>
      <c r="B400" t="s">
        <v>403</v>
      </c>
      <c r="C400" t="s">
        <v>11</v>
      </c>
      <c r="D400">
        <v>88</v>
      </c>
      <c r="E400">
        <v>8</v>
      </c>
      <c r="F400">
        <v>88</v>
      </c>
      <c r="G400">
        <v>2</v>
      </c>
      <c r="H400" t="s">
        <v>15</v>
      </c>
      <c r="I400">
        <v>68</v>
      </c>
      <c r="J400" t="b">
        <v>0</v>
      </c>
    </row>
    <row r="401" spans="1:10" x14ac:dyDescent="0.3">
      <c r="A401">
        <v>400</v>
      </c>
      <c r="B401" t="s">
        <v>404</v>
      </c>
      <c r="C401" t="s">
        <v>14</v>
      </c>
      <c r="D401">
        <v>82</v>
      </c>
      <c r="E401">
        <v>17.630526315789474</v>
      </c>
      <c r="F401">
        <v>90</v>
      </c>
      <c r="G401">
        <v>3</v>
      </c>
      <c r="H401" t="s">
        <v>17</v>
      </c>
      <c r="I401">
        <v>85</v>
      </c>
      <c r="J401" t="b">
        <v>1</v>
      </c>
    </row>
    <row r="402" spans="1:10" x14ac:dyDescent="0.3">
      <c r="A402">
        <v>401</v>
      </c>
      <c r="B402" t="s">
        <v>405</v>
      </c>
      <c r="C402" t="s">
        <v>14</v>
      </c>
      <c r="D402">
        <v>90</v>
      </c>
      <c r="E402">
        <v>17.630526315789474</v>
      </c>
      <c r="F402">
        <v>70</v>
      </c>
      <c r="G402">
        <v>1</v>
      </c>
      <c r="H402" t="s">
        <v>17</v>
      </c>
      <c r="I402">
        <v>88</v>
      </c>
      <c r="J402" t="b">
        <v>0</v>
      </c>
    </row>
    <row r="403" spans="1:10" x14ac:dyDescent="0.3">
      <c r="A403">
        <v>402</v>
      </c>
      <c r="B403" t="s">
        <v>406</v>
      </c>
      <c r="C403" t="s">
        <v>14</v>
      </c>
      <c r="D403">
        <v>70</v>
      </c>
      <c r="E403">
        <v>17.630526315789474</v>
      </c>
      <c r="F403">
        <v>70</v>
      </c>
      <c r="G403">
        <v>2</v>
      </c>
      <c r="H403" t="s">
        <v>12</v>
      </c>
      <c r="I403">
        <v>62</v>
      </c>
      <c r="J403" t="b">
        <v>1</v>
      </c>
    </row>
    <row r="404" spans="1:10" x14ac:dyDescent="0.3">
      <c r="A404">
        <v>403</v>
      </c>
      <c r="B404" t="s">
        <v>407</v>
      </c>
      <c r="C404" t="s">
        <v>14</v>
      </c>
      <c r="D404">
        <v>78</v>
      </c>
      <c r="E404">
        <v>17.630526315789474</v>
      </c>
      <c r="F404">
        <v>82</v>
      </c>
      <c r="G404">
        <v>0</v>
      </c>
      <c r="H404" t="s">
        <v>12</v>
      </c>
      <c r="I404">
        <v>85</v>
      </c>
      <c r="J404" t="b">
        <v>1</v>
      </c>
    </row>
    <row r="405" spans="1:10" x14ac:dyDescent="0.3">
      <c r="A405">
        <v>404</v>
      </c>
      <c r="B405" t="s">
        <v>408</v>
      </c>
      <c r="C405" t="s">
        <v>14</v>
      </c>
      <c r="D405">
        <v>90</v>
      </c>
      <c r="E405">
        <v>22</v>
      </c>
      <c r="F405">
        <v>70</v>
      </c>
      <c r="G405">
        <v>3</v>
      </c>
      <c r="H405" t="s">
        <v>17</v>
      </c>
      <c r="I405">
        <v>72</v>
      </c>
      <c r="J405" t="b">
        <v>0</v>
      </c>
    </row>
    <row r="406" spans="1:10" x14ac:dyDescent="0.3">
      <c r="A406">
        <v>405</v>
      </c>
      <c r="B406" t="s">
        <v>409</v>
      </c>
      <c r="C406" t="s">
        <v>14</v>
      </c>
      <c r="D406">
        <v>70</v>
      </c>
      <c r="E406">
        <v>8</v>
      </c>
      <c r="F406">
        <v>88</v>
      </c>
      <c r="G406">
        <v>2</v>
      </c>
      <c r="H406" t="s">
        <v>12</v>
      </c>
      <c r="I406">
        <v>80</v>
      </c>
      <c r="J406" t="b">
        <v>0</v>
      </c>
    </row>
    <row r="407" spans="1:10" x14ac:dyDescent="0.3">
      <c r="A407">
        <v>406</v>
      </c>
      <c r="B407" t="s">
        <v>410</v>
      </c>
      <c r="C407" t="s">
        <v>14</v>
      </c>
      <c r="D407">
        <v>85.510416666666671</v>
      </c>
      <c r="E407">
        <v>12</v>
      </c>
      <c r="F407">
        <v>86</v>
      </c>
      <c r="G407">
        <v>3</v>
      </c>
      <c r="H407" t="s">
        <v>17</v>
      </c>
      <c r="I407">
        <v>92</v>
      </c>
      <c r="J407" t="b">
        <v>1</v>
      </c>
    </row>
    <row r="408" spans="1:10" x14ac:dyDescent="0.3">
      <c r="A408">
        <v>407</v>
      </c>
      <c r="B408" t="s">
        <v>411</v>
      </c>
      <c r="C408" t="s">
        <v>11</v>
      </c>
      <c r="D408">
        <v>82</v>
      </c>
      <c r="E408">
        <v>20</v>
      </c>
      <c r="F408">
        <v>60</v>
      </c>
      <c r="G408">
        <v>1</v>
      </c>
      <c r="H408" t="s">
        <v>15</v>
      </c>
      <c r="I408">
        <v>85</v>
      </c>
      <c r="J408" t="b">
        <v>1</v>
      </c>
    </row>
    <row r="409" spans="1:10" x14ac:dyDescent="0.3">
      <c r="A409">
        <v>408</v>
      </c>
      <c r="B409" t="s">
        <v>412</v>
      </c>
      <c r="C409" t="s">
        <v>11</v>
      </c>
      <c r="D409">
        <v>95</v>
      </c>
      <c r="E409">
        <v>17</v>
      </c>
      <c r="F409">
        <v>65</v>
      </c>
      <c r="G409">
        <v>1</v>
      </c>
      <c r="H409" t="s">
        <v>12</v>
      </c>
      <c r="I409">
        <v>90</v>
      </c>
      <c r="J409" t="b">
        <v>1</v>
      </c>
    </row>
    <row r="410" spans="1:10" x14ac:dyDescent="0.3">
      <c r="A410">
        <v>409</v>
      </c>
      <c r="B410" t="s">
        <v>413</v>
      </c>
      <c r="C410" t="s">
        <v>14</v>
      </c>
      <c r="D410">
        <v>90</v>
      </c>
      <c r="E410">
        <v>30</v>
      </c>
      <c r="F410">
        <v>70</v>
      </c>
      <c r="G410">
        <v>3</v>
      </c>
      <c r="H410" t="s">
        <v>12</v>
      </c>
      <c r="I410">
        <v>72</v>
      </c>
      <c r="J410" t="b">
        <v>1</v>
      </c>
    </row>
    <row r="411" spans="1:10" x14ac:dyDescent="0.3">
      <c r="A411">
        <v>410</v>
      </c>
      <c r="B411" t="s">
        <v>414</v>
      </c>
      <c r="C411" t="s">
        <v>14</v>
      </c>
      <c r="D411">
        <v>90</v>
      </c>
      <c r="E411">
        <v>30</v>
      </c>
      <c r="F411">
        <v>90</v>
      </c>
      <c r="G411">
        <v>3</v>
      </c>
      <c r="H411" t="s">
        <v>17</v>
      </c>
      <c r="I411">
        <v>90</v>
      </c>
      <c r="J411" t="b">
        <v>1</v>
      </c>
    </row>
    <row r="412" spans="1:10" x14ac:dyDescent="0.3">
      <c r="A412">
        <v>411</v>
      </c>
      <c r="B412" t="s">
        <v>415</v>
      </c>
      <c r="C412" t="s">
        <v>14</v>
      </c>
      <c r="D412">
        <v>82</v>
      </c>
      <c r="E412">
        <v>15</v>
      </c>
      <c r="F412">
        <v>85</v>
      </c>
      <c r="G412">
        <v>1</v>
      </c>
      <c r="H412" t="s">
        <v>15</v>
      </c>
      <c r="I412">
        <v>92</v>
      </c>
      <c r="J412" t="b">
        <v>1</v>
      </c>
    </row>
    <row r="413" spans="1:10" x14ac:dyDescent="0.3">
      <c r="A413">
        <v>412</v>
      </c>
      <c r="B413" t="s">
        <v>416</v>
      </c>
      <c r="C413" t="s">
        <v>14</v>
      </c>
      <c r="D413">
        <v>70</v>
      </c>
      <c r="E413">
        <v>20</v>
      </c>
      <c r="F413">
        <v>60</v>
      </c>
      <c r="G413">
        <v>2</v>
      </c>
      <c r="H413" t="s">
        <v>17</v>
      </c>
      <c r="I413">
        <v>85</v>
      </c>
      <c r="J413" t="b">
        <v>0</v>
      </c>
    </row>
    <row r="414" spans="1:10" x14ac:dyDescent="0.3">
      <c r="A414">
        <v>413</v>
      </c>
      <c r="B414" t="s">
        <v>417</v>
      </c>
      <c r="C414" t="s">
        <v>14</v>
      </c>
      <c r="D414">
        <v>85</v>
      </c>
      <c r="E414">
        <v>17.630526315789474</v>
      </c>
      <c r="F414">
        <v>82</v>
      </c>
      <c r="G414">
        <v>3</v>
      </c>
      <c r="H414" t="s">
        <v>15</v>
      </c>
      <c r="I414">
        <v>72</v>
      </c>
      <c r="J414" t="b">
        <v>1</v>
      </c>
    </row>
    <row r="415" spans="1:10" x14ac:dyDescent="0.3">
      <c r="A415">
        <v>414</v>
      </c>
      <c r="B415" t="s">
        <v>418</v>
      </c>
      <c r="C415" t="s">
        <v>11</v>
      </c>
      <c r="D415">
        <v>90</v>
      </c>
      <c r="E415">
        <v>25</v>
      </c>
      <c r="F415">
        <v>90</v>
      </c>
      <c r="G415">
        <v>0</v>
      </c>
      <c r="H415" t="s">
        <v>12</v>
      </c>
      <c r="I415">
        <v>92</v>
      </c>
      <c r="J415" t="b">
        <v>0</v>
      </c>
    </row>
    <row r="416" spans="1:10" x14ac:dyDescent="0.3">
      <c r="A416">
        <v>415</v>
      </c>
      <c r="B416" t="s">
        <v>419</v>
      </c>
      <c r="C416" t="s">
        <v>11</v>
      </c>
      <c r="D416">
        <v>85</v>
      </c>
      <c r="E416">
        <v>17</v>
      </c>
      <c r="F416">
        <v>88</v>
      </c>
      <c r="G416">
        <v>1</v>
      </c>
      <c r="H416" t="s">
        <v>12</v>
      </c>
      <c r="I416">
        <v>87</v>
      </c>
      <c r="J416" t="b">
        <v>0</v>
      </c>
    </row>
    <row r="417" spans="1:10" x14ac:dyDescent="0.3">
      <c r="A417">
        <v>416</v>
      </c>
      <c r="B417" t="s">
        <v>420</v>
      </c>
      <c r="C417" t="s">
        <v>11</v>
      </c>
      <c r="D417">
        <v>88</v>
      </c>
      <c r="E417">
        <v>8</v>
      </c>
      <c r="F417">
        <v>60</v>
      </c>
      <c r="G417">
        <v>1</v>
      </c>
      <c r="H417" t="s">
        <v>17</v>
      </c>
      <c r="I417">
        <v>62</v>
      </c>
      <c r="J417" t="b">
        <v>0</v>
      </c>
    </row>
    <row r="418" spans="1:10" x14ac:dyDescent="0.3">
      <c r="A418">
        <v>417</v>
      </c>
      <c r="B418" t="s">
        <v>421</v>
      </c>
      <c r="C418" t="s">
        <v>11</v>
      </c>
      <c r="D418">
        <v>91</v>
      </c>
      <c r="E418">
        <v>20</v>
      </c>
      <c r="F418">
        <v>86</v>
      </c>
      <c r="G418">
        <v>1</v>
      </c>
      <c r="H418" t="s">
        <v>17</v>
      </c>
      <c r="I418">
        <v>87</v>
      </c>
      <c r="J418" t="b">
        <v>1</v>
      </c>
    </row>
    <row r="419" spans="1:10" x14ac:dyDescent="0.3">
      <c r="A419">
        <v>418</v>
      </c>
      <c r="B419" t="s">
        <v>422</v>
      </c>
      <c r="C419" t="s">
        <v>14</v>
      </c>
      <c r="D419">
        <v>91</v>
      </c>
      <c r="E419">
        <v>20</v>
      </c>
      <c r="F419">
        <v>82</v>
      </c>
      <c r="G419">
        <v>1</v>
      </c>
      <c r="H419" t="s">
        <v>15</v>
      </c>
      <c r="I419">
        <v>62</v>
      </c>
      <c r="J419" t="b">
        <v>0</v>
      </c>
    </row>
    <row r="420" spans="1:10" x14ac:dyDescent="0.3">
      <c r="A420">
        <v>419</v>
      </c>
      <c r="B420" t="s">
        <v>423</v>
      </c>
      <c r="C420" t="s">
        <v>11</v>
      </c>
      <c r="D420">
        <v>78</v>
      </c>
      <c r="E420">
        <v>8</v>
      </c>
      <c r="F420">
        <v>70</v>
      </c>
      <c r="G420">
        <v>2</v>
      </c>
      <c r="H420" t="s">
        <v>17</v>
      </c>
      <c r="I420">
        <v>68</v>
      </c>
      <c r="J420" t="b">
        <v>0</v>
      </c>
    </row>
    <row r="421" spans="1:10" x14ac:dyDescent="0.3">
      <c r="A421">
        <v>420</v>
      </c>
      <c r="B421" t="s">
        <v>424</v>
      </c>
      <c r="C421" t="s">
        <v>11</v>
      </c>
      <c r="D421">
        <v>90</v>
      </c>
      <c r="E421">
        <v>15</v>
      </c>
      <c r="F421">
        <v>78</v>
      </c>
      <c r="G421">
        <v>3</v>
      </c>
      <c r="H421" t="s">
        <v>17</v>
      </c>
      <c r="I421">
        <v>62</v>
      </c>
      <c r="J421" t="b">
        <v>1</v>
      </c>
    </row>
    <row r="422" spans="1:10" x14ac:dyDescent="0.3">
      <c r="A422">
        <v>421</v>
      </c>
      <c r="B422" t="s">
        <v>977</v>
      </c>
      <c r="C422" t="s">
        <v>14</v>
      </c>
      <c r="D422">
        <v>92</v>
      </c>
      <c r="E422">
        <v>8</v>
      </c>
      <c r="F422">
        <v>70</v>
      </c>
      <c r="G422">
        <v>0</v>
      </c>
      <c r="H422" t="s">
        <v>12</v>
      </c>
      <c r="I422">
        <v>68</v>
      </c>
      <c r="J422" t="b">
        <v>1</v>
      </c>
    </row>
    <row r="423" spans="1:10" x14ac:dyDescent="0.3">
      <c r="A423">
        <v>422</v>
      </c>
      <c r="B423" t="s">
        <v>425</v>
      </c>
      <c r="C423" t="s">
        <v>977</v>
      </c>
      <c r="D423">
        <v>91</v>
      </c>
      <c r="E423">
        <v>15</v>
      </c>
      <c r="F423">
        <v>70</v>
      </c>
      <c r="G423">
        <v>1</v>
      </c>
      <c r="H423" t="s">
        <v>17</v>
      </c>
      <c r="I423">
        <v>72</v>
      </c>
      <c r="J423" t="b">
        <v>1</v>
      </c>
    </row>
    <row r="424" spans="1:10" x14ac:dyDescent="0.3">
      <c r="A424">
        <v>423</v>
      </c>
      <c r="B424" t="s">
        <v>426</v>
      </c>
      <c r="C424" t="s">
        <v>977</v>
      </c>
      <c r="D424">
        <v>92</v>
      </c>
      <c r="E424">
        <v>22</v>
      </c>
      <c r="F424">
        <v>77</v>
      </c>
      <c r="G424">
        <v>1</v>
      </c>
      <c r="H424" t="s">
        <v>15</v>
      </c>
      <c r="I424">
        <v>68</v>
      </c>
      <c r="J424" t="b">
        <v>1</v>
      </c>
    </row>
    <row r="425" spans="1:10" x14ac:dyDescent="0.3">
      <c r="A425">
        <v>424</v>
      </c>
      <c r="B425" t="s">
        <v>977</v>
      </c>
      <c r="C425" t="s">
        <v>11</v>
      </c>
      <c r="D425">
        <v>92</v>
      </c>
      <c r="E425">
        <v>30</v>
      </c>
      <c r="F425">
        <v>77</v>
      </c>
      <c r="G425">
        <v>1</v>
      </c>
      <c r="H425" t="s">
        <v>15</v>
      </c>
      <c r="I425">
        <v>88</v>
      </c>
      <c r="J425" t="b">
        <v>1</v>
      </c>
    </row>
    <row r="426" spans="1:10" x14ac:dyDescent="0.3">
      <c r="A426">
        <v>425</v>
      </c>
      <c r="B426" t="s">
        <v>427</v>
      </c>
      <c r="C426" t="s">
        <v>14</v>
      </c>
      <c r="D426">
        <v>85.510416666666671</v>
      </c>
      <c r="E426">
        <v>10</v>
      </c>
      <c r="F426">
        <v>78</v>
      </c>
      <c r="G426">
        <v>1</v>
      </c>
      <c r="H426" t="s">
        <v>12</v>
      </c>
      <c r="I426">
        <v>92</v>
      </c>
      <c r="J426" t="b">
        <v>0</v>
      </c>
    </row>
    <row r="427" spans="1:10" x14ac:dyDescent="0.3">
      <c r="A427">
        <v>426</v>
      </c>
      <c r="B427" t="s">
        <v>428</v>
      </c>
      <c r="C427" t="s">
        <v>14</v>
      </c>
      <c r="D427">
        <v>78</v>
      </c>
      <c r="E427">
        <v>30</v>
      </c>
      <c r="F427">
        <v>77</v>
      </c>
      <c r="G427">
        <v>1</v>
      </c>
      <c r="H427" t="s">
        <v>15</v>
      </c>
      <c r="I427">
        <v>90</v>
      </c>
      <c r="J427" t="b">
        <v>1</v>
      </c>
    </row>
    <row r="428" spans="1:10" x14ac:dyDescent="0.3">
      <c r="A428">
        <v>427</v>
      </c>
      <c r="B428" t="s">
        <v>429</v>
      </c>
      <c r="C428" t="s">
        <v>11</v>
      </c>
      <c r="D428">
        <v>88</v>
      </c>
      <c r="E428">
        <v>10</v>
      </c>
      <c r="F428">
        <v>70</v>
      </c>
      <c r="G428">
        <v>3</v>
      </c>
      <c r="H428" t="s">
        <v>15</v>
      </c>
      <c r="I428">
        <v>87</v>
      </c>
      <c r="J428" t="b">
        <v>1</v>
      </c>
    </row>
    <row r="429" spans="1:10" x14ac:dyDescent="0.3">
      <c r="A429">
        <v>428</v>
      </c>
      <c r="B429" t="s">
        <v>430</v>
      </c>
      <c r="C429" t="s">
        <v>11</v>
      </c>
      <c r="D429">
        <v>85</v>
      </c>
      <c r="E429">
        <v>12</v>
      </c>
      <c r="F429">
        <v>82</v>
      </c>
      <c r="G429">
        <v>2</v>
      </c>
      <c r="H429" t="s">
        <v>17</v>
      </c>
      <c r="I429">
        <v>78</v>
      </c>
      <c r="J429" t="b">
        <v>0</v>
      </c>
    </row>
    <row r="430" spans="1:10" x14ac:dyDescent="0.3">
      <c r="A430">
        <v>429</v>
      </c>
      <c r="B430" t="s">
        <v>431</v>
      </c>
      <c r="C430" t="s">
        <v>11</v>
      </c>
      <c r="D430">
        <v>91</v>
      </c>
      <c r="E430">
        <v>18</v>
      </c>
      <c r="F430">
        <v>65</v>
      </c>
      <c r="G430">
        <v>1</v>
      </c>
      <c r="H430" t="s">
        <v>17</v>
      </c>
      <c r="I430">
        <v>72</v>
      </c>
      <c r="J430" t="b">
        <v>1</v>
      </c>
    </row>
    <row r="431" spans="1:10" x14ac:dyDescent="0.3">
      <c r="A431">
        <v>430</v>
      </c>
      <c r="B431" t="s">
        <v>432</v>
      </c>
      <c r="C431" t="s">
        <v>11</v>
      </c>
      <c r="D431">
        <v>82</v>
      </c>
      <c r="E431">
        <v>10</v>
      </c>
      <c r="F431">
        <v>77</v>
      </c>
      <c r="G431">
        <v>0</v>
      </c>
      <c r="H431" t="s">
        <v>12</v>
      </c>
      <c r="I431">
        <v>88</v>
      </c>
      <c r="J431" t="b">
        <v>1</v>
      </c>
    </row>
    <row r="432" spans="1:10" x14ac:dyDescent="0.3">
      <c r="A432">
        <v>431</v>
      </c>
      <c r="B432" t="s">
        <v>433</v>
      </c>
      <c r="C432" t="s">
        <v>977</v>
      </c>
      <c r="D432">
        <v>85</v>
      </c>
      <c r="E432">
        <v>25</v>
      </c>
      <c r="F432">
        <v>77</v>
      </c>
      <c r="G432">
        <v>3</v>
      </c>
      <c r="H432" t="s">
        <v>12</v>
      </c>
      <c r="I432">
        <v>85</v>
      </c>
      <c r="J432" t="b">
        <v>1</v>
      </c>
    </row>
    <row r="433" spans="1:10" x14ac:dyDescent="0.3">
      <c r="A433">
        <v>432</v>
      </c>
      <c r="B433" t="s">
        <v>434</v>
      </c>
      <c r="C433" t="s">
        <v>14</v>
      </c>
      <c r="D433">
        <v>70</v>
      </c>
      <c r="E433">
        <v>17</v>
      </c>
      <c r="F433">
        <v>77</v>
      </c>
      <c r="G433">
        <v>1</v>
      </c>
      <c r="H433" t="s">
        <v>12</v>
      </c>
      <c r="I433">
        <v>90</v>
      </c>
      <c r="J433" t="b">
        <v>0</v>
      </c>
    </row>
    <row r="434" spans="1:10" x14ac:dyDescent="0.3">
      <c r="A434">
        <v>433</v>
      </c>
      <c r="B434" t="s">
        <v>435</v>
      </c>
      <c r="C434" t="s">
        <v>11</v>
      </c>
      <c r="D434">
        <v>70</v>
      </c>
      <c r="E434">
        <v>8</v>
      </c>
      <c r="F434">
        <v>88</v>
      </c>
      <c r="G434">
        <v>3</v>
      </c>
      <c r="H434" t="s">
        <v>17</v>
      </c>
      <c r="I434">
        <v>87</v>
      </c>
      <c r="J434" t="b">
        <v>1</v>
      </c>
    </row>
    <row r="435" spans="1:10" x14ac:dyDescent="0.3">
      <c r="A435">
        <v>434</v>
      </c>
      <c r="B435" t="s">
        <v>436</v>
      </c>
      <c r="C435" t="s">
        <v>14</v>
      </c>
      <c r="D435">
        <v>95</v>
      </c>
      <c r="E435">
        <v>30</v>
      </c>
      <c r="F435">
        <v>77</v>
      </c>
      <c r="G435">
        <v>1</v>
      </c>
      <c r="H435" t="s">
        <v>17</v>
      </c>
      <c r="I435">
        <v>80</v>
      </c>
      <c r="J435" t="b">
        <v>0</v>
      </c>
    </row>
    <row r="436" spans="1:10" x14ac:dyDescent="0.3">
      <c r="A436">
        <v>435</v>
      </c>
      <c r="B436" t="s">
        <v>437</v>
      </c>
      <c r="C436" t="s">
        <v>11</v>
      </c>
      <c r="D436">
        <v>90</v>
      </c>
      <c r="E436">
        <v>12</v>
      </c>
      <c r="F436">
        <v>82</v>
      </c>
      <c r="G436">
        <v>3</v>
      </c>
      <c r="H436" t="s">
        <v>12</v>
      </c>
      <c r="I436">
        <v>68</v>
      </c>
      <c r="J436" t="b">
        <v>1</v>
      </c>
    </row>
    <row r="437" spans="1:10" x14ac:dyDescent="0.3">
      <c r="A437">
        <v>436</v>
      </c>
      <c r="B437" t="s">
        <v>438</v>
      </c>
      <c r="C437" t="s">
        <v>14</v>
      </c>
      <c r="D437">
        <v>95</v>
      </c>
      <c r="E437">
        <v>20</v>
      </c>
      <c r="F437">
        <v>77</v>
      </c>
      <c r="G437">
        <v>1</v>
      </c>
      <c r="H437" t="s">
        <v>15</v>
      </c>
      <c r="I437">
        <v>92</v>
      </c>
      <c r="J437" t="b">
        <v>0</v>
      </c>
    </row>
    <row r="438" spans="1:10" x14ac:dyDescent="0.3">
      <c r="A438">
        <v>437</v>
      </c>
      <c r="B438" t="s">
        <v>977</v>
      </c>
      <c r="C438" t="s">
        <v>11</v>
      </c>
      <c r="D438">
        <v>85</v>
      </c>
      <c r="E438">
        <v>10</v>
      </c>
      <c r="F438">
        <v>86</v>
      </c>
      <c r="G438">
        <v>3</v>
      </c>
      <c r="H438" t="s">
        <v>12</v>
      </c>
      <c r="I438">
        <v>68</v>
      </c>
      <c r="J438" t="b">
        <v>1</v>
      </c>
    </row>
    <row r="439" spans="1:10" x14ac:dyDescent="0.3">
      <c r="A439">
        <v>438</v>
      </c>
      <c r="B439" t="s">
        <v>439</v>
      </c>
      <c r="C439" t="s">
        <v>11</v>
      </c>
      <c r="D439">
        <v>88</v>
      </c>
      <c r="E439">
        <v>10</v>
      </c>
      <c r="F439">
        <v>70</v>
      </c>
      <c r="G439">
        <v>0</v>
      </c>
      <c r="H439" t="s">
        <v>17</v>
      </c>
      <c r="I439">
        <v>88</v>
      </c>
      <c r="J439" t="b">
        <v>0</v>
      </c>
    </row>
    <row r="440" spans="1:10" x14ac:dyDescent="0.3">
      <c r="A440">
        <v>439</v>
      </c>
      <c r="B440" t="s">
        <v>977</v>
      </c>
      <c r="C440" t="s">
        <v>11</v>
      </c>
      <c r="D440">
        <v>85</v>
      </c>
      <c r="E440">
        <v>22</v>
      </c>
      <c r="F440">
        <v>77</v>
      </c>
      <c r="G440">
        <v>1</v>
      </c>
      <c r="H440" t="s">
        <v>12</v>
      </c>
      <c r="I440">
        <v>92</v>
      </c>
      <c r="J440" t="b">
        <v>1</v>
      </c>
    </row>
    <row r="441" spans="1:10" x14ac:dyDescent="0.3">
      <c r="A441">
        <v>440</v>
      </c>
      <c r="B441" t="s">
        <v>440</v>
      </c>
      <c r="C441" t="s">
        <v>14</v>
      </c>
      <c r="D441">
        <v>78</v>
      </c>
      <c r="E441">
        <v>17.630526315789474</v>
      </c>
      <c r="F441">
        <v>77</v>
      </c>
      <c r="G441">
        <v>3</v>
      </c>
      <c r="H441" t="s">
        <v>17</v>
      </c>
      <c r="I441">
        <v>87</v>
      </c>
      <c r="J441" t="b">
        <v>1</v>
      </c>
    </row>
    <row r="442" spans="1:10" x14ac:dyDescent="0.3">
      <c r="A442">
        <v>441</v>
      </c>
      <c r="B442" t="s">
        <v>441</v>
      </c>
      <c r="C442" t="s">
        <v>11</v>
      </c>
      <c r="D442">
        <v>92</v>
      </c>
      <c r="E442">
        <v>17.630526315789474</v>
      </c>
      <c r="F442">
        <v>70</v>
      </c>
      <c r="G442">
        <v>0</v>
      </c>
      <c r="H442" t="s">
        <v>12</v>
      </c>
      <c r="I442">
        <v>88</v>
      </c>
      <c r="J442" t="b">
        <v>1</v>
      </c>
    </row>
    <row r="443" spans="1:10" x14ac:dyDescent="0.3">
      <c r="A443">
        <v>442</v>
      </c>
      <c r="B443" t="s">
        <v>442</v>
      </c>
      <c r="C443" t="s">
        <v>11</v>
      </c>
      <c r="D443">
        <v>90</v>
      </c>
      <c r="E443">
        <v>17</v>
      </c>
      <c r="F443">
        <v>65</v>
      </c>
      <c r="G443">
        <v>3</v>
      </c>
      <c r="H443" t="s">
        <v>17</v>
      </c>
      <c r="I443">
        <v>80</v>
      </c>
      <c r="J443" t="b">
        <v>0</v>
      </c>
    </row>
    <row r="444" spans="1:10" x14ac:dyDescent="0.3">
      <c r="A444">
        <v>443</v>
      </c>
      <c r="B444" t="s">
        <v>443</v>
      </c>
      <c r="C444" t="s">
        <v>14</v>
      </c>
      <c r="D444">
        <v>95</v>
      </c>
      <c r="E444">
        <v>15</v>
      </c>
      <c r="F444">
        <v>70</v>
      </c>
      <c r="G444">
        <v>0</v>
      </c>
      <c r="H444" t="s">
        <v>12</v>
      </c>
      <c r="I444">
        <v>78</v>
      </c>
      <c r="J444" t="b">
        <v>0</v>
      </c>
    </row>
    <row r="445" spans="1:10" x14ac:dyDescent="0.3">
      <c r="A445">
        <v>444</v>
      </c>
      <c r="B445" t="s">
        <v>444</v>
      </c>
      <c r="C445" t="s">
        <v>14</v>
      </c>
      <c r="D445">
        <v>78</v>
      </c>
      <c r="E445">
        <v>18</v>
      </c>
      <c r="F445">
        <v>77</v>
      </c>
      <c r="G445">
        <v>3</v>
      </c>
      <c r="H445" t="s">
        <v>12</v>
      </c>
      <c r="I445">
        <v>85</v>
      </c>
      <c r="J445" t="b">
        <v>0</v>
      </c>
    </row>
    <row r="446" spans="1:10" x14ac:dyDescent="0.3">
      <c r="A446">
        <v>445</v>
      </c>
      <c r="B446" t="s">
        <v>445</v>
      </c>
      <c r="C446" t="s">
        <v>11</v>
      </c>
      <c r="D446">
        <v>85</v>
      </c>
      <c r="E446">
        <v>15</v>
      </c>
      <c r="F446">
        <v>86</v>
      </c>
      <c r="G446">
        <v>2</v>
      </c>
      <c r="H446" t="s">
        <v>12</v>
      </c>
      <c r="I446">
        <v>72</v>
      </c>
      <c r="J446" t="b">
        <v>1</v>
      </c>
    </row>
    <row r="447" spans="1:10" x14ac:dyDescent="0.3">
      <c r="A447">
        <v>446</v>
      </c>
      <c r="B447" t="s">
        <v>446</v>
      </c>
      <c r="C447" t="s">
        <v>14</v>
      </c>
      <c r="D447">
        <v>95</v>
      </c>
      <c r="E447">
        <v>20</v>
      </c>
      <c r="F447">
        <v>65</v>
      </c>
      <c r="G447">
        <v>0</v>
      </c>
      <c r="H447" t="s">
        <v>17</v>
      </c>
      <c r="I447">
        <v>88</v>
      </c>
      <c r="J447" t="b">
        <v>0</v>
      </c>
    </row>
    <row r="448" spans="1:10" x14ac:dyDescent="0.3">
      <c r="A448">
        <v>447</v>
      </c>
      <c r="B448" t="s">
        <v>977</v>
      </c>
      <c r="C448" t="s">
        <v>14</v>
      </c>
      <c r="D448">
        <v>70</v>
      </c>
      <c r="E448">
        <v>25</v>
      </c>
      <c r="F448">
        <v>60</v>
      </c>
      <c r="G448">
        <v>2</v>
      </c>
      <c r="H448" t="s">
        <v>17</v>
      </c>
      <c r="I448">
        <v>78</v>
      </c>
      <c r="J448" t="b">
        <v>0</v>
      </c>
    </row>
    <row r="449" spans="1:10" x14ac:dyDescent="0.3">
      <c r="A449">
        <v>448</v>
      </c>
      <c r="B449" t="s">
        <v>977</v>
      </c>
      <c r="C449" t="s">
        <v>14</v>
      </c>
      <c r="D449">
        <v>91</v>
      </c>
      <c r="E449">
        <v>17.630526315789474</v>
      </c>
      <c r="F449">
        <v>60</v>
      </c>
      <c r="G449">
        <v>0</v>
      </c>
      <c r="H449" t="s">
        <v>17</v>
      </c>
      <c r="I449">
        <v>87</v>
      </c>
      <c r="J449" t="b">
        <v>1</v>
      </c>
    </row>
    <row r="450" spans="1:10" x14ac:dyDescent="0.3">
      <c r="A450">
        <v>449</v>
      </c>
      <c r="B450" t="s">
        <v>447</v>
      </c>
      <c r="C450" t="s">
        <v>11</v>
      </c>
      <c r="D450">
        <v>82</v>
      </c>
      <c r="E450">
        <v>8</v>
      </c>
      <c r="F450">
        <v>88</v>
      </c>
      <c r="G450">
        <v>2</v>
      </c>
      <c r="H450" t="s">
        <v>17</v>
      </c>
      <c r="I450">
        <v>80</v>
      </c>
      <c r="J450" t="b">
        <v>1</v>
      </c>
    </row>
    <row r="451" spans="1:10" x14ac:dyDescent="0.3">
      <c r="A451">
        <v>450</v>
      </c>
      <c r="B451" t="s">
        <v>448</v>
      </c>
      <c r="C451" t="s">
        <v>11</v>
      </c>
      <c r="D451">
        <v>85</v>
      </c>
      <c r="E451">
        <v>22</v>
      </c>
      <c r="F451">
        <v>60</v>
      </c>
      <c r="G451">
        <v>2</v>
      </c>
      <c r="H451" t="s">
        <v>12</v>
      </c>
      <c r="I451">
        <v>85</v>
      </c>
      <c r="J451" t="b">
        <v>1</v>
      </c>
    </row>
    <row r="452" spans="1:10" x14ac:dyDescent="0.3">
      <c r="A452">
        <v>451</v>
      </c>
      <c r="B452" t="s">
        <v>449</v>
      </c>
      <c r="C452" t="s">
        <v>14</v>
      </c>
      <c r="D452">
        <v>91</v>
      </c>
      <c r="E452">
        <v>12</v>
      </c>
      <c r="F452">
        <v>82</v>
      </c>
      <c r="G452">
        <v>3</v>
      </c>
      <c r="H452" t="s">
        <v>12</v>
      </c>
      <c r="I452">
        <v>68</v>
      </c>
      <c r="J452" t="b">
        <v>1</v>
      </c>
    </row>
    <row r="453" spans="1:10" x14ac:dyDescent="0.3">
      <c r="A453">
        <v>452</v>
      </c>
      <c r="B453" t="s">
        <v>450</v>
      </c>
      <c r="C453" t="s">
        <v>14</v>
      </c>
      <c r="D453">
        <v>92</v>
      </c>
      <c r="E453">
        <v>15</v>
      </c>
      <c r="F453">
        <v>86</v>
      </c>
      <c r="G453">
        <v>2</v>
      </c>
      <c r="H453" t="s">
        <v>17</v>
      </c>
      <c r="I453">
        <v>92</v>
      </c>
      <c r="J453" t="b">
        <v>1</v>
      </c>
    </row>
    <row r="454" spans="1:10" x14ac:dyDescent="0.3">
      <c r="A454">
        <v>453</v>
      </c>
      <c r="B454" t="s">
        <v>451</v>
      </c>
      <c r="C454" t="s">
        <v>11</v>
      </c>
      <c r="D454">
        <v>85</v>
      </c>
      <c r="E454">
        <v>10</v>
      </c>
      <c r="F454">
        <v>85</v>
      </c>
      <c r="G454">
        <v>2</v>
      </c>
      <c r="H454" t="s">
        <v>15</v>
      </c>
      <c r="I454">
        <v>90</v>
      </c>
      <c r="J454" t="b">
        <v>1</v>
      </c>
    </row>
    <row r="455" spans="1:10" x14ac:dyDescent="0.3">
      <c r="A455">
        <v>454</v>
      </c>
      <c r="B455" t="s">
        <v>452</v>
      </c>
      <c r="C455" t="s">
        <v>11</v>
      </c>
      <c r="D455">
        <v>90</v>
      </c>
      <c r="E455">
        <v>20</v>
      </c>
      <c r="F455">
        <v>70</v>
      </c>
      <c r="G455">
        <v>2</v>
      </c>
      <c r="H455" t="s">
        <v>17</v>
      </c>
      <c r="I455">
        <v>72</v>
      </c>
      <c r="J455" t="b">
        <v>0</v>
      </c>
    </row>
    <row r="456" spans="1:10" x14ac:dyDescent="0.3">
      <c r="A456">
        <v>455</v>
      </c>
      <c r="B456" t="s">
        <v>453</v>
      </c>
      <c r="C456" t="s">
        <v>977</v>
      </c>
      <c r="D456">
        <v>91</v>
      </c>
      <c r="E456">
        <v>25</v>
      </c>
      <c r="F456">
        <v>77</v>
      </c>
      <c r="G456">
        <v>0</v>
      </c>
      <c r="H456" t="s">
        <v>17</v>
      </c>
      <c r="I456">
        <v>80</v>
      </c>
      <c r="J456" t="b">
        <v>1</v>
      </c>
    </row>
    <row r="457" spans="1:10" x14ac:dyDescent="0.3">
      <c r="A457">
        <v>456</v>
      </c>
      <c r="B457" t="s">
        <v>454</v>
      </c>
      <c r="C457" t="s">
        <v>14</v>
      </c>
      <c r="D457">
        <v>95</v>
      </c>
      <c r="E457">
        <v>20</v>
      </c>
      <c r="F457">
        <v>70</v>
      </c>
      <c r="G457">
        <v>2</v>
      </c>
      <c r="H457" t="s">
        <v>17</v>
      </c>
      <c r="I457">
        <v>88</v>
      </c>
      <c r="J457" t="b">
        <v>0</v>
      </c>
    </row>
    <row r="458" spans="1:10" x14ac:dyDescent="0.3">
      <c r="A458">
        <v>457</v>
      </c>
      <c r="B458" t="s">
        <v>455</v>
      </c>
      <c r="C458" t="s">
        <v>11</v>
      </c>
      <c r="D458">
        <v>95</v>
      </c>
      <c r="E458">
        <v>17</v>
      </c>
      <c r="F458">
        <v>77</v>
      </c>
      <c r="G458">
        <v>3</v>
      </c>
      <c r="H458" t="s">
        <v>12</v>
      </c>
      <c r="I458">
        <v>78</v>
      </c>
      <c r="J458" t="b">
        <v>0</v>
      </c>
    </row>
    <row r="459" spans="1:10" x14ac:dyDescent="0.3">
      <c r="A459">
        <v>458</v>
      </c>
      <c r="B459" t="s">
        <v>456</v>
      </c>
      <c r="C459" t="s">
        <v>11</v>
      </c>
      <c r="D459">
        <v>95</v>
      </c>
      <c r="E459">
        <v>8</v>
      </c>
      <c r="F459">
        <v>88</v>
      </c>
      <c r="G459">
        <v>2</v>
      </c>
      <c r="H459" t="s">
        <v>17</v>
      </c>
      <c r="I459">
        <v>80</v>
      </c>
      <c r="J459" t="b">
        <v>1</v>
      </c>
    </row>
    <row r="460" spans="1:10" x14ac:dyDescent="0.3">
      <c r="A460">
        <v>459</v>
      </c>
      <c r="B460" t="s">
        <v>457</v>
      </c>
      <c r="C460" t="s">
        <v>11</v>
      </c>
      <c r="D460">
        <v>70</v>
      </c>
      <c r="E460">
        <v>30</v>
      </c>
      <c r="F460">
        <v>85</v>
      </c>
      <c r="G460">
        <v>2</v>
      </c>
      <c r="H460" t="s">
        <v>12</v>
      </c>
      <c r="I460">
        <v>78</v>
      </c>
      <c r="J460" t="b">
        <v>0</v>
      </c>
    </row>
    <row r="461" spans="1:10" x14ac:dyDescent="0.3">
      <c r="A461">
        <v>460</v>
      </c>
      <c r="B461" t="s">
        <v>458</v>
      </c>
      <c r="C461" t="s">
        <v>11</v>
      </c>
      <c r="D461">
        <v>85</v>
      </c>
      <c r="E461">
        <v>25</v>
      </c>
      <c r="F461">
        <v>90</v>
      </c>
      <c r="G461">
        <v>3</v>
      </c>
      <c r="H461" t="s">
        <v>15</v>
      </c>
      <c r="I461">
        <v>92</v>
      </c>
      <c r="J461" t="b">
        <v>0</v>
      </c>
    </row>
    <row r="462" spans="1:10" x14ac:dyDescent="0.3">
      <c r="A462">
        <v>461</v>
      </c>
      <c r="B462" t="s">
        <v>459</v>
      </c>
      <c r="C462" t="s">
        <v>11</v>
      </c>
      <c r="D462">
        <v>90</v>
      </c>
      <c r="E462">
        <v>20</v>
      </c>
      <c r="F462">
        <v>77</v>
      </c>
      <c r="G462">
        <v>3</v>
      </c>
      <c r="H462" t="s">
        <v>12</v>
      </c>
      <c r="I462">
        <v>72</v>
      </c>
      <c r="J462" t="b">
        <v>0</v>
      </c>
    </row>
    <row r="463" spans="1:10" x14ac:dyDescent="0.3">
      <c r="A463">
        <v>462</v>
      </c>
      <c r="B463" t="s">
        <v>460</v>
      </c>
      <c r="C463" t="s">
        <v>14</v>
      </c>
      <c r="D463">
        <v>91</v>
      </c>
      <c r="E463">
        <v>18</v>
      </c>
      <c r="F463">
        <v>77</v>
      </c>
      <c r="G463">
        <v>0</v>
      </c>
      <c r="H463" t="s">
        <v>12</v>
      </c>
      <c r="I463">
        <v>85</v>
      </c>
      <c r="J463" t="b">
        <v>1</v>
      </c>
    </row>
    <row r="464" spans="1:10" x14ac:dyDescent="0.3">
      <c r="A464">
        <v>463</v>
      </c>
      <c r="B464" t="s">
        <v>461</v>
      </c>
      <c r="C464" t="s">
        <v>14</v>
      </c>
      <c r="D464">
        <v>85</v>
      </c>
      <c r="E464">
        <v>12</v>
      </c>
      <c r="F464">
        <v>78</v>
      </c>
      <c r="G464">
        <v>2</v>
      </c>
      <c r="H464" t="s">
        <v>15</v>
      </c>
      <c r="I464">
        <v>62</v>
      </c>
      <c r="J464" t="b">
        <v>1</v>
      </c>
    </row>
    <row r="465" spans="1:10" x14ac:dyDescent="0.3">
      <c r="A465">
        <v>464</v>
      </c>
      <c r="B465" t="s">
        <v>462</v>
      </c>
      <c r="C465" t="s">
        <v>11</v>
      </c>
      <c r="D465">
        <v>82</v>
      </c>
      <c r="E465">
        <v>17</v>
      </c>
      <c r="F465">
        <v>88</v>
      </c>
      <c r="G465">
        <v>1</v>
      </c>
      <c r="H465" t="s">
        <v>12</v>
      </c>
      <c r="I465">
        <v>92</v>
      </c>
      <c r="J465" t="b">
        <v>0</v>
      </c>
    </row>
    <row r="466" spans="1:10" x14ac:dyDescent="0.3">
      <c r="A466">
        <v>465</v>
      </c>
      <c r="B466" t="s">
        <v>463</v>
      </c>
      <c r="C466" t="s">
        <v>14</v>
      </c>
      <c r="D466">
        <v>78</v>
      </c>
      <c r="E466">
        <v>12</v>
      </c>
      <c r="F466">
        <v>77.598759048603924</v>
      </c>
      <c r="G466">
        <v>3</v>
      </c>
      <c r="H466" t="s">
        <v>15</v>
      </c>
      <c r="I466">
        <v>78</v>
      </c>
      <c r="J466" t="b">
        <v>0</v>
      </c>
    </row>
    <row r="467" spans="1:10" x14ac:dyDescent="0.3">
      <c r="A467">
        <v>466</v>
      </c>
      <c r="B467" t="s">
        <v>464</v>
      </c>
      <c r="C467" t="s">
        <v>977</v>
      </c>
      <c r="D467">
        <v>70</v>
      </c>
      <c r="E467">
        <v>25</v>
      </c>
      <c r="F467">
        <v>60</v>
      </c>
      <c r="G467">
        <v>1</v>
      </c>
      <c r="H467" t="s">
        <v>15</v>
      </c>
      <c r="I467">
        <v>62</v>
      </c>
      <c r="J467" t="b">
        <v>1</v>
      </c>
    </row>
    <row r="468" spans="1:10" x14ac:dyDescent="0.3">
      <c r="A468">
        <v>467</v>
      </c>
      <c r="B468" t="s">
        <v>465</v>
      </c>
      <c r="C468" t="s">
        <v>11</v>
      </c>
      <c r="D468">
        <v>88</v>
      </c>
      <c r="E468">
        <v>25</v>
      </c>
      <c r="F468">
        <v>70</v>
      </c>
      <c r="G468">
        <v>0</v>
      </c>
      <c r="H468" t="s">
        <v>15</v>
      </c>
      <c r="I468">
        <v>92</v>
      </c>
      <c r="J468" t="b">
        <v>1</v>
      </c>
    </row>
    <row r="469" spans="1:10" x14ac:dyDescent="0.3">
      <c r="A469">
        <v>468</v>
      </c>
      <c r="B469" t="s">
        <v>466</v>
      </c>
      <c r="C469" t="s">
        <v>11</v>
      </c>
      <c r="D469">
        <v>78</v>
      </c>
      <c r="E469">
        <v>8</v>
      </c>
      <c r="F469">
        <v>77</v>
      </c>
      <c r="G469">
        <v>0</v>
      </c>
      <c r="H469" t="s">
        <v>17</v>
      </c>
      <c r="I469">
        <v>72</v>
      </c>
      <c r="J469" t="b">
        <v>0</v>
      </c>
    </row>
    <row r="470" spans="1:10" x14ac:dyDescent="0.3">
      <c r="A470">
        <v>469</v>
      </c>
      <c r="B470" t="s">
        <v>467</v>
      </c>
      <c r="C470" t="s">
        <v>14</v>
      </c>
      <c r="D470">
        <v>82</v>
      </c>
      <c r="E470">
        <v>22</v>
      </c>
      <c r="F470">
        <v>78</v>
      </c>
      <c r="G470">
        <v>0</v>
      </c>
      <c r="H470" t="s">
        <v>12</v>
      </c>
      <c r="I470">
        <v>68</v>
      </c>
      <c r="J470" t="b">
        <v>0</v>
      </c>
    </row>
    <row r="471" spans="1:10" x14ac:dyDescent="0.3">
      <c r="A471">
        <v>470</v>
      </c>
      <c r="B471" t="s">
        <v>977</v>
      </c>
      <c r="C471" t="s">
        <v>14</v>
      </c>
      <c r="D471">
        <v>95</v>
      </c>
      <c r="E471">
        <v>18</v>
      </c>
      <c r="F471">
        <v>88</v>
      </c>
      <c r="G471">
        <v>1</v>
      </c>
      <c r="H471" t="s">
        <v>17</v>
      </c>
      <c r="I471">
        <v>72</v>
      </c>
      <c r="J471" t="b">
        <v>0</v>
      </c>
    </row>
    <row r="472" spans="1:10" x14ac:dyDescent="0.3">
      <c r="A472">
        <v>471</v>
      </c>
      <c r="B472" t="s">
        <v>468</v>
      </c>
      <c r="C472" t="s">
        <v>14</v>
      </c>
      <c r="D472">
        <v>90</v>
      </c>
      <c r="E472">
        <v>30</v>
      </c>
      <c r="F472">
        <v>86</v>
      </c>
      <c r="G472">
        <v>1</v>
      </c>
      <c r="H472" t="s">
        <v>17</v>
      </c>
      <c r="I472">
        <v>88</v>
      </c>
      <c r="J472" t="b">
        <v>1</v>
      </c>
    </row>
    <row r="473" spans="1:10" x14ac:dyDescent="0.3">
      <c r="A473">
        <v>472</v>
      </c>
      <c r="B473" t="s">
        <v>469</v>
      </c>
      <c r="C473" t="s">
        <v>14</v>
      </c>
      <c r="D473">
        <v>95</v>
      </c>
      <c r="E473">
        <v>12</v>
      </c>
      <c r="F473">
        <v>77</v>
      </c>
      <c r="G473">
        <v>1</v>
      </c>
      <c r="H473" t="s">
        <v>12</v>
      </c>
      <c r="I473">
        <v>62</v>
      </c>
      <c r="J473" t="b">
        <v>1</v>
      </c>
    </row>
    <row r="474" spans="1:10" x14ac:dyDescent="0.3">
      <c r="A474">
        <v>473</v>
      </c>
      <c r="B474" t="s">
        <v>470</v>
      </c>
      <c r="C474" t="s">
        <v>14</v>
      </c>
      <c r="D474">
        <v>70</v>
      </c>
      <c r="E474">
        <v>22</v>
      </c>
      <c r="F474">
        <v>86</v>
      </c>
      <c r="G474">
        <v>0</v>
      </c>
      <c r="H474" t="s">
        <v>12</v>
      </c>
      <c r="I474">
        <v>87</v>
      </c>
      <c r="J474" t="b">
        <v>0</v>
      </c>
    </row>
    <row r="475" spans="1:10" x14ac:dyDescent="0.3">
      <c r="A475">
        <v>474</v>
      </c>
      <c r="B475" t="s">
        <v>471</v>
      </c>
      <c r="C475" t="s">
        <v>14</v>
      </c>
      <c r="D475">
        <v>88</v>
      </c>
      <c r="E475">
        <v>22</v>
      </c>
      <c r="F475">
        <v>60</v>
      </c>
      <c r="G475">
        <v>2</v>
      </c>
      <c r="H475" t="s">
        <v>15</v>
      </c>
      <c r="I475">
        <v>90</v>
      </c>
      <c r="J475" t="b">
        <v>0</v>
      </c>
    </row>
    <row r="476" spans="1:10" x14ac:dyDescent="0.3">
      <c r="A476">
        <v>475</v>
      </c>
      <c r="B476" t="s">
        <v>472</v>
      </c>
      <c r="C476" t="s">
        <v>11</v>
      </c>
      <c r="D476">
        <v>78</v>
      </c>
      <c r="E476">
        <v>15</v>
      </c>
      <c r="F476">
        <v>65</v>
      </c>
      <c r="G476">
        <v>3</v>
      </c>
      <c r="H476" t="s">
        <v>17</v>
      </c>
      <c r="I476">
        <v>85</v>
      </c>
      <c r="J476" t="b">
        <v>1</v>
      </c>
    </row>
    <row r="477" spans="1:10" x14ac:dyDescent="0.3">
      <c r="A477">
        <v>476</v>
      </c>
      <c r="B477" t="s">
        <v>473</v>
      </c>
      <c r="C477" t="s">
        <v>977</v>
      </c>
      <c r="D477">
        <v>70</v>
      </c>
      <c r="E477">
        <v>20</v>
      </c>
      <c r="F477">
        <v>85</v>
      </c>
      <c r="G477">
        <v>2</v>
      </c>
      <c r="H477" t="s">
        <v>15</v>
      </c>
      <c r="I477">
        <v>72</v>
      </c>
      <c r="J477" t="b">
        <v>0</v>
      </c>
    </row>
    <row r="478" spans="1:10" x14ac:dyDescent="0.3">
      <c r="A478">
        <v>477</v>
      </c>
      <c r="B478" t="s">
        <v>474</v>
      </c>
      <c r="C478" t="s">
        <v>11</v>
      </c>
      <c r="D478">
        <v>90</v>
      </c>
      <c r="E478">
        <v>18</v>
      </c>
      <c r="F478">
        <v>86</v>
      </c>
      <c r="G478">
        <v>0</v>
      </c>
      <c r="H478" t="s">
        <v>12</v>
      </c>
      <c r="I478">
        <v>62</v>
      </c>
      <c r="J478" t="b">
        <v>0</v>
      </c>
    </row>
    <row r="479" spans="1:10" x14ac:dyDescent="0.3">
      <c r="A479">
        <v>478</v>
      </c>
      <c r="B479" t="s">
        <v>475</v>
      </c>
      <c r="C479" t="s">
        <v>11</v>
      </c>
      <c r="D479">
        <v>78</v>
      </c>
      <c r="E479">
        <v>12</v>
      </c>
      <c r="F479">
        <v>65</v>
      </c>
      <c r="G479">
        <v>1</v>
      </c>
      <c r="H479" t="s">
        <v>12</v>
      </c>
      <c r="I479">
        <v>90</v>
      </c>
      <c r="J479" t="b">
        <v>0</v>
      </c>
    </row>
    <row r="480" spans="1:10" x14ac:dyDescent="0.3">
      <c r="A480">
        <v>479</v>
      </c>
      <c r="B480" t="s">
        <v>476</v>
      </c>
      <c r="C480" t="s">
        <v>14</v>
      </c>
      <c r="D480">
        <v>82</v>
      </c>
      <c r="E480">
        <v>17</v>
      </c>
      <c r="F480">
        <v>65</v>
      </c>
      <c r="G480">
        <v>2</v>
      </c>
      <c r="H480" t="s">
        <v>12</v>
      </c>
      <c r="I480">
        <v>88</v>
      </c>
      <c r="J480" t="b">
        <v>0</v>
      </c>
    </row>
    <row r="481" spans="1:10" x14ac:dyDescent="0.3">
      <c r="A481">
        <v>480</v>
      </c>
      <c r="B481" t="s">
        <v>477</v>
      </c>
      <c r="C481" t="s">
        <v>14</v>
      </c>
      <c r="D481">
        <v>95</v>
      </c>
      <c r="E481">
        <v>17</v>
      </c>
      <c r="F481">
        <v>70</v>
      </c>
      <c r="G481">
        <v>3</v>
      </c>
      <c r="H481" t="s">
        <v>12</v>
      </c>
      <c r="I481">
        <v>78</v>
      </c>
      <c r="J481" t="b">
        <v>0</v>
      </c>
    </row>
    <row r="482" spans="1:10" x14ac:dyDescent="0.3">
      <c r="A482">
        <v>481</v>
      </c>
      <c r="B482" t="s">
        <v>478</v>
      </c>
      <c r="C482" t="s">
        <v>977</v>
      </c>
      <c r="D482">
        <v>85</v>
      </c>
      <c r="E482">
        <v>15</v>
      </c>
      <c r="F482">
        <v>70</v>
      </c>
      <c r="G482">
        <v>0</v>
      </c>
      <c r="H482" t="s">
        <v>15</v>
      </c>
      <c r="I482">
        <v>85</v>
      </c>
      <c r="J482" t="b">
        <v>0</v>
      </c>
    </row>
    <row r="483" spans="1:10" x14ac:dyDescent="0.3">
      <c r="A483">
        <v>482</v>
      </c>
      <c r="B483" t="s">
        <v>479</v>
      </c>
      <c r="C483" t="s">
        <v>14</v>
      </c>
      <c r="D483">
        <v>85</v>
      </c>
      <c r="E483">
        <v>8</v>
      </c>
      <c r="F483">
        <v>82</v>
      </c>
      <c r="G483">
        <v>3</v>
      </c>
      <c r="H483" t="s">
        <v>12</v>
      </c>
      <c r="I483">
        <v>80</v>
      </c>
      <c r="J483" t="b">
        <v>0</v>
      </c>
    </row>
    <row r="484" spans="1:10" x14ac:dyDescent="0.3">
      <c r="A484">
        <v>483</v>
      </c>
      <c r="B484" t="s">
        <v>480</v>
      </c>
      <c r="C484" t="s">
        <v>14</v>
      </c>
      <c r="D484">
        <v>92</v>
      </c>
      <c r="E484">
        <v>10</v>
      </c>
      <c r="F484">
        <v>60</v>
      </c>
      <c r="G484">
        <v>0</v>
      </c>
      <c r="H484" t="s">
        <v>12</v>
      </c>
      <c r="I484">
        <v>85</v>
      </c>
      <c r="J484" t="b">
        <v>1</v>
      </c>
    </row>
    <row r="485" spans="1:10" x14ac:dyDescent="0.3">
      <c r="A485">
        <v>484</v>
      </c>
      <c r="B485" t="s">
        <v>481</v>
      </c>
      <c r="C485" t="s">
        <v>14</v>
      </c>
      <c r="D485">
        <v>88</v>
      </c>
      <c r="E485">
        <v>12</v>
      </c>
      <c r="F485">
        <v>82</v>
      </c>
      <c r="G485">
        <v>0</v>
      </c>
      <c r="H485" t="s">
        <v>12</v>
      </c>
      <c r="I485">
        <v>87</v>
      </c>
      <c r="J485" t="b">
        <v>1</v>
      </c>
    </row>
    <row r="486" spans="1:10" x14ac:dyDescent="0.3">
      <c r="A486">
        <v>485</v>
      </c>
      <c r="B486" t="s">
        <v>482</v>
      </c>
      <c r="C486" t="s">
        <v>14</v>
      </c>
      <c r="D486">
        <v>88</v>
      </c>
      <c r="E486">
        <v>22</v>
      </c>
      <c r="F486">
        <v>77</v>
      </c>
      <c r="G486">
        <v>3</v>
      </c>
      <c r="H486" t="s">
        <v>15</v>
      </c>
      <c r="I486">
        <v>80</v>
      </c>
      <c r="J486" t="b">
        <v>1</v>
      </c>
    </row>
    <row r="487" spans="1:10" x14ac:dyDescent="0.3">
      <c r="A487">
        <v>486</v>
      </c>
      <c r="B487" t="s">
        <v>483</v>
      </c>
      <c r="C487" t="s">
        <v>11</v>
      </c>
      <c r="D487">
        <v>88</v>
      </c>
      <c r="E487">
        <v>18</v>
      </c>
      <c r="F487">
        <v>65</v>
      </c>
      <c r="G487">
        <v>1</v>
      </c>
      <c r="H487" t="s">
        <v>17</v>
      </c>
      <c r="I487">
        <v>80</v>
      </c>
      <c r="J487" t="b">
        <v>1</v>
      </c>
    </row>
    <row r="488" spans="1:10" x14ac:dyDescent="0.3">
      <c r="A488">
        <v>487</v>
      </c>
      <c r="B488" t="s">
        <v>484</v>
      </c>
      <c r="C488" t="s">
        <v>11</v>
      </c>
      <c r="D488">
        <v>95</v>
      </c>
      <c r="E488">
        <v>8</v>
      </c>
      <c r="F488">
        <v>82</v>
      </c>
      <c r="G488">
        <v>1</v>
      </c>
      <c r="H488" t="s">
        <v>15</v>
      </c>
      <c r="I488">
        <v>78</v>
      </c>
      <c r="J488" t="b">
        <v>0</v>
      </c>
    </row>
    <row r="489" spans="1:10" x14ac:dyDescent="0.3">
      <c r="A489">
        <v>488</v>
      </c>
      <c r="B489" t="s">
        <v>485</v>
      </c>
      <c r="C489" t="s">
        <v>11</v>
      </c>
      <c r="D489">
        <v>85</v>
      </c>
      <c r="E489">
        <v>18</v>
      </c>
      <c r="F489">
        <v>60</v>
      </c>
      <c r="G489">
        <v>2</v>
      </c>
      <c r="H489" t="s">
        <v>17</v>
      </c>
      <c r="I489">
        <v>78</v>
      </c>
      <c r="J489" t="b">
        <v>0</v>
      </c>
    </row>
    <row r="490" spans="1:10" x14ac:dyDescent="0.3">
      <c r="A490">
        <v>489</v>
      </c>
      <c r="B490" t="s">
        <v>486</v>
      </c>
      <c r="C490" t="s">
        <v>11</v>
      </c>
      <c r="D490">
        <v>92</v>
      </c>
      <c r="E490">
        <v>8</v>
      </c>
      <c r="F490">
        <v>77</v>
      </c>
      <c r="G490">
        <v>3</v>
      </c>
      <c r="H490" t="s">
        <v>17</v>
      </c>
      <c r="I490">
        <v>80</v>
      </c>
      <c r="J490" t="b">
        <v>1</v>
      </c>
    </row>
    <row r="491" spans="1:10" x14ac:dyDescent="0.3">
      <c r="A491">
        <v>490</v>
      </c>
      <c r="B491" t="s">
        <v>487</v>
      </c>
      <c r="C491" t="s">
        <v>11</v>
      </c>
      <c r="D491">
        <v>85</v>
      </c>
      <c r="E491">
        <v>8</v>
      </c>
      <c r="F491">
        <v>82</v>
      </c>
      <c r="G491">
        <v>1</v>
      </c>
      <c r="H491" t="s">
        <v>12</v>
      </c>
      <c r="I491">
        <v>80</v>
      </c>
      <c r="J491" t="b">
        <v>1</v>
      </c>
    </row>
    <row r="492" spans="1:10" x14ac:dyDescent="0.3">
      <c r="A492">
        <v>491</v>
      </c>
      <c r="B492" t="s">
        <v>488</v>
      </c>
      <c r="C492" t="s">
        <v>14</v>
      </c>
      <c r="D492">
        <v>88</v>
      </c>
      <c r="E492">
        <v>25</v>
      </c>
      <c r="F492">
        <v>88</v>
      </c>
      <c r="G492">
        <v>1</v>
      </c>
      <c r="H492" t="s">
        <v>17</v>
      </c>
      <c r="I492">
        <v>92</v>
      </c>
      <c r="J492" t="b">
        <v>0</v>
      </c>
    </row>
    <row r="493" spans="1:10" x14ac:dyDescent="0.3">
      <c r="A493">
        <v>492</v>
      </c>
      <c r="B493" t="s">
        <v>489</v>
      </c>
      <c r="C493" t="s">
        <v>11</v>
      </c>
      <c r="D493">
        <v>78</v>
      </c>
      <c r="E493">
        <v>18</v>
      </c>
      <c r="F493">
        <v>86</v>
      </c>
      <c r="G493">
        <v>2</v>
      </c>
      <c r="H493" t="s">
        <v>15</v>
      </c>
      <c r="I493">
        <v>92</v>
      </c>
      <c r="J493" t="b">
        <v>0</v>
      </c>
    </row>
    <row r="494" spans="1:10" x14ac:dyDescent="0.3">
      <c r="A494">
        <v>493</v>
      </c>
      <c r="B494" t="s">
        <v>490</v>
      </c>
      <c r="C494" t="s">
        <v>14</v>
      </c>
      <c r="D494">
        <v>90</v>
      </c>
      <c r="E494">
        <v>25</v>
      </c>
      <c r="F494">
        <v>65</v>
      </c>
      <c r="G494">
        <v>1</v>
      </c>
      <c r="H494" t="s">
        <v>12</v>
      </c>
      <c r="I494">
        <v>88</v>
      </c>
      <c r="J494" t="b">
        <v>1</v>
      </c>
    </row>
    <row r="495" spans="1:10" x14ac:dyDescent="0.3">
      <c r="A495">
        <v>494</v>
      </c>
      <c r="B495" t="s">
        <v>491</v>
      </c>
      <c r="C495" t="s">
        <v>14</v>
      </c>
      <c r="D495">
        <v>78</v>
      </c>
      <c r="E495">
        <v>12</v>
      </c>
      <c r="F495">
        <v>85</v>
      </c>
      <c r="G495">
        <v>0</v>
      </c>
      <c r="H495" t="s">
        <v>15</v>
      </c>
      <c r="I495">
        <v>92</v>
      </c>
      <c r="J495" t="b">
        <v>0</v>
      </c>
    </row>
    <row r="496" spans="1:10" x14ac:dyDescent="0.3">
      <c r="A496">
        <v>495</v>
      </c>
      <c r="B496" t="s">
        <v>492</v>
      </c>
      <c r="C496" t="s">
        <v>11</v>
      </c>
      <c r="D496">
        <v>85</v>
      </c>
      <c r="E496">
        <v>8</v>
      </c>
      <c r="F496">
        <v>88</v>
      </c>
      <c r="G496">
        <v>0</v>
      </c>
      <c r="H496" t="s">
        <v>15</v>
      </c>
      <c r="I496">
        <v>80</v>
      </c>
      <c r="J496" t="b">
        <v>0</v>
      </c>
    </row>
    <row r="497" spans="1:10" x14ac:dyDescent="0.3">
      <c r="A497">
        <v>496</v>
      </c>
      <c r="B497" t="s">
        <v>493</v>
      </c>
      <c r="C497" t="s">
        <v>14</v>
      </c>
      <c r="D497">
        <v>92</v>
      </c>
      <c r="E497">
        <v>22</v>
      </c>
      <c r="F497">
        <v>65</v>
      </c>
      <c r="G497">
        <v>2</v>
      </c>
      <c r="H497" t="s">
        <v>15</v>
      </c>
      <c r="I497">
        <v>80.030208333333334</v>
      </c>
      <c r="J497" t="b">
        <v>1</v>
      </c>
    </row>
    <row r="498" spans="1:10" x14ac:dyDescent="0.3">
      <c r="A498">
        <v>497</v>
      </c>
      <c r="B498" t="s">
        <v>494</v>
      </c>
      <c r="C498" t="s">
        <v>11</v>
      </c>
      <c r="D498">
        <v>85</v>
      </c>
      <c r="E498">
        <v>18</v>
      </c>
      <c r="F498">
        <v>82</v>
      </c>
      <c r="G498">
        <v>2</v>
      </c>
      <c r="H498" t="s">
        <v>15</v>
      </c>
      <c r="I498">
        <v>78</v>
      </c>
      <c r="J498" t="b">
        <v>0</v>
      </c>
    </row>
    <row r="499" spans="1:10" x14ac:dyDescent="0.3">
      <c r="A499">
        <v>498</v>
      </c>
      <c r="B499" t="s">
        <v>495</v>
      </c>
      <c r="C499" t="s">
        <v>11</v>
      </c>
      <c r="D499">
        <v>91</v>
      </c>
      <c r="E499">
        <v>30</v>
      </c>
      <c r="F499">
        <v>86</v>
      </c>
      <c r="G499">
        <v>3</v>
      </c>
      <c r="H499" t="s">
        <v>15</v>
      </c>
      <c r="I499">
        <v>87</v>
      </c>
      <c r="J499" t="b">
        <v>0</v>
      </c>
    </row>
    <row r="500" spans="1:10" x14ac:dyDescent="0.3">
      <c r="A500">
        <v>499</v>
      </c>
      <c r="B500" t="s">
        <v>496</v>
      </c>
      <c r="C500" t="s">
        <v>14</v>
      </c>
      <c r="D500">
        <v>82</v>
      </c>
      <c r="E500">
        <v>10</v>
      </c>
      <c r="F500">
        <v>86</v>
      </c>
      <c r="G500">
        <v>2</v>
      </c>
      <c r="H500" t="s">
        <v>12</v>
      </c>
      <c r="I500">
        <v>62</v>
      </c>
      <c r="J500" t="b">
        <v>1</v>
      </c>
    </row>
    <row r="501" spans="1:10" x14ac:dyDescent="0.3">
      <c r="A501">
        <v>500</v>
      </c>
      <c r="B501" t="s">
        <v>497</v>
      </c>
      <c r="C501" t="s">
        <v>11</v>
      </c>
      <c r="D501">
        <v>85</v>
      </c>
      <c r="E501">
        <v>10</v>
      </c>
      <c r="F501">
        <v>65</v>
      </c>
      <c r="G501">
        <v>1</v>
      </c>
      <c r="H501" t="s">
        <v>12</v>
      </c>
      <c r="I501">
        <v>87</v>
      </c>
      <c r="J501" t="b">
        <v>1</v>
      </c>
    </row>
    <row r="502" spans="1:10" x14ac:dyDescent="0.3">
      <c r="A502">
        <v>501</v>
      </c>
      <c r="B502" t="s">
        <v>498</v>
      </c>
      <c r="C502" t="s">
        <v>14</v>
      </c>
      <c r="D502">
        <v>82</v>
      </c>
      <c r="E502">
        <v>22</v>
      </c>
      <c r="F502">
        <v>86</v>
      </c>
      <c r="G502">
        <v>2</v>
      </c>
      <c r="H502" t="s">
        <v>12</v>
      </c>
      <c r="I502">
        <v>90</v>
      </c>
      <c r="J502" t="b">
        <v>1</v>
      </c>
    </row>
    <row r="503" spans="1:10" x14ac:dyDescent="0.3">
      <c r="A503">
        <v>502</v>
      </c>
      <c r="B503" t="s">
        <v>499</v>
      </c>
      <c r="C503" t="s">
        <v>11</v>
      </c>
      <c r="D503">
        <v>85</v>
      </c>
      <c r="E503">
        <v>20</v>
      </c>
      <c r="F503">
        <v>77</v>
      </c>
      <c r="G503">
        <v>1</v>
      </c>
      <c r="H503" t="s">
        <v>15</v>
      </c>
      <c r="I503">
        <v>72</v>
      </c>
      <c r="J503" t="b">
        <v>0</v>
      </c>
    </row>
    <row r="504" spans="1:10" x14ac:dyDescent="0.3">
      <c r="A504">
        <v>503</v>
      </c>
      <c r="B504" t="s">
        <v>500</v>
      </c>
      <c r="C504" t="s">
        <v>14</v>
      </c>
      <c r="D504">
        <v>82</v>
      </c>
      <c r="E504">
        <v>15</v>
      </c>
      <c r="F504">
        <v>85</v>
      </c>
      <c r="G504">
        <v>1</v>
      </c>
      <c r="H504" t="s">
        <v>12</v>
      </c>
      <c r="I504">
        <v>92</v>
      </c>
      <c r="J504" t="b">
        <v>1</v>
      </c>
    </row>
    <row r="505" spans="1:10" x14ac:dyDescent="0.3">
      <c r="A505">
        <v>504</v>
      </c>
      <c r="B505" t="s">
        <v>501</v>
      </c>
      <c r="C505" t="s">
        <v>14</v>
      </c>
      <c r="D505">
        <v>92</v>
      </c>
      <c r="E505">
        <v>25</v>
      </c>
      <c r="F505">
        <v>70</v>
      </c>
      <c r="G505">
        <v>3</v>
      </c>
      <c r="H505" t="s">
        <v>17</v>
      </c>
      <c r="I505">
        <v>68</v>
      </c>
      <c r="J505" t="b">
        <v>0</v>
      </c>
    </row>
    <row r="506" spans="1:10" x14ac:dyDescent="0.3">
      <c r="A506">
        <v>505</v>
      </c>
      <c r="B506" t="s">
        <v>502</v>
      </c>
      <c r="C506" t="s">
        <v>14</v>
      </c>
      <c r="D506">
        <v>85</v>
      </c>
      <c r="E506">
        <v>8</v>
      </c>
      <c r="F506">
        <v>85</v>
      </c>
      <c r="G506">
        <v>0</v>
      </c>
      <c r="H506" t="s">
        <v>12</v>
      </c>
      <c r="I506">
        <v>72</v>
      </c>
      <c r="J506" t="b">
        <v>1</v>
      </c>
    </row>
    <row r="507" spans="1:10" x14ac:dyDescent="0.3">
      <c r="A507">
        <v>506</v>
      </c>
      <c r="B507" t="s">
        <v>503</v>
      </c>
      <c r="C507" t="s">
        <v>14</v>
      </c>
      <c r="D507">
        <v>95</v>
      </c>
      <c r="E507">
        <v>30</v>
      </c>
      <c r="F507">
        <v>70</v>
      </c>
      <c r="G507">
        <v>1</v>
      </c>
      <c r="H507" t="s">
        <v>15</v>
      </c>
      <c r="I507">
        <v>62</v>
      </c>
      <c r="J507" t="b">
        <v>0</v>
      </c>
    </row>
    <row r="508" spans="1:10" x14ac:dyDescent="0.3">
      <c r="A508">
        <v>507</v>
      </c>
      <c r="B508" t="s">
        <v>504</v>
      </c>
      <c r="C508" t="s">
        <v>11</v>
      </c>
      <c r="D508">
        <v>70</v>
      </c>
      <c r="E508">
        <v>12</v>
      </c>
      <c r="F508">
        <v>82</v>
      </c>
      <c r="G508">
        <v>1</v>
      </c>
      <c r="H508" t="s">
        <v>15</v>
      </c>
      <c r="I508">
        <v>78</v>
      </c>
      <c r="J508" t="b">
        <v>1</v>
      </c>
    </row>
    <row r="509" spans="1:10" x14ac:dyDescent="0.3">
      <c r="A509">
        <v>508</v>
      </c>
      <c r="B509" t="s">
        <v>505</v>
      </c>
      <c r="C509" t="s">
        <v>11</v>
      </c>
      <c r="D509">
        <v>82</v>
      </c>
      <c r="E509">
        <v>10</v>
      </c>
      <c r="F509">
        <v>82</v>
      </c>
      <c r="G509">
        <v>1</v>
      </c>
      <c r="H509" t="s">
        <v>15</v>
      </c>
      <c r="I509">
        <v>92</v>
      </c>
      <c r="J509" t="b">
        <v>1</v>
      </c>
    </row>
    <row r="510" spans="1:10" x14ac:dyDescent="0.3">
      <c r="A510">
        <v>509</v>
      </c>
      <c r="B510" t="s">
        <v>506</v>
      </c>
      <c r="C510" t="s">
        <v>977</v>
      </c>
      <c r="D510">
        <v>90</v>
      </c>
      <c r="E510">
        <v>15</v>
      </c>
      <c r="F510">
        <v>77</v>
      </c>
      <c r="G510">
        <v>1</v>
      </c>
      <c r="H510" t="s">
        <v>12</v>
      </c>
      <c r="I510">
        <v>68</v>
      </c>
      <c r="J510" t="b">
        <v>1</v>
      </c>
    </row>
    <row r="511" spans="1:10" x14ac:dyDescent="0.3">
      <c r="A511">
        <v>510</v>
      </c>
      <c r="B511" t="s">
        <v>507</v>
      </c>
      <c r="C511" t="s">
        <v>14</v>
      </c>
      <c r="D511">
        <v>88</v>
      </c>
      <c r="E511">
        <v>20</v>
      </c>
      <c r="F511">
        <v>86</v>
      </c>
      <c r="G511">
        <v>0</v>
      </c>
      <c r="H511" t="s">
        <v>17</v>
      </c>
      <c r="I511">
        <v>92</v>
      </c>
      <c r="J511" t="b">
        <v>0</v>
      </c>
    </row>
    <row r="512" spans="1:10" x14ac:dyDescent="0.3">
      <c r="A512">
        <v>511</v>
      </c>
      <c r="B512" t="s">
        <v>508</v>
      </c>
      <c r="C512" t="s">
        <v>11</v>
      </c>
      <c r="D512">
        <v>85</v>
      </c>
      <c r="E512">
        <v>22</v>
      </c>
      <c r="F512">
        <v>85</v>
      </c>
      <c r="G512">
        <v>3</v>
      </c>
      <c r="H512" t="s">
        <v>17</v>
      </c>
      <c r="I512">
        <v>85</v>
      </c>
      <c r="J512" t="b">
        <v>0</v>
      </c>
    </row>
    <row r="513" spans="1:10" x14ac:dyDescent="0.3">
      <c r="A513">
        <v>512</v>
      </c>
      <c r="B513" t="s">
        <v>509</v>
      </c>
      <c r="C513" t="s">
        <v>11</v>
      </c>
      <c r="D513">
        <v>95</v>
      </c>
      <c r="E513">
        <v>30</v>
      </c>
      <c r="F513">
        <v>60</v>
      </c>
      <c r="G513">
        <v>0</v>
      </c>
      <c r="H513" t="s">
        <v>12</v>
      </c>
      <c r="I513">
        <v>92</v>
      </c>
      <c r="J513" t="b">
        <v>1</v>
      </c>
    </row>
    <row r="514" spans="1:10" x14ac:dyDescent="0.3">
      <c r="A514">
        <v>513</v>
      </c>
      <c r="B514" t="s">
        <v>510</v>
      </c>
      <c r="C514" t="s">
        <v>11</v>
      </c>
      <c r="D514">
        <v>88</v>
      </c>
      <c r="E514">
        <v>12</v>
      </c>
      <c r="F514">
        <v>78</v>
      </c>
      <c r="G514">
        <v>1</v>
      </c>
      <c r="H514" t="s">
        <v>17</v>
      </c>
      <c r="I514">
        <v>88</v>
      </c>
      <c r="J514" t="b">
        <v>1</v>
      </c>
    </row>
    <row r="515" spans="1:10" x14ac:dyDescent="0.3">
      <c r="A515">
        <v>514</v>
      </c>
      <c r="B515" t="s">
        <v>511</v>
      </c>
      <c r="C515" t="s">
        <v>11</v>
      </c>
      <c r="D515">
        <v>70</v>
      </c>
      <c r="E515">
        <v>17</v>
      </c>
      <c r="F515">
        <v>86</v>
      </c>
      <c r="G515">
        <v>3</v>
      </c>
      <c r="H515" t="s">
        <v>17</v>
      </c>
      <c r="I515">
        <v>87</v>
      </c>
      <c r="J515" t="b">
        <v>0</v>
      </c>
    </row>
    <row r="516" spans="1:10" x14ac:dyDescent="0.3">
      <c r="A516">
        <v>515</v>
      </c>
      <c r="B516" t="s">
        <v>512</v>
      </c>
      <c r="C516" t="s">
        <v>11</v>
      </c>
      <c r="D516">
        <v>95</v>
      </c>
      <c r="E516">
        <v>20</v>
      </c>
      <c r="F516">
        <v>77</v>
      </c>
      <c r="G516">
        <v>3</v>
      </c>
      <c r="H516" t="s">
        <v>17</v>
      </c>
      <c r="I516">
        <v>80</v>
      </c>
      <c r="J516" t="b">
        <v>1</v>
      </c>
    </row>
    <row r="517" spans="1:10" x14ac:dyDescent="0.3">
      <c r="A517">
        <v>516</v>
      </c>
      <c r="B517" t="s">
        <v>513</v>
      </c>
      <c r="C517" t="s">
        <v>977</v>
      </c>
      <c r="D517">
        <v>78</v>
      </c>
      <c r="E517">
        <v>10</v>
      </c>
      <c r="F517">
        <v>77</v>
      </c>
      <c r="G517">
        <v>2</v>
      </c>
      <c r="H517" t="s">
        <v>12</v>
      </c>
      <c r="I517">
        <v>78</v>
      </c>
      <c r="J517" t="b">
        <v>1</v>
      </c>
    </row>
    <row r="518" spans="1:10" x14ac:dyDescent="0.3">
      <c r="A518">
        <v>517</v>
      </c>
      <c r="B518" t="s">
        <v>514</v>
      </c>
      <c r="C518" t="s">
        <v>11</v>
      </c>
      <c r="D518">
        <v>92</v>
      </c>
      <c r="E518">
        <v>17.630526315789474</v>
      </c>
      <c r="F518">
        <v>82</v>
      </c>
      <c r="G518">
        <v>0</v>
      </c>
      <c r="H518" t="s">
        <v>15</v>
      </c>
      <c r="I518">
        <v>88</v>
      </c>
      <c r="J518" t="b">
        <v>0</v>
      </c>
    </row>
    <row r="519" spans="1:10" x14ac:dyDescent="0.3">
      <c r="A519">
        <v>518</v>
      </c>
      <c r="B519" t="s">
        <v>515</v>
      </c>
      <c r="C519" t="s">
        <v>14</v>
      </c>
      <c r="D519">
        <v>95</v>
      </c>
      <c r="E519">
        <v>25</v>
      </c>
      <c r="F519">
        <v>88</v>
      </c>
      <c r="G519">
        <v>1</v>
      </c>
      <c r="H519" t="s">
        <v>17</v>
      </c>
      <c r="I519">
        <v>80</v>
      </c>
      <c r="J519" t="b">
        <v>0</v>
      </c>
    </row>
    <row r="520" spans="1:10" x14ac:dyDescent="0.3">
      <c r="A520">
        <v>519</v>
      </c>
      <c r="B520" t="s">
        <v>516</v>
      </c>
      <c r="C520" t="s">
        <v>11</v>
      </c>
      <c r="D520">
        <v>85</v>
      </c>
      <c r="E520">
        <v>15</v>
      </c>
      <c r="F520">
        <v>90</v>
      </c>
      <c r="G520">
        <v>3</v>
      </c>
      <c r="H520" t="s">
        <v>17</v>
      </c>
      <c r="I520">
        <v>90</v>
      </c>
      <c r="J520" t="b">
        <v>1</v>
      </c>
    </row>
    <row r="521" spans="1:10" x14ac:dyDescent="0.3">
      <c r="A521">
        <v>520</v>
      </c>
      <c r="B521" t="s">
        <v>517</v>
      </c>
      <c r="C521" t="s">
        <v>11</v>
      </c>
      <c r="D521">
        <v>85.510416666666671</v>
      </c>
      <c r="E521">
        <v>22</v>
      </c>
      <c r="F521">
        <v>65</v>
      </c>
      <c r="G521">
        <v>2</v>
      </c>
      <c r="H521" t="s">
        <v>12</v>
      </c>
      <c r="I521">
        <v>90</v>
      </c>
      <c r="J521" t="b">
        <v>0</v>
      </c>
    </row>
    <row r="522" spans="1:10" x14ac:dyDescent="0.3">
      <c r="A522">
        <v>521</v>
      </c>
      <c r="B522" t="s">
        <v>518</v>
      </c>
      <c r="C522" t="s">
        <v>14</v>
      </c>
      <c r="D522">
        <v>85</v>
      </c>
      <c r="E522">
        <v>30</v>
      </c>
      <c r="F522">
        <v>90</v>
      </c>
      <c r="G522">
        <v>2</v>
      </c>
      <c r="H522" t="s">
        <v>12</v>
      </c>
      <c r="I522">
        <v>92</v>
      </c>
      <c r="J522" t="b">
        <v>0</v>
      </c>
    </row>
    <row r="523" spans="1:10" x14ac:dyDescent="0.3">
      <c r="A523">
        <v>522</v>
      </c>
      <c r="B523" t="s">
        <v>519</v>
      </c>
      <c r="C523" t="s">
        <v>14</v>
      </c>
      <c r="D523">
        <v>91</v>
      </c>
      <c r="E523">
        <v>10</v>
      </c>
      <c r="F523">
        <v>78</v>
      </c>
      <c r="G523">
        <v>0</v>
      </c>
      <c r="H523" t="s">
        <v>17</v>
      </c>
      <c r="I523">
        <v>72</v>
      </c>
      <c r="J523" t="b">
        <v>1</v>
      </c>
    </row>
    <row r="524" spans="1:10" x14ac:dyDescent="0.3">
      <c r="A524">
        <v>523</v>
      </c>
      <c r="B524" t="s">
        <v>520</v>
      </c>
      <c r="C524" t="s">
        <v>11</v>
      </c>
      <c r="D524">
        <v>91</v>
      </c>
      <c r="E524">
        <v>18</v>
      </c>
      <c r="F524">
        <v>78</v>
      </c>
      <c r="G524">
        <v>1</v>
      </c>
      <c r="H524" t="s">
        <v>17</v>
      </c>
      <c r="I524">
        <v>80</v>
      </c>
      <c r="J524" t="b">
        <v>0</v>
      </c>
    </row>
    <row r="525" spans="1:10" x14ac:dyDescent="0.3">
      <c r="A525">
        <v>524</v>
      </c>
      <c r="B525" t="s">
        <v>521</v>
      </c>
      <c r="C525" t="s">
        <v>11</v>
      </c>
      <c r="D525">
        <v>85</v>
      </c>
      <c r="E525">
        <v>18</v>
      </c>
      <c r="F525">
        <v>60</v>
      </c>
      <c r="G525">
        <v>3</v>
      </c>
      <c r="H525" t="s">
        <v>15</v>
      </c>
      <c r="I525">
        <v>72</v>
      </c>
      <c r="J525" t="b">
        <v>1</v>
      </c>
    </row>
    <row r="526" spans="1:10" x14ac:dyDescent="0.3">
      <c r="A526">
        <v>525</v>
      </c>
      <c r="B526" t="s">
        <v>522</v>
      </c>
      <c r="C526" t="s">
        <v>11</v>
      </c>
      <c r="D526">
        <v>78</v>
      </c>
      <c r="E526">
        <v>25</v>
      </c>
      <c r="F526">
        <v>70</v>
      </c>
      <c r="G526">
        <v>1</v>
      </c>
      <c r="H526" t="s">
        <v>17</v>
      </c>
      <c r="I526">
        <v>80.030208333333334</v>
      </c>
      <c r="J526" t="b">
        <v>0</v>
      </c>
    </row>
    <row r="527" spans="1:10" x14ac:dyDescent="0.3">
      <c r="A527">
        <v>526</v>
      </c>
      <c r="B527" t="s">
        <v>523</v>
      </c>
      <c r="C527" t="s">
        <v>14</v>
      </c>
      <c r="D527">
        <v>70</v>
      </c>
      <c r="E527">
        <v>10</v>
      </c>
      <c r="F527">
        <v>78</v>
      </c>
      <c r="G527">
        <v>1</v>
      </c>
      <c r="H527" t="s">
        <v>17</v>
      </c>
      <c r="I527">
        <v>90</v>
      </c>
      <c r="J527" t="b">
        <v>1</v>
      </c>
    </row>
    <row r="528" spans="1:10" x14ac:dyDescent="0.3">
      <c r="A528">
        <v>527</v>
      </c>
      <c r="B528" t="s">
        <v>524</v>
      </c>
      <c r="C528" t="s">
        <v>14</v>
      </c>
      <c r="D528">
        <v>85</v>
      </c>
      <c r="E528">
        <v>18</v>
      </c>
      <c r="F528">
        <v>60</v>
      </c>
      <c r="G528">
        <v>1</v>
      </c>
      <c r="H528" t="s">
        <v>17</v>
      </c>
      <c r="I528">
        <v>85</v>
      </c>
      <c r="J528" t="b">
        <v>0</v>
      </c>
    </row>
    <row r="529" spans="1:10" x14ac:dyDescent="0.3">
      <c r="A529">
        <v>528</v>
      </c>
      <c r="B529" t="s">
        <v>525</v>
      </c>
      <c r="C529" t="s">
        <v>11</v>
      </c>
      <c r="D529">
        <v>70</v>
      </c>
      <c r="E529">
        <v>12</v>
      </c>
      <c r="F529">
        <v>86</v>
      </c>
      <c r="G529">
        <v>3</v>
      </c>
      <c r="H529" t="s">
        <v>15</v>
      </c>
      <c r="I529">
        <v>92</v>
      </c>
      <c r="J529" t="b">
        <v>0</v>
      </c>
    </row>
    <row r="530" spans="1:10" x14ac:dyDescent="0.3">
      <c r="A530">
        <v>529</v>
      </c>
      <c r="B530" t="s">
        <v>526</v>
      </c>
      <c r="C530" t="s">
        <v>14</v>
      </c>
      <c r="D530">
        <v>82</v>
      </c>
      <c r="E530">
        <v>10</v>
      </c>
      <c r="F530">
        <v>90</v>
      </c>
      <c r="G530">
        <v>0</v>
      </c>
      <c r="H530" t="s">
        <v>17</v>
      </c>
      <c r="I530">
        <v>72</v>
      </c>
      <c r="J530" t="b">
        <v>1</v>
      </c>
    </row>
    <row r="531" spans="1:10" x14ac:dyDescent="0.3">
      <c r="A531">
        <v>530</v>
      </c>
      <c r="B531" t="s">
        <v>527</v>
      </c>
      <c r="C531" t="s">
        <v>11</v>
      </c>
      <c r="D531">
        <v>70</v>
      </c>
      <c r="E531">
        <v>17.630526315789474</v>
      </c>
      <c r="F531">
        <v>86</v>
      </c>
      <c r="G531">
        <v>0</v>
      </c>
      <c r="H531" t="s">
        <v>15</v>
      </c>
      <c r="I531">
        <v>87</v>
      </c>
      <c r="J531" t="b">
        <v>1</v>
      </c>
    </row>
    <row r="532" spans="1:10" x14ac:dyDescent="0.3">
      <c r="A532">
        <v>531</v>
      </c>
      <c r="B532" t="s">
        <v>528</v>
      </c>
      <c r="C532" t="s">
        <v>14</v>
      </c>
      <c r="D532">
        <v>78</v>
      </c>
      <c r="E532">
        <v>15</v>
      </c>
      <c r="F532">
        <v>88</v>
      </c>
      <c r="G532">
        <v>0</v>
      </c>
      <c r="H532" t="s">
        <v>15</v>
      </c>
      <c r="I532">
        <v>80.030208333333334</v>
      </c>
      <c r="J532" t="b">
        <v>0</v>
      </c>
    </row>
    <row r="533" spans="1:10" x14ac:dyDescent="0.3">
      <c r="A533">
        <v>532</v>
      </c>
      <c r="B533" t="s">
        <v>529</v>
      </c>
      <c r="C533" t="s">
        <v>11</v>
      </c>
      <c r="D533">
        <v>85.510416666666671</v>
      </c>
      <c r="E533">
        <v>10</v>
      </c>
      <c r="F533">
        <v>65</v>
      </c>
      <c r="G533">
        <v>1</v>
      </c>
      <c r="H533" t="s">
        <v>17</v>
      </c>
      <c r="I533">
        <v>88</v>
      </c>
      <c r="J533" t="b">
        <v>1</v>
      </c>
    </row>
    <row r="534" spans="1:10" x14ac:dyDescent="0.3">
      <c r="A534">
        <v>533</v>
      </c>
      <c r="B534" t="s">
        <v>530</v>
      </c>
      <c r="C534" t="s">
        <v>11</v>
      </c>
      <c r="D534">
        <v>85</v>
      </c>
      <c r="E534">
        <v>30</v>
      </c>
      <c r="F534">
        <v>85</v>
      </c>
      <c r="G534">
        <v>1</v>
      </c>
      <c r="H534" t="s">
        <v>12</v>
      </c>
      <c r="I534">
        <v>72</v>
      </c>
      <c r="J534" t="b">
        <v>0</v>
      </c>
    </row>
    <row r="535" spans="1:10" x14ac:dyDescent="0.3">
      <c r="A535">
        <v>534</v>
      </c>
      <c r="B535" t="s">
        <v>531</v>
      </c>
      <c r="C535" t="s">
        <v>14</v>
      </c>
      <c r="D535">
        <v>85</v>
      </c>
      <c r="E535">
        <v>17</v>
      </c>
      <c r="F535">
        <v>65</v>
      </c>
      <c r="G535">
        <v>0</v>
      </c>
      <c r="H535" t="s">
        <v>12</v>
      </c>
      <c r="I535">
        <v>92</v>
      </c>
      <c r="J535" t="b">
        <v>1</v>
      </c>
    </row>
    <row r="536" spans="1:10" x14ac:dyDescent="0.3">
      <c r="A536">
        <v>535</v>
      </c>
      <c r="B536" t="s">
        <v>532</v>
      </c>
      <c r="C536" t="s">
        <v>14</v>
      </c>
      <c r="D536">
        <v>92</v>
      </c>
      <c r="E536">
        <v>25</v>
      </c>
      <c r="F536">
        <v>90</v>
      </c>
      <c r="G536">
        <v>2</v>
      </c>
      <c r="H536" t="s">
        <v>12</v>
      </c>
      <c r="I536">
        <v>80.030208333333334</v>
      </c>
      <c r="J536" t="b">
        <v>0</v>
      </c>
    </row>
    <row r="537" spans="1:10" x14ac:dyDescent="0.3">
      <c r="A537">
        <v>536</v>
      </c>
      <c r="B537" t="s">
        <v>977</v>
      </c>
      <c r="C537" t="s">
        <v>11</v>
      </c>
      <c r="D537">
        <v>70</v>
      </c>
      <c r="E537">
        <v>8</v>
      </c>
      <c r="F537">
        <v>78</v>
      </c>
      <c r="G537">
        <v>3</v>
      </c>
      <c r="H537" t="s">
        <v>17</v>
      </c>
      <c r="I537">
        <v>62</v>
      </c>
      <c r="J537" t="b">
        <v>1</v>
      </c>
    </row>
    <row r="538" spans="1:10" x14ac:dyDescent="0.3">
      <c r="A538">
        <v>537</v>
      </c>
      <c r="B538" t="s">
        <v>533</v>
      </c>
      <c r="C538" t="s">
        <v>11</v>
      </c>
      <c r="D538">
        <v>85</v>
      </c>
      <c r="E538">
        <v>17</v>
      </c>
      <c r="F538">
        <v>78</v>
      </c>
      <c r="G538">
        <v>3</v>
      </c>
      <c r="H538" t="s">
        <v>17</v>
      </c>
      <c r="I538">
        <v>72</v>
      </c>
      <c r="J538" t="b">
        <v>1</v>
      </c>
    </row>
    <row r="539" spans="1:10" x14ac:dyDescent="0.3">
      <c r="A539">
        <v>538</v>
      </c>
      <c r="B539" t="s">
        <v>534</v>
      </c>
      <c r="C539" t="s">
        <v>11</v>
      </c>
      <c r="D539">
        <v>92</v>
      </c>
      <c r="E539">
        <v>18</v>
      </c>
      <c r="F539">
        <v>77</v>
      </c>
      <c r="G539">
        <v>0</v>
      </c>
      <c r="H539" t="s">
        <v>15</v>
      </c>
      <c r="I539">
        <v>85</v>
      </c>
      <c r="J539" t="b">
        <v>0</v>
      </c>
    </row>
    <row r="540" spans="1:10" x14ac:dyDescent="0.3">
      <c r="A540">
        <v>539</v>
      </c>
      <c r="B540" t="s">
        <v>535</v>
      </c>
      <c r="C540" t="s">
        <v>11</v>
      </c>
      <c r="D540">
        <v>85</v>
      </c>
      <c r="E540">
        <v>17</v>
      </c>
      <c r="F540">
        <v>85</v>
      </c>
      <c r="G540">
        <v>2</v>
      </c>
      <c r="H540" t="s">
        <v>12</v>
      </c>
      <c r="I540">
        <v>68</v>
      </c>
      <c r="J540" t="b">
        <v>1</v>
      </c>
    </row>
    <row r="541" spans="1:10" x14ac:dyDescent="0.3">
      <c r="A541">
        <v>540</v>
      </c>
      <c r="B541" t="s">
        <v>536</v>
      </c>
      <c r="C541" t="s">
        <v>14</v>
      </c>
      <c r="D541">
        <v>95</v>
      </c>
      <c r="E541">
        <v>17</v>
      </c>
      <c r="F541">
        <v>78</v>
      </c>
      <c r="G541">
        <v>0</v>
      </c>
      <c r="H541" t="s">
        <v>15</v>
      </c>
      <c r="I541">
        <v>88</v>
      </c>
      <c r="J541" t="b">
        <v>0</v>
      </c>
    </row>
    <row r="542" spans="1:10" x14ac:dyDescent="0.3">
      <c r="A542">
        <v>541</v>
      </c>
      <c r="B542" t="s">
        <v>537</v>
      </c>
      <c r="C542" t="s">
        <v>14</v>
      </c>
      <c r="D542">
        <v>95</v>
      </c>
      <c r="E542">
        <v>10</v>
      </c>
      <c r="F542">
        <v>85</v>
      </c>
      <c r="G542">
        <v>2</v>
      </c>
      <c r="H542" t="s">
        <v>12</v>
      </c>
      <c r="I542">
        <v>78</v>
      </c>
      <c r="J542" t="b">
        <v>0</v>
      </c>
    </row>
    <row r="543" spans="1:10" x14ac:dyDescent="0.3">
      <c r="A543">
        <v>542</v>
      </c>
      <c r="B543" t="s">
        <v>538</v>
      </c>
      <c r="C543" t="s">
        <v>11</v>
      </c>
      <c r="D543">
        <v>70</v>
      </c>
      <c r="E543">
        <v>12</v>
      </c>
      <c r="F543">
        <v>60</v>
      </c>
      <c r="G543">
        <v>1</v>
      </c>
      <c r="H543" t="s">
        <v>12</v>
      </c>
      <c r="I543">
        <v>90</v>
      </c>
      <c r="J543" t="b">
        <v>1</v>
      </c>
    </row>
    <row r="544" spans="1:10" x14ac:dyDescent="0.3">
      <c r="A544">
        <v>543</v>
      </c>
      <c r="B544" t="s">
        <v>539</v>
      </c>
      <c r="C544" t="s">
        <v>11</v>
      </c>
      <c r="D544">
        <v>78</v>
      </c>
      <c r="E544">
        <v>15</v>
      </c>
      <c r="F544">
        <v>60</v>
      </c>
      <c r="G544">
        <v>2</v>
      </c>
      <c r="H544" t="s">
        <v>15</v>
      </c>
      <c r="I544">
        <v>78</v>
      </c>
      <c r="J544" t="b">
        <v>1</v>
      </c>
    </row>
    <row r="545" spans="1:10" x14ac:dyDescent="0.3">
      <c r="A545">
        <v>544</v>
      </c>
      <c r="B545" t="s">
        <v>540</v>
      </c>
      <c r="C545" t="s">
        <v>11</v>
      </c>
      <c r="D545">
        <v>85</v>
      </c>
      <c r="E545">
        <v>22</v>
      </c>
      <c r="F545">
        <v>82</v>
      </c>
      <c r="G545">
        <v>1</v>
      </c>
      <c r="H545" t="s">
        <v>15</v>
      </c>
      <c r="I545">
        <v>78</v>
      </c>
      <c r="J545" t="b">
        <v>1</v>
      </c>
    </row>
    <row r="546" spans="1:10" x14ac:dyDescent="0.3">
      <c r="A546">
        <v>545</v>
      </c>
      <c r="B546" t="s">
        <v>541</v>
      </c>
      <c r="C546" t="s">
        <v>11</v>
      </c>
      <c r="D546">
        <v>92</v>
      </c>
      <c r="E546">
        <v>22</v>
      </c>
      <c r="F546">
        <v>77</v>
      </c>
      <c r="G546">
        <v>1</v>
      </c>
      <c r="H546" t="s">
        <v>15</v>
      </c>
      <c r="I546">
        <v>78</v>
      </c>
      <c r="J546" t="b">
        <v>1</v>
      </c>
    </row>
    <row r="547" spans="1:10" x14ac:dyDescent="0.3">
      <c r="A547">
        <v>546</v>
      </c>
      <c r="B547" t="s">
        <v>542</v>
      </c>
      <c r="C547" t="s">
        <v>14</v>
      </c>
      <c r="D547">
        <v>91</v>
      </c>
      <c r="E547">
        <v>12</v>
      </c>
      <c r="F547">
        <v>90</v>
      </c>
      <c r="G547">
        <v>1</v>
      </c>
      <c r="H547" t="s">
        <v>12</v>
      </c>
      <c r="I547">
        <v>68</v>
      </c>
      <c r="J547" t="b">
        <v>1</v>
      </c>
    </row>
    <row r="548" spans="1:10" x14ac:dyDescent="0.3">
      <c r="A548">
        <v>547</v>
      </c>
      <c r="B548" t="s">
        <v>543</v>
      </c>
      <c r="C548" t="s">
        <v>11</v>
      </c>
      <c r="D548">
        <v>91</v>
      </c>
      <c r="E548">
        <v>22</v>
      </c>
      <c r="F548">
        <v>82</v>
      </c>
      <c r="G548">
        <v>1</v>
      </c>
      <c r="H548" t="s">
        <v>12</v>
      </c>
      <c r="I548">
        <v>80</v>
      </c>
      <c r="J548" t="b">
        <v>1</v>
      </c>
    </row>
    <row r="549" spans="1:10" x14ac:dyDescent="0.3">
      <c r="A549">
        <v>548</v>
      </c>
      <c r="B549" t="s">
        <v>544</v>
      </c>
      <c r="C549" t="s">
        <v>11</v>
      </c>
      <c r="D549">
        <v>85</v>
      </c>
      <c r="E549">
        <v>22</v>
      </c>
      <c r="F549">
        <v>88</v>
      </c>
      <c r="G549">
        <v>1</v>
      </c>
      <c r="H549" t="s">
        <v>12</v>
      </c>
      <c r="I549">
        <v>85</v>
      </c>
      <c r="J549" t="b">
        <v>1</v>
      </c>
    </row>
    <row r="550" spans="1:10" x14ac:dyDescent="0.3">
      <c r="A550">
        <v>549</v>
      </c>
      <c r="B550" t="s">
        <v>545</v>
      </c>
      <c r="C550" t="s">
        <v>11</v>
      </c>
      <c r="D550">
        <v>88</v>
      </c>
      <c r="E550">
        <v>17</v>
      </c>
      <c r="F550">
        <v>77.598759048603924</v>
      </c>
      <c r="G550">
        <v>2</v>
      </c>
      <c r="H550" t="s">
        <v>17</v>
      </c>
      <c r="I550">
        <v>80.030208333333334</v>
      </c>
      <c r="J550" t="b">
        <v>1</v>
      </c>
    </row>
    <row r="551" spans="1:10" x14ac:dyDescent="0.3">
      <c r="A551">
        <v>550</v>
      </c>
      <c r="B551" t="s">
        <v>546</v>
      </c>
      <c r="C551" t="s">
        <v>11</v>
      </c>
      <c r="D551">
        <v>90</v>
      </c>
      <c r="E551">
        <v>22</v>
      </c>
      <c r="F551">
        <v>70</v>
      </c>
      <c r="G551">
        <v>2</v>
      </c>
      <c r="H551" t="s">
        <v>15</v>
      </c>
      <c r="I551">
        <v>88</v>
      </c>
      <c r="J551" t="b">
        <v>0</v>
      </c>
    </row>
    <row r="552" spans="1:10" x14ac:dyDescent="0.3">
      <c r="A552">
        <v>551</v>
      </c>
      <c r="B552" t="s">
        <v>547</v>
      </c>
      <c r="C552" t="s">
        <v>14</v>
      </c>
      <c r="D552">
        <v>88</v>
      </c>
      <c r="E552">
        <v>12</v>
      </c>
      <c r="F552">
        <v>86</v>
      </c>
      <c r="G552">
        <v>3</v>
      </c>
      <c r="H552" t="s">
        <v>15</v>
      </c>
      <c r="I552">
        <v>68</v>
      </c>
      <c r="J552" t="b">
        <v>0</v>
      </c>
    </row>
    <row r="553" spans="1:10" x14ac:dyDescent="0.3">
      <c r="A553">
        <v>552</v>
      </c>
      <c r="B553" t="s">
        <v>548</v>
      </c>
      <c r="C553" t="s">
        <v>11</v>
      </c>
      <c r="D553">
        <v>91</v>
      </c>
      <c r="E553">
        <v>25</v>
      </c>
      <c r="F553">
        <v>82</v>
      </c>
      <c r="G553">
        <v>3</v>
      </c>
      <c r="H553" t="s">
        <v>12</v>
      </c>
      <c r="I553">
        <v>87</v>
      </c>
      <c r="J553" t="b">
        <v>1</v>
      </c>
    </row>
    <row r="554" spans="1:10" x14ac:dyDescent="0.3">
      <c r="A554">
        <v>553</v>
      </c>
      <c r="B554" t="s">
        <v>549</v>
      </c>
      <c r="C554" t="s">
        <v>14</v>
      </c>
      <c r="D554">
        <v>70</v>
      </c>
      <c r="E554">
        <v>15</v>
      </c>
      <c r="F554">
        <v>88</v>
      </c>
      <c r="G554">
        <v>1</v>
      </c>
      <c r="H554" t="s">
        <v>17</v>
      </c>
      <c r="I554">
        <v>92</v>
      </c>
      <c r="J554" t="b">
        <v>0</v>
      </c>
    </row>
    <row r="555" spans="1:10" x14ac:dyDescent="0.3">
      <c r="A555">
        <v>554</v>
      </c>
      <c r="B555" t="s">
        <v>550</v>
      </c>
      <c r="C555" t="s">
        <v>11</v>
      </c>
      <c r="D555">
        <v>88</v>
      </c>
      <c r="E555">
        <v>18</v>
      </c>
      <c r="F555">
        <v>70</v>
      </c>
      <c r="G555">
        <v>2</v>
      </c>
      <c r="H555" t="s">
        <v>15</v>
      </c>
      <c r="I555">
        <v>80</v>
      </c>
      <c r="J555" t="b">
        <v>0</v>
      </c>
    </row>
    <row r="556" spans="1:10" x14ac:dyDescent="0.3">
      <c r="A556">
        <v>555</v>
      </c>
      <c r="B556" t="s">
        <v>551</v>
      </c>
      <c r="C556" t="s">
        <v>11</v>
      </c>
      <c r="D556">
        <v>78</v>
      </c>
      <c r="E556">
        <v>25</v>
      </c>
      <c r="F556">
        <v>88</v>
      </c>
      <c r="G556">
        <v>1</v>
      </c>
      <c r="H556" t="s">
        <v>17</v>
      </c>
      <c r="I556">
        <v>78</v>
      </c>
      <c r="J556" t="b">
        <v>1</v>
      </c>
    </row>
    <row r="557" spans="1:10" x14ac:dyDescent="0.3">
      <c r="A557">
        <v>556</v>
      </c>
      <c r="B557" t="s">
        <v>977</v>
      </c>
      <c r="C557" t="s">
        <v>11</v>
      </c>
      <c r="D557">
        <v>85</v>
      </c>
      <c r="E557">
        <v>12</v>
      </c>
      <c r="F557">
        <v>88</v>
      </c>
      <c r="G557">
        <v>1</v>
      </c>
      <c r="H557" t="s">
        <v>15</v>
      </c>
      <c r="I557">
        <v>80</v>
      </c>
      <c r="J557" t="b">
        <v>0</v>
      </c>
    </row>
    <row r="558" spans="1:10" x14ac:dyDescent="0.3">
      <c r="A558">
        <v>557</v>
      </c>
      <c r="B558" t="s">
        <v>552</v>
      </c>
      <c r="C558" t="s">
        <v>11</v>
      </c>
      <c r="D558">
        <v>92</v>
      </c>
      <c r="E558">
        <v>22</v>
      </c>
      <c r="F558">
        <v>77.598759048603924</v>
      </c>
      <c r="G558">
        <v>1</v>
      </c>
      <c r="H558" t="s">
        <v>12</v>
      </c>
      <c r="I558">
        <v>68</v>
      </c>
      <c r="J558" t="b">
        <v>0</v>
      </c>
    </row>
    <row r="559" spans="1:10" x14ac:dyDescent="0.3">
      <c r="A559">
        <v>558</v>
      </c>
      <c r="B559" t="s">
        <v>553</v>
      </c>
      <c r="C559" t="s">
        <v>977</v>
      </c>
      <c r="D559">
        <v>91</v>
      </c>
      <c r="E559">
        <v>22</v>
      </c>
      <c r="F559">
        <v>60</v>
      </c>
      <c r="G559">
        <v>0</v>
      </c>
      <c r="H559" t="s">
        <v>17</v>
      </c>
      <c r="I559">
        <v>87</v>
      </c>
      <c r="J559" t="b">
        <v>0</v>
      </c>
    </row>
    <row r="560" spans="1:10" x14ac:dyDescent="0.3">
      <c r="A560">
        <v>559</v>
      </c>
      <c r="B560" t="s">
        <v>554</v>
      </c>
      <c r="C560" t="s">
        <v>11</v>
      </c>
      <c r="D560">
        <v>88</v>
      </c>
      <c r="E560">
        <v>8</v>
      </c>
      <c r="F560">
        <v>85</v>
      </c>
      <c r="G560">
        <v>1</v>
      </c>
      <c r="H560" t="s">
        <v>12</v>
      </c>
      <c r="I560">
        <v>90</v>
      </c>
      <c r="J560" t="b">
        <v>1</v>
      </c>
    </row>
    <row r="561" spans="1:10" x14ac:dyDescent="0.3">
      <c r="A561">
        <v>560</v>
      </c>
      <c r="B561" t="s">
        <v>555</v>
      </c>
      <c r="C561" t="s">
        <v>14</v>
      </c>
      <c r="D561">
        <v>78</v>
      </c>
      <c r="E561">
        <v>20</v>
      </c>
      <c r="F561">
        <v>88</v>
      </c>
      <c r="G561">
        <v>1</v>
      </c>
      <c r="H561" t="s">
        <v>12</v>
      </c>
      <c r="I561">
        <v>80.030208333333334</v>
      </c>
      <c r="J561" t="b">
        <v>0</v>
      </c>
    </row>
    <row r="562" spans="1:10" x14ac:dyDescent="0.3">
      <c r="A562">
        <v>561</v>
      </c>
      <c r="B562" t="s">
        <v>556</v>
      </c>
      <c r="C562" t="s">
        <v>11</v>
      </c>
      <c r="D562">
        <v>92</v>
      </c>
      <c r="E562">
        <v>30</v>
      </c>
      <c r="F562">
        <v>77</v>
      </c>
      <c r="G562">
        <v>2</v>
      </c>
      <c r="H562" t="s">
        <v>15</v>
      </c>
      <c r="I562">
        <v>90</v>
      </c>
      <c r="J562" t="b">
        <v>1</v>
      </c>
    </row>
    <row r="563" spans="1:10" x14ac:dyDescent="0.3">
      <c r="A563">
        <v>562</v>
      </c>
      <c r="B563" t="s">
        <v>557</v>
      </c>
      <c r="C563" t="s">
        <v>11</v>
      </c>
      <c r="D563">
        <v>85</v>
      </c>
      <c r="E563">
        <v>8</v>
      </c>
      <c r="F563">
        <v>70</v>
      </c>
      <c r="G563">
        <v>2</v>
      </c>
      <c r="H563" t="s">
        <v>12</v>
      </c>
      <c r="I563">
        <v>85</v>
      </c>
      <c r="J563" t="b">
        <v>1</v>
      </c>
    </row>
    <row r="564" spans="1:10" x14ac:dyDescent="0.3">
      <c r="A564">
        <v>563</v>
      </c>
      <c r="B564" t="s">
        <v>558</v>
      </c>
      <c r="C564" t="s">
        <v>14</v>
      </c>
      <c r="D564">
        <v>85</v>
      </c>
      <c r="E564">
        <v>20</v>
      </c>
      <c r="F564">
        <v>70</v>
      </c>
      <c r="G564">
        <v>2</v>
      </c>
      <c r="H564" t="s">
        <v>12</v>
      </c>
      <c r="I564">
        <v>88</v>
      </c>
      <c r="J564" t="b">
        <v>1</v>
      </c>
    </row>
    <row r="565" spans="1:10" x14ac:dyDescent="0.3">
      <c r="A565">
        <v>564</v>
      </c>
      <c r="B565" t="s">
        <v>559</v>
      </c>
      <c r="C565" t="s">
        <v>11</v>
      </c>
      <c r="D565">
        <v>92</v>
      </c>
      <c r="E565">
        <v>18</v>
      </c>
      <c r="F565">
        <v>82</v>
      </c>
      <c r="G565">
        <v>2</v>
      </c>
      <c r="H565" t="s">
        <v>15</v>
      </c>
      <c r="I565">
        <v>78</v>
      </c>
      <c r="J565" t="b">
        <v>1</v>
      </c>
    </row>
    <row r="566" spans="1:10" x14ac:dyDescent="0.3">
      <c r="A566">
        <v>565</v>
      </c>
      <c r="B566" t="s">
        <v>560</v>
      </c>
      <c r="C566" t="s">
        <v>977</v>
      </c>
      <c r="D566">
        <v>90</v>
      </c>
      <c r="E566">
        <v>15</v>
      </c>
      <c r="F566">
        <v>86</v>
      </c>
      <c r="G566">
        <v>2</v>
      </c>
      <c r="H566" t="s">
        <v>17</v>
      </c>
      <c r="I566">
        <v>87</v>
      </c>
      <c r="J566" t="b">
        <v>0</v>
      </c>
    </row>
    <row r="567" spans="1:10" x14ac:dyDescent="0.3">
      <c r="A567">
        <v>566</v>
      </c>
      <c r="B567" t="s">
        <v>561</v>
      </c>
      <c r="C567" t="s">
        <v>11</v>
      </c>
      <c r="D567">
        <v>88</v>
      </c>
      <c r="E567">
        <v>22</v>
      </c>
      <c r="F567">
        <v>90</v>
      </c>
      <c r="G567">
        <v>0</v>
      </c>
      <c r="H567" t="s">
        <v>12</v>
      </c>
      <c r="I567">
        <v>85</v>
      </c>
      <c r="J567" t="b">
        <v>0</v>
      </c>
    </row>
    <row r="568" spans="1:10" x14ac:dyDescent="0.3">
      <c r="A568">
        <v>567</v>
      </c>
      <c r="B568" t="s">
        <v>977</v>
      </c>
      <c r="C568" t="s">
        <v>11</v>
      </c>
      <c r="D568">
        <v>85</v>
      </c>
      <c r="E568">
        <v>17.630526315789474</v>
      </c>
      <c r="F568">
        <v>78</v>
      </c>
      <c r="G568">
        <v>2</v>
      </c>
      <c r="H568" t="s">
        <v>15</v>
      </c>
      <c r="I568">
        <v>80</v>
      </c>
      <c r="J568" t="b">
        <v>1</v>
      </c>
    </row>
    <row r="569" spans="1:10" x14ac:dyDescent="0.3">
      <c r="A569">
        <v>568</v>
      </c>
      <c r="B569" t="s">
        <v>562</v>
      </c>
      <c r="C569" t="s">
        <v>14</v>
      </c>
      <c r="D569">
        <v>88</v>
      </c>
      <c r="E569">
        <v>30</v>
      </c>
      <c r="F569">
        <v>90</v>
      </c>
      <c r="G569">
        <v>2</v>
      </c>
      <c r="H569" t="s">
        <v>12</v>
      </c>
      <c r="I569">
        <v>78</v>
      </c>
      <c r="J569" t="b">
        <v>0</v>
      </c>
    </row>
    <row r="570" spans="1:10" x14ac:dyDescent="0.3">
      <c r="A570">
        <v>569</v>
      </c>
      <c r="B570" t="s">
        <v>563</v>
      </c>
      <c r="C570" t="s">
        <v>14</v>
      </c>
      <c r="D570">
        <v>88</v>
      </c>
      <c r="E570">
        <v>17</v>
      </c>
      <c r="F570">
        <v>77</v>
      </c>
      <c r="G570">
        <v>3</v>
      </c>
      <c r="H570" t="s">
        <v>12</v>
      </c>
      <c r="I570">
        <v>68</v>
      </c>
      <c r="J570" t="b">
        <v>0</v>
      </c>
    </row>
    <row r="571" spans="1:10" x14ac:dyDescent="0.3">
      <c r="A571">
        <v>570</v>
      </c>
      <c r="B571" t="s">
        <v>564</v>
      </c>
      <c r="C571" t="s">
        <v>14</v>
      </c>
      <c r="D571">
        <v>78</v>
      </c>
      <c r="E571">
        <v>17.630526315789474</v>
      </c>
      <c r="F571">
        <v>88</v>
      </c>
      <c r="G571">
        <v>1</v>
      </c>
      <c r="H571" t="s">
        <v>15</v>
      </c>
      <c r="I571">
        <v>80</v>
      </c>
      <c r="J571" t="b">
        <v>0</v>
      </c>
    </row>
    <row r="572" spans="1:10" x14ac:dyDescent="0.3">
      <c r="A572">
        <v>571</v>
      </c>
      <c r="B572" t="s">
        <v>565</v>
      </c>
      <c r="C572" t="s">
        <v>14</v>
      </c>
      <c r="D572">
        <v>78</v>
      </c>
      <c r="E572">
        <v>18</v>
      </c>
      <c r="F572">
        <v>88</v>
      </c>
      <c r="G572">
        <v>3</v>
      </c>
      <c r="H572" t="s">
        <v>17</v>
      </c>
      <c r="I572">
        <v>68</v>
      </c>
      <c r="J572" t="b">
        <v>1</v>
      </c>
    </row>
    <row r="573" spans="1:10" x14ac:dyDescent="0.3">
      <c r="A573">
        <v>572</v>
      </c>
      <c r="B573" t="s">
        <v>566</v>
      </c>
      <c r="C573" t="s">
        <v>11</v>
      </c>
      <c r="D573">
        <v>88</v>
      </c>
      <c r="E573">
        <v>12</v>
      </c>
      <c r="F573">
        <v>77</v>
      </c>
      <c r="G573">
        <v>0</v>
      </c>
      <c r="H573" t="s">
        <v>17</v>
      </c>
      <c r="I573">
        <v>62</v>
      </c>
      <c r="J573" t="b">
        <v>1</v>
      </c>
    </row>
    <row r="574" spans="1:10" x14ac:dyDescent="0.3">
      <c r="A574">
        <v>573</v>
      </c>
      <c r="B574" t="s">
        <v>567</v>
      </c>
      <c r="C574" t="s">
        <v>14</v>
      </c>
      <c r="D574">
        <v>90</v>
      </c>
      <c r="E574">
        <v>30</v>
      </c>
      <c r="F574">
        <v>90</v>
      </c>
      <c r="G574">
        <v>3</v>
      </c>
      <c r="H574" t="s">
        <v>15</v>
      </c>
      <c r="I574">
        <v>62</v>
      </c>
      <c r="J574" t="b">
        <v>1</v>
      </c>
    </row>
    <row r="575" spans="1:10" x14ac:dyDescent="0.3">
      <c r="A575">
        <v>574</v>
      </c>
      <c r="B575" t="s">
        <v>568</v>
      </c>
      <c r="C575" t="s">
        <v>11</v>
      </c>
      <c r="D575">
        <v>91</v>
      </c>
      <c r="E575">
        <v>17</v>
      </c>
      <c r="F575">
        <v>85</v>
      </c>
      <c r="G575">
        <v>3</v>
      </c>
      <c r="H575" t="s">
        <v>17</v>
      </c>
      <c r="I575">
        <v>78</v>
      </c>
      <c r="J575" t="b">
        <v>0</v>
      </c>
    </row>
    <row r="576" spans="1:10" x14ac:dyDescent="0.3">
      <c r="A576">
        <v>575</v>
      </c>
      <c r="B576" t="s">
        <v>569</v>
      </c>
      <c r="C576" t="s">
        <v>14</v>
      </c>
      <c r="D576">
        <v>70</v>
      </c>
      <c r="E576">
        <v>20</v>
      </c>
      <c r="F576">
        <v>86</v>
      </c>
      <c r="G576">
        <v>2</v>
      </c>
      <c r="H576" t="s">
        <v>17</v>
      </c>
      <c r="I576">
        <v>88</v>
      </c>
      <c r="J576" t="b">
        <v>0</v>
      </c>
    </row>
    <row r="577" spans="1:10" x14ac:dyDescent="0.3">
      <c r="A577">
        <v>576</v>
      </c>
      <c r="B577" t="s">
        <v>570</v>
      </c>
      <c r="C577" t="s">
        <v>11</v>
      </c>
      <c r="D577">
        <v>90</v>
      </c>
      <c r="E577">
        <v>25</v>
      </c>
      <c r="F577">
        <v>65</v>
      </c>
      <c r="G577">
        <v>3</v>
      </c>
      <c r="H577" t="s">
        <v>17</v>
      </c>
      <c r="I577">
        <v>80</v>
      </c>
      <c r="J577" t="b">
        <v>1</v>
      </c>
    </row>
    <row r="578" spans="1:10" x14ac:dyDescent="0.3">
      <c r="A578">
        <v>577</v>
      </c>
      <c r="B578" t="s">
        <v>571</v>
      </c>
      <c r="C578" t="s">
        <v>14</v>
      </c>
      <c r="D578">
        <v>70</v>
      </c>
      <c r="E578">
        <v>22</v>
      </c>
      <c r="F578">
        <v>86</v>
      </c>
      <c r="G578">
        <v>1</v>
      </c>
      <c r="H578" t="s">
        <v>12</v>
      </c>
      <c r="I578">
        <v>92</v>
      </c>
      <c r="J578" t="b">
        <v>0</v>
      </c>
    </row>
    <row r="579" spans="1:10" x14ac:dyDescent="0.3">
      <c r="A579">
        <v>578</v>
      </c>
      <c r="B579" t="s">
        <v>572</v>
      </c>
      <c r="C579" t="s">
        <v>14</v>
      </c>
      <c r="D579">
        <v>95</v>
      </c>
      <c r="E579">
        <v>20</v>
      </c>
      <c r="F579">
        <v>86</v>
      </c>
      <c r="G579">
        <v>1</v>
      </c>
      <c r="H579" t="s">
        <v>17</v>
      </c>
      <c r="I579">
        <v>72</v>
      </c>
      <c r="J579" t="b">
        <v>0</v>
      </c>
    </row>
    <row r="580" spans="1:10" x14ac:dyDescent="0.3">
      <c r="A580">
        <v>579</v>
      </c>
      <c r="B580" t="s">
        <v>573</v>
      </c>
      <c r="C580" t="s">
        <v>14</v>
      </c>
      <c r="D580">
        <v>82</v>
      </c>
      <c r="E580">
        <v>15</v>
      </c>
      <c r="F580">
        <v>78</v>
      </c>
      <c r="G580">
        <v>2</v>
      </c>
      <c r="H580" t="s">
        <v>15</v>
      </c>
      <c r="I580">
        <v>87</v>
      </c>
      <c r="J580" t="b">
        <v>1</v>
      </c>
    </row>
    <row r="581" spans="1:10" x14ac:dyDescent="0.3">
      <c r="A581">
        <v>580</v>
      </c>
      <c r="B581" t="s">
        <v>574</v>
      </c>
      <c r="C581" t="s">
        <v>14</v>
      </c>
      <c r="D581">
        <v>95</v>
      </c>
      <c r="E581">
        <v>8</v>
      </c>
      <c r="F581">
        <v>60</v>
      </c>
      <c r="G581">
        <v>0</v>
      </c>
      <c r="H581" t="s">
        <v>15</v>
      </c>
      <c r="I581">
        <v>72</v>
      </c>
      <c r="J581" t="b">
        <v>0</v>
      </c>
    </row>
    <row r="582" spans="1:10" x14ac:dyDescent="0.3">
      <c r="A582">
        <v>581</v>
      </c>
      <c r="B582" t="s">
        <v>575</v>
      </c>
      <c r="C582" t="s">
        <v>11</v>
      </c>
      <c r="D582">
        <v>82</v>
      </c>
      <c r="E582">
        <v>8</v>
      </c>
      <c r="F582">
        <v>88</v>
      </c>
      <c r="G582">
        <v>0</v>
      </c>
      <c r="H582" t="s">
        <v>12</v>
      </c>
      <c r="I582">
        <v>85</v>
      </c>
      <c r="J582" t="b">
        <v>1</v>
      </c>
    </row>
    <row r="583" spans="1:10" x14ac:dyDescent="0.3">
      <c r="A583">
        <v>582</v>
      </c>
      <c r="B583" t="s">
        <v>576</v>
      </c>
      <c r="C583" t="s">
        <v>11</v>
      </c>
      <c r="D583">
        <v>90</v>
      </c>
      <c r="E583">
        <v>15</v>
      </c>
      <c r="F583">
        <v>65</v>
      </c>
      <c r="G583">
        <v>1</v>
      </c>
      <c r="H583" t="s">
        <v>17</v>
      </c>
      <c r="I583">
        <v>62</v>
      </c>
      <c r="J583" t="b">
        <v>1</v>
      </c>
    </row>
    <row r="584" spans="1:10" x14ac:dyDescent="0.3">
      <c r="A584">
        <v>583</v>
      </c>
      <c r="B584" t="s">
        <v>577</v>
      </c>
      <c r="C584" t="s">
        <v>14</v>
      </c>
      <c r="D584">
        <v>85</v>
      </c>
      <c r="E584">
        <v>22</v>
      </c>
      <c r="F584">
        <v>60</v>
      </c>
      <c r="G584">
        <v>3</v>
      </c>
      <c r="H584" t="s">
        <v>12</v>
      </c>
      <c r="I584">
        <v>78</v>
      </c>
      <c r="J584" t="b">
        <v>0</v>
      </c>
    </row>
    <row r="585" spans="1:10" x14ac:dyDescent="0.3">
      <c r="A585">
        <v>584</v>
      </c>
      <c r="B585" t="s">
        <v>578</v>
      </c>
      <c r="C585" t="s">
        <v>14</v>
      </c>
      <c r="D585">
        <v>92</v>
      </c>
      <c r="E585">
        <v>10</v>
      </c>
      <c r="F585">
        <v>60</v>
      </c>
      <c r="G585">
        <v>3</v>
      </c>
      <c r="H585" t="s">
        <v>12</v>
      </c>
      <c r="I585">
        <v>88</v>
      </c>
      <c r="J585" t="b">
        <v>1</v>
      </c>
    </row>
    <row r="586" spans="1:10" x14ac:dyDescent="0.3">
      <c r="A586">
        <v>585</v>
      </c>
      <c r="B586" t="s">
        <v>579</v>
      </c>
      <c r="C586" t="s">
        <v>14</v>
      </c>
      <c r="D586">
        <v>70</v>
      </c>
      <c r="E586">
        <v>12</v>
      </c>
      <c r="F586">
        <v>86</v>
      </c>
      <c r="G586">
        <v>1</v>
      </c>
      <c r="H586" t="s">
        <v>12</v>
      </c>
      <c r="I586">
        <v>80</v>
      </c>
      <c r="J586" t="b">
        <v>0</v>
      </c>
    </row>
    <row r="587" spans="1:10" x14ac:dyDescent="0.3">
      <c r="A587">
        <v>586</v>
      </c>
      <c r="B587" t="s">
        <v>580</v>
      </c>
      <c r="C587" t="s">
        <v>14</v>
      </c>
      <c r="D587">
        <v>90</v>
      </c>
      <c r="E587">
        <v>17.630526315789474</v>
      </c>
      <c r="F587">
        <v>77.598759048603924</v>
      </c>
      <c r="G587">
        <v>2</v>
      </c>
      <c r="H587" t="s">
        <v>15</v>
      </c>
      <c r="I587">
        <v>72</v>
      </c>
      <c r="J587" t="b">
        <v>1</v>
      </c>
    </row>
    <row r="588" spans="1:10" x14ac:dyDescent="0.3">
      <c r="A588">
        <v>587</v>
      </c>
      <c r="B588" t="s">
        <v>581</v>
      </c>
      <c r="C588" t="s">
        <v>14</v>
      </c>
      <c r="D588">
        <v>90</v>
      </c>
      <c r="E588">
        <v>12</v>
      </c>
      <c r="F588">
        <v>86</v>
      </c>
      <c r="G588">
        <v>2</v>
      </c>
      <c r="H588" t="s">
        <v>17</v>
      </c>
      <c r="I588">
        <v>80</v>
      </c>
      <c r="J588" t="b">
        <v>1</v>
      </c>
    </row>
    <row r="589" spans="1:10" x14ac:dyDescent="0.3">
      <c r="A589">
        <v>588</v>
      </c>
      <c r="B589" t="s">
        <v>582</v>
      </c>
      <c r="C589" t="s">
        <v>14</v>
      </c>
      <c r="D589">
        <v>82</v>
      </c>
      <c r="E589">
        <v>17</v>
      </c>
      <c r="F589">
        <v>86</v>
      </c>
      <c r="G589">
        <v>1</v>
      </c>
      <c r="H589" t="s">
        <v>15</v>
      </c>
      <c r="I589">
        <v>90</v>
      </c>
      <c r="J589" t="b">
        <v>0</v>
      </c>
    </row>
    <row r="590" spans="1:10" x14ac:dyDescent="0.3">
      <c r="A590">
        <v>589</v>
      </c>
      <c r="B590" t="s">
        <v>583</v>
      </c>
      <c r="C590" t="s">
        <v>11</v>
      </c>
      <c r="D590">
        <v>91</v>
      </c>
      <c r="E590">
        <v>18</v>
      </c>
      <c r="F590">
        <v>86</v>
      </c>
      <c r="G590">
        <v>2</v>
      </c>
      <c r="H590" t="s">
        <v>12</v>
      </c>
      <c r="I590">
        <v>78</v>
      </c>
      <c r="J590" t="b">
        <v>1</v>
      </c>
    </row>
    <row r="591" spans="1:10" x14ac:dyDescent="0.3">
      <c r="A591">
        <v>590</v>
      </c>
      <c r="B591" t="s">
        <v>584</v>
      </c>
      <c r="C591" t="s">
        <v>11</v>
      </c>
      <c r="D591">
        <v>88</v>
      </c>
      <c r="E591">
        <v>17</v>
      </c>
      <c r="F591">
        <v>85</v>
      </c>
      <c r="G591">
        <v>0</v>
      </c>
      <c r="H591" t="s">
        <v>17</v>
      </c>
      <c r="I591">
        <v>87</v>
      </c>
      <c r="J591" t="b">
        <v>0</v>
      </c>
    </row>
    <row r="592" spans="1:10" x14ac:dyDescent="0.3">
      <c r="A592">
        <v>591</v>
      </c>
      <c r="B592" t="s">
        <v>585</v>
      </c>
      <c r="C592" t="s">
        <v>14</v>
      </c>
      <c r="D592">
        <v>88</v>
      </c>
      <c r="E592">
        <v>17.630526315789474</v>
      </c>
      <c r="F592">
        <v>78</v>
      </c>
      <c r="G592">
        <v>2</v>
      </c>
      <c r="H592" t="s">
        <v>17</v>
      </c>
      <c r="I592">
        <v>68</v>
      </c>
      <c r="J592" t="b">
        <v>1</v>
      </c>
    </row>
    <row r="593" spans="1:10" x14ac:dyDescent="0.3">
      <c r="A593">
        <v>592</v>
      </c>
      <c r="B593" t="s">
        <v>586</v>
      </c>
      <c r="C593" t="s">
        <v>14</v>
      </c>
      <c r="D593">
        <v>78</v>
      </c>
      <c r="E593">
        <v>17.630526315789474</v>
      </c>
      <c r="F593">
        <v>90</v>
      </c>
      <c r="G593">
        <v>1</v>
      </c>
      <c r="H593" t="s">
        <v>12</v>
      </c>
      <c r="I593">
        <v>72</v>
      </c>
      <c r="J593" t="b">
        <v>1</v>
      </c>
    </row>
    <row r="594" spans="1:10" x14ac:dyDescent="0.3">
      <c r="A594">
        <v>593</v>
      </c>
      <c r="B594" t="s">
        <v>587</v>
      </c>
      <c r="C594" t="s">
        <v>11</v>
      </c>
      <c r="D594">
        <v>85</v>
      </c>
      <c r="E594">
        <v>8</v>
      </c>
      <c r="F594">
        <v>60</v>
      </c>
      <c r="G594">
        <v>3</v>
      </c>
      <c r="H594" t="s">
        <v>17</v>
      </c>
      <c r="I594">
        <v>78</v>
      </c>
      <c r="J594" t="b">
        <v>1</v>
      </c>
    </row>
    <row r="595" spans="1:10" x14ac:dyDescent="0.3">
      <c r="A595">
        <v>594</v>
      </c>
      <c r="B595" t="s">
        <v>588</v>
      </c>
      <c r="C595" t="s">
        <v>11</v>
      </c>
      <c r="D595">
        <v>88</v>
      </c>
      <c r="E595">
        <v>20</v>
      </c>
      <c r="F595">
        <v>78</v>
      </c>
      <c r="G595">
        <v>1</v>
      </c>
      <c r="H595" t="s">
        <v>15</v>
      </c>
      <c r="I595">
        <v>62</v>
      </c>
      <c r="J595" t="b">
        <v>1</v>
      </c>
    </row>
    <row r="596" spans="1:10" x14ac:dyDescent="0.3">
      <c r="A596">
        <v>595</v>
      </c>
      <c r="B596" t="s">
        <v>589</v>
      </c>
      <c r="C596" t="s">
        <v>14</v>
      </c>
      <c r="D596">
        <v>85</v>
      </c>
      <c r="E596">
        <v>18</v>
      </c>
      <c r="F596">
        <v>65</v>
      </c>
      <c r="G596">
        <v>2</v>
      </c>
      <c r="H596" t="s">
        <v>15</v>
      </c>
      <c r="I596">
        <v>80</v>
      </c>
      <c r="J596" t="b">
        <v>0</v>
      </c>
    </row>
    <row r="597" spans="1:10" x14ac:dyDescent="0.3">
      <c r="A597">
        <v>596</v>
      </c>
      <c r="B597" t="s">
        <v>590</v>
      </c>
      <c r="C597" t="s">
        <v>977</v>
      </c>
      <c r="D597">
        <v>90</v>
      </c>
      <c r="E597">
        <v>12</v>
      </c>
      <c r="F597">
        <v>88</v>
      </c>
      <c r="G597">
        <v>0</v>
      </c>
      <c r="H597" t="s">
        <v>17</v>
      </c>
      <c r="I597">
        <v>85</v>
      </c>
      <c r="J597" t="b">
        <v>1</v>
      </c>
    </row>
    <row r="598" spans="1:10" x14ac:dyDescent="0.3">
      <c r="A598">
        <v>597</v>
      </c>
      <c r="B598" t="s">
        <v>591</v>
      </c>
      <c r="C598" t="s">
        <v>14</v>
      </c>
      <c r="D598">
        <v>85</v>
      </c>
      <c r="E598">
        <v>25</v>
      </c>
      <c r="F598">
        <v>86</v>
      </c>
      <c r="G598">
        <v>3</v>
      </c>
      <c r="H598" t="s">
        <v>17</v>
      </c>
      <c r="I598">
        <v>90</v>
      </c>
      <c r="J598" t="b">
        <v>0</v>
      </c>
    </row>
    <row r="599" spans="1:10" x14ac:dyDescent="0.3">
      <c r="A599">
        <v>598</v>
      </c>
      <c r="B599" t="s">
        <v>592</v>
      </c>
      <c r="C599" t="s">
        <v>11</v>
      </c>
      <c r="D599">
        <v>85</v>
      </c>
      <c r="E599">
        <v>20</v>
      </c>
      <c r="F599">
        <v>78</v>
      </c>
      <c r="G599">
        <v>0</v>
      </c>
      <c r="H599" t="s">
        <v>12</v>
      </c>
      <c r="I599">
        <v>72</v>
      </c>
      <c r="J599" t="b">
        <v>0</v>
      </c>
    </row>
    <row r="600" spans="1:10" x14ac:dyDescent="0.3">
      <c r="A600">
        <v>599</v>
      </c>
      <c r="B600" t="s">
        <v>593</v>
      </c>
      <c r="C600" t="s">
        <v>14</v>
      </c>
      <c r="D600">
        <v>88</v>
      </c>
      <c r="E600">
        <v>25</v>
      </c>
      <c r="F600">
        <v>78</v>
      </c>
      <c r="G600">
        <v>1</v>
      </c>
      <c r="H600" t="s">
        <v>17</v>
      </c>
      <c r="I600">
        <v>87</v>
      </c>
      <c r="J600" t="b">
        <v>1</v>
      </c>
    </row>
    <row r="601" spans="1:10" x14ac:dyDescent="0.3">
      <c r="A601">
        <v>600</v>
      </c>
      <c r="B601" t="s">
        <v>594</v>
      </c>
      <c r="C601" t="s">
        <v>11</v>
      </c>
      <c r="D601">
        <v>90</v>
      </c>
      <c r="E601">
        <v>22</v>
      </c>
      <c r="F601">
        <v>65</v>
      </c>
      <c r="G601">
        <v>0</v>
      </c>
      <c r="H601" t="s">
        <v>17</v>
      </c>
      <c r="I601">
        <v>88</v>
      </c>
      <c r="J601" t="b">
        <v>1</v>
      </c>
    </row>
    <row r="602" spans="1:10" x14ac:dyDescent="0.3">
      <c r="A602">
        <v>601</v>
      </c>
      <c r="B602" t="s">
        <v>595</v>
      </c>
      <c r="C602" t="s">
        <v>14</v>
      </c>
      <c r="D602">
        <v>88</v>
      </c>
      <c r="E602">
        <v>17</v>
      </c>
      <c r="F602">
        <v>85</v>
      </c>
      <c r="G602">
        <v>1</v>
      </c>
      <c r="H602" t="s">
        <v>15</v>
      </c>
      <c r="I602">
        <v>62</v>
      </c>
      <c r="J602" t="b">
        <v>1</v>
      </c>
    </row>
    <row r="603" spans="1:10" x14ac:dyDescent="0.3">
      <c r="A603">
        <v>602</v>
      </c>
      <c r="B603" t="s">
        <v>596</v>
      </c>
      <c r="C603" t="s">
        <v>11</v>
      </c>
      <c r="D603">
        <v>90</v>
      </c>
      <c r="E603">
        <v>18</v>
      </c>
      <c r="F603">
        <v>78</v>
      </c>
      <c r="G603">
        <v>0</v>
      </c>
      <c r="H603" t="s">
        <v>15</v>
      </c>
      <c r="I603">
        <v>90</v>
      </c>
      <c r="J603" t="b">
        <v>0</v>
      </c>
    </row>
    <row r="604" spans="1:10" x14ac:dyDescent="0.3">
      <c r="A604">
        <v>603</v>
      </c>
      <c r="B604" t="s">
        <v>597</v>
      </c>
      <c r="C604" t="s">
        <v>14</v>
      </c>
      <c r="D604">
        <v>90</v>
      </c>
      <c r="E604">
        <v>17</v>
      </c>
      <c r="F604">
        <v>90</v>
      </c>
      <c r="G604">
        <v>3</v>
      </c>
      <c r="H604" t="s">
        <v>15</v>
      </c>
      <c r="I604">
        <v>68</v>
      </c>
      <c r="J604" t="b">
        <v>1</v>
      </c>
    </row>
    <row r="605" spans="1:10" x14ac:dyDescent="0.3">
      <c r="A605">
        <v>604</v>
      </c>
      <c r="B605" t="s">
        <v>598</v>
      </c>
      <c r="C605" t="s">
        <v>14</v>
      </c>
      <c r="D605">
        <v>92</v>
      </c>
      <c r="E605">
        <v>22</v>
      </c>
      <c r="F605">
        <v>85</v>
      </c>
      <c r="G605">
        <v>1</v>
      </c>
      <c r="H605" t="s">
        <v>17</v>
      </c>
      <c r="I605">
        <v>85</v>
      </c>
      <c r="J605" t="b">
        <v>1</v>
      </c>
    </row>
    <row r="606" spans="1:10" x14ac:dyDescent="0.3">
      <c r="A606">
        <v>605</v>
      </c>
      <c r="B606" t="s">
        <v>599</v>
      </c>
      <c r="C606" t="s">
        <v>14</v>
      </c>
      <c r="D606">
        <v>85</v>
      </c>
      <c r="E606">
        <v>17</v>
      </c>
      <c r="F606">
        <v>65</v>
      </c>
      <c r="G606">
        <v>1</v>
      </c>
      <c r="H606" t="s">
        <v>12</v>
      </c>
      <c r="I606">
        <v>62</v>
      </c>
      <c r="J606" t="b">
        <v>0</v>
      </c>
    </row>
    <row r="607" spans="1:10" x14ac:dyDescent="0.3">
      <c r="A607">
        <v>606</v>
      </c>
      <c r="B607" t="s">
        <v>600</v>
      </c>
      <c r="C607" t="s">
        <v>11</v>
      </c>
      <c r="D607">
        <v>82</v>
      </c>
      <c r="E607">
        <v>17</v>
      </c>
      <c r="F607">
        <v>77</v>
      </c>
      <c r="G607">
        <v>0</v>
      </c>
      <c r="H607" t="s">
        <v>15</v>
      </c>
      <c r="I607">
        <v>87</v>
      </c>
      <c r="J607" t="b">
        <v>0</v>
      </c>
    </row>
    <row r="608" spans="1:10" x14ac:dyDescent="0.3">
      <c r="A608">
        <v>607</v>
      </c>
      <c r="B608" t="s">
        <v>601</v>
      </c>
      <c r="C608" t="s">
        <v>11</v>
      </c>
      <c r="D608">
        <v>91</v>
      </c>
      <c r="E608">
        <v>12</v>
      </c>
      <c r="F608">
        <v>88</v>
      </c>
      <c r="G608">
        <v>1</v>
      </c>
      <c r="H608" t="s">
        <v>17</v>
      </c>
      <c r="I608">
        <v>85</v>
      </c>
      <c r="J608" t="b">
        <v>1</v>
      </c>
    </row>
    <row r="609" spans="1:10" x14ac:dyDescent="0.3">
      <c r="A609">
        <v>608</v>
      </c>
      <c r="B609" t="s">
        <v>602</v>
      </c>
      <c r="C609" t="s">
        <v>14</v>
      </c>
      <c r="D609">
        <v>90</v>
      </c>
      <c r="E609">
        <v>17</v>
      </c>
      <c r="F609">
        <v>77.598759048603924</v>
      </c>
      <c r="G609">
        <v>3</v>
      </c>
      <c r="H609" t="s">
        <v>12</v>
      </c>
      <c r="I609">
        <v>72</v>
      </c>
      <c r="J609" t="b">
        <v>1</v>
      </c>
    </row>
    <row r="610" spans="1:10" x14ac:dyDescent="0.3">
      <c r="A610">
        <v>609</v>
      </c>
      <c r="B610" t="s">
        <v>603</v>
      </c>
      <c r="C610" t="s">
        <v>14</v>
      </c>
      <c r="D610">
        <v>90</v>
      </c>
      <c r="E610">
        <v>30</v>
      </c>
      <c r="F610">
        <v>77</v>
      </c>
      <c r="G610">
        <v>2</v>
      </c>
      <c r="H610" t="s">
        <v>17</v>
      </c>
      <c r="I610">
        <v>78</v>
      </c>
      <c r="J610" t="b">
        <v>1</v>
      </c>
    </row>
    <row r="611" spans="1:10" x14ac:dyDescent="0.3">
      <c r="A611">
        <v>610</v>
      </c>
      <c r="B611" t="s">
        <v>977</v>
      </c>
      <c r="C611" t="s">
        <v>11</v>
      </c>
      <c r="D611">
        <v>91</v>
      </c>
      <c r="E611">
        <v>25</v>
      </c>
      <c r="F611">
        <v>77</v>
      </c>
      <c r="G611">
        <v>0</v>
      </c>
      <c r="H611" t="s">
        <v>12</v>
      </c>
      <c r="I611">
        <v>72</v>
      </c>
      <c r="J611" t="b">
        <v>0</v>
      </c>
    </row>
    <row r="612" spans="1:10" x14ac:dyDescent="0.3">
      <c r="A612">
        <v>611</v>
      </c>
      <c r="B612" t="s">
        <v>604</v>
      </c>
      <c r="C612" t="s">
        <v>11</v>
      </c>
      <c r="D612">
        <v>95</v>
      </c>
      <c r="E612">
        <v>15</v>
      </c>
      <c r="F612">
        <v>88</v>
      </c>
      <c r="G612">
        <v>1</v>
      </c>
      <c r="H612" t="s">
        <v>15</v>
      </c>
      <c r="I612">
        <v>87</v>
      </c>
      <c r="J612" t="b">
        <v>0</v>
      </c>
    </row>
    <row r="613" spans="1:10" x14ac:dyDescent="0.3">
      <c r="A613">
        <v>612</v>
      </c>
      <c r="B613" t="s">
        <v>605</v>
      </c>
      <c r="C613" t="s">
        <v>11</v>
      </c>
      <c r="D613">
        <v>91</v>
      </c>
      <c r="E613">
        <v>25</v>
      </c>
      <c r="F613">
        <v>85</v>
      </c>
      <c r="G613">
        <v>1</v>
      </c>
      <c r="H613" t="s">
        <v>17</v>
      </c>
      <c r="I613">
        <v>68</v>
      </c>
      <c r="J613" t="b">
        <v>0</v>
      </c>
    </row>
    <row r="614" spans="1:10" x14ac:dyDescent="0.3">
      <c r="A614">
        <v>613</v>
      </c>
      <c r="B614" t="s">
        <v>606</v>
      </c>
      <c r="C614" t="s">
        <v>11</v>
      </c>
      <c r="D614">
        <v>78</v>
      </c>
      <c r="E614">
        <v>15</v>
      </c>
      <c r="F614">
        <v>65</v>
      </c>
      <c r="G614">
        <v>1</v>
      </c>
      <c r="H614" t="s">
        <v>15</v>
      </c>
      <c r="I614">
        <v>87</v>
      </c>
      <c r="J614" t="b">
        <v>1</v>
      </c>
    </row>
    <row r="615" spans="1:10" x14ac:dyDescent="0.3">
      <c r="A615">
        <v>614</v>
      </c>
      <c r="B615" t="s">
        <v>607</v>
      </c>
      <c r="C615" t="s">
        <v>11</v>
      </c>
      <c r="D615">
        <v>85</v>
      </c>
      <c r="E615">
        <v>22</v>
      </c>
      <c r="F615">
        <v>86</v>
      </c>
      <c r="G615">
        <v>3</v>
      </c>
      <c r="H615" t="s">
        <v>12</v>
      </c>
      <c r="I615">
        <v>92</v>
      </c>
      <c r="J615" t="b">
        <v>0</v>
      </c>
    </row>
    <row r="616" spans="1:10" x14ac:dyDescent="0.3">
      <c r="A616">
        <v>615</v>
      </c>
      <c r="B616" t="s">
        <v>608</v>
      </c>
      <c r="C616" t="s">
        <v>11</v>
      </c>
      <c r="D616">
        <v>85.510416666666671</v>
      </c>
      <c r="E616">
        <v>12</v>
      </c>
      <c r="F616">
        <v>65</v>
      </c>
      <c r="G616">
        <v>1</v>
      </c>
      <c r="H616" t="s">
        <v>12</v>
      </c>
      <c r="I616">
        <v>80.030208333333334</v>
      </c>
      <c r="J616" t="b">
        <v>1</v>
      </c>
    </row>
    <row r="617" spans="1:10" x14ac:dyDescent="0.3">
      <c r="A617">
        <v>616</v>
      </c>
      <c r="B617" t="s">
        <v>609</v>
      </c>
      <c r="C617" t="s">
        <v>14</v>
      </c>
      <c r="D617">
        <v>78</v>
      </c>
      <c r="E617">
        <v>8</v>
      </c>
      <c r="F617">
        <v>65</v>
      </c>
      <c r="G617">
        <v>1</v>
      </c>
      <c r="H617" t="s">
        <v>17</v>
      </c>
      <c r="I617">
        <v>68</v>
      </c>
      <c r="J617" t="b">
        <v>1</v>
      </c>
    </row>
    <row r="618" spans="1:10" x14ac:dyDescent="0.3">
      <c r="A618">
        <v>617</v>
      </c>
      <c r="B618" t="s">
        <v>610</v>
      </c>
      <c r="C618" t="s">
        <v>11</v>
      </c>
      <c r="D618">
        <v>91</v>
      </c>
      <c r="E618">
        <v>8</v>
      </c>
      <c r="F618">
        <v>65</v>
      </c>
      <c r="G618">
        <v>1</v>
      </c>
      <c r="H618" t="s">
        <v>15</v>
      </c>
      <c r="I618">
        <v>87</v>
      </c>
      <c r="J618" t="b">
        <v>1</v>
      </c>
    </row>
    <row r="619" spans="1:10" x14ac:dyDescent="0.3">
      <c r="A619">
        <v>618</v>
      </c>
      <c r="B619" t="s">
        <v>611</v>
      </c>
      <c r="C619" t="s">
        <v>14</v>
      </c>
      <c r="D619">
        <v>85</v>
      </c>
      <c r="E619">
        <v>10</v>
      </c>
      <c r="F619">
        <v>90</v>
      </c>
      <c r="G619">
        <v>0</v>
      </c>
      <c r="H619" t="s">
        <v>17</v>
      </c>
      <c r="I619">
        <v>85</v>
      </c>
      <c r="J619" t="b">
        <v>1</v>
      </c>
    </row>
    <row r="620" spans="1:10" x14ac:dyDescent="0.3">
      <c r="A620">
        <v>619</v>
      </c>
      <c r="B620" t="s">
        <v>612</v>
      </c>
      <c r="C620" t="s">
        <v>11</v>
      </c>
      <c r="D620">
        <v>91</v>
      </c>
      <c r="E620">
        <v>10</v>
      </c>
      <c r="F620">
        <v>77</v>
      </c>
      <c r="G620">
        <v>3</v>
      </c>
      <c r="H620" t="s">
        <v>12</v>
      </c>
      <c r="I620">
        <v>85</v>
      </c>
      <c r="J620" t="b">
        <v>1</v>
      </c>
    </row>
    <row r="621" spans="1:10" x14ac:dyDescent="0.3">
      <c r="A621">
        <v>620</v>
      </c>
      <c r="B621" t="s">
        <v>613</v>
      </c>
      <c r="C621" t="s">
        <v>11</v>
      </c>
      <c r="D621">
        <v>82</v>
      </c>
      <c r="E621">
        <v>20</v>
      </c>
      <c r="F621">
        <v>86</v>
      </c>
      <c r="G621">
        <v>1</v>
      </c>
      <c r="H621" t="s">
        <v>17</v>
      </c>
      <c r="I621">
        <v>72</v>
      </c>
      <c r="J621" t="b">
        <v>1</v>
      </c>
    </row>
    <row r="622" spans="1:10" x14ac:dyDescent="0.3">
      <c r="A622">
        <v>621</v>
      </c>
      <c r="B622" t="s">
        <v>614</v>
      </c>
      <c r="C622" t="s">
        <v>11</v>
      </c>
      <c r="D622">
        <v>92</v>
      </c>
      <c r="E622">
        <v>20</v>
      </c>
      <c r="F622">
        <v>65</v>
      </c>
      <c r="G622">
        <v>1</v>
      </c>
      <c r="H622" t="s">
        <v>15</v>
      </c>
      <c r="I622">
        <v>80.030208333333334</v>
      </c>
      <c r="J622" t="b">
        <v>1</v>
      </c>
    </row>
    <row r="623" spans="1:10" x14ac:dyDescent="0.3">
      <c r="A623">
        <v>622</v>
      </c>
      <c r="B623" t="s">
        <v>615</v>
      </c>
      <c r="C623" t="s">
        <v>14</v>
      </c>
      <c r="D623">
        <v>92</v>
      </c>
      <c r="E623">
        <v>8</v>
      </c>
      <c r="F623">
        <v>82</v>
      </c>
      <c r="G623">
        <v>1</v>
      </c>
      <c r="H623" t="s">
        <v>17</v>
      </c>
      <c r="I623">
        <v>80.030208333333334</v>
      </c>
      <c r="J623" t="b">
        <v>1</v>
      </c>
    </row>
    <row r="624" spans="1:10" x14ac:dyDescent="0.3">
      <c r="A624">
        <v>623</v>
      </c>
      <c r="B624" t="s">
        <v>616</v>
      </c>
      <c r="C624" t="s">
        <v>11</v>
      </c>
      <c r="D624">
        <v>78</v>
      </c>
      <c r="E624">
        <v>15</v>
      </c>
      <c r="F624">
        <v>77</v>
      </c>
      <c r="G624">
        <v>2</v>
      </c>
      <c r="H624" t="s">
        <v>12</v>
      </c>
      <c r="I624">
        <v>87</v>
      </c>
      <c r="J624" t="b">
        <v>0</v>
      </c>
    </row>
    <row r="625" spans="1:10" x14ac:dyDescent="0.3">
      <c r="A625">
        <v>624</v>
      </c>
      <c r="B625" t="s">
        <v>617</v>
      </c>
      <c r="C625" t="s">
        <v>14</v>
      </c>
      <c r="D625">
        <v>92</v>
      </c>
      <c r="E625">
        <v>30</v>
      </c>
      <c r="F625">
        <v>90</v>
      </c>
      <c r="G625">
        <v>2</v>
      </c>
      <c r="H625" t="s">
        <v>15</v>
      </c>
      <c r="I625">
        <v>92</v>
      </c>
      <c r="J625" t="b">
        <v>0</v>
      </c>
    </row>
    <row r="626" spans="1:10" x14ac:dyDescent="0.3">
      <c r="A626">
        <v>625</v>
      </c>
      <c r="B626" t="s">
        <v>618</v>
      </c>
      <c r="C626" t="s">
        <v>14</v>
      </c>
      <c r="D626">
        <v>92</v>
      </c>
      <c r="E626">
        <v>20</v>
      </c>
      <c r="F626">
        <v>77</v>
      </c>
      <c r="G626">
        <v>3</v>
      </c>
      <c r="H626" t="s">
        <v>15</v>
      </c>
      <c r="I626">
        <v>80</v>
      </c>
      <c r="J626" t="b">
        <v>1</v>
      </c>
    </row>
    <row r="627" spans="1:10" x14ac:dyDescent="0.3">
      <c r="A627">
        <v>626</v>
      </c>
      <c r="B627" t="s">
        <v>619</v>
      </c>
      <c r="C627" t="s">
        <v>11</v>
      </c>
      <c r="D627">
        <v>70</v>
      </c>
      <c r="E627">
        <v>30</v>
      </c>
      <c r="F627">
        <v>65</v>
      </c>
      <c r="G627">
        <v>1</v>
      </c>
      <c r="H627" t="s">
        <v>17</v>
      </c>
      <c r="I627">
        <v>92</v>
      </c>
      <c r="J627" t="b">
        <v>1</v>
      </c>
    </row>
    <row r="628" spans="1:10" x14ac:dyDescent="0.3">
      <c r="A628">
        <v>627</v>
      </c>
      <c r="B628" t="s">
        <v>620</v>
      </c>
      <c r="C628" t="s">
        <v>11</v>
      </c>
      <c r="D628">
        <v>85</v>
      </c>
      <c r="E628">
        <v>22</v>
      </c>
      <c r="F628">
        <v>78</v>
      </c>
      <c r="G628">
        <v>2</v>
      </c>
      <c r="H628" t="s">
        <v>12</v>
      </c>
      <c r="I628">
        <v>87</v>
      </c>
      <c r="J628" t="b">
        <v>0</v>
      </c>
    </row>
    <row r="629" spans="1:10" x14ac:dyDescent="0.3">
      <c r="A629">
        <v>628</v>
      </c>
      <c r="B629" t="s">
        <v>621</v>
      </c>
      <c r="C629" t="s">
        <v>14</v>
      </c>
      <c r="D629">
        <v>92</v>
      </c>
      <c r="E629">
        <v>18</v>
      </c>
      <c r="F629">
        <v>86</v>
      </c>
      <c r="G629">
        <v>0</v>
      </c>
      <c r="H629" t="s">
        <v>17</v>
      </c>
      <c r="I629">
        <v>88</v>
      </c>
      <c r="J629" t="b">
        <v>1</v>
      </c>
    </row>
    <row r="630" spans="1:10" x14ac:dyDescent="0.3">
      <c r="A630">
        <v>629</v>
      </c>
      <c r="B630" t="s">
        <v>622</v>
      </c>
      <c r="C630" t="s">
        <v>14</v>
      </c>
      <c r="D630">
        <v>82</v>
      </c>
      <c r="E630">
        <v>17</v>
      </c>
      <c r="F630">
        <v>90</v>
      </c>
      <c r="G630">
        <v>3</v>
      </c>
      <c r="H630" t="s">
        <v>15</v>
      </c>
      <c r="I630">
        <v>80.030208333333334</v>
      </c>
      <c r="J630" t="b">
        <v>0</v>
      </c>
    </row>
    <row r="631" spans="1:10" x14ac:dyDescent="0.3">
      <c r="A631">
        <v>630</v>
      </c>
      <c r="B631" t="s">
        <v>623</v>
      </c>
      <c r="C631" t="s">
        <v>11</v>
      </c>
      <c r="D631">
        <v>95</v>
      </c>
      <c r="E631">
        <v>8</v>
      </c>
      <c r="F631">
        <v>86</v>
      </c>
      <c r="G631">
        <v>3</v>
      </c>
      <c r="H631" t="s">
        <v>17</v>
      </c>
      <c r="I631">
        <v>68</v>
      </c>
      <c r="J631" t="b">
        <v>0</v>
      </c>
    </row>
    <row r="632" spans="1:10" x14ac:dyDescent="0.3">
      <c r="A632">
        <v>631</v>
      </c>
      <c r="B632" t="s">
        <v>624</v>
      </c>
      <c r="C632" t="s">
        <v>11</v>
      </c>
      <c r="D632">
        <v>85</v>
      </c>
      <c r="E632">
        <v>12</v>
      </c>
      <c r="F632">
        <v>78</v>
      </c>
      <c r="G632">
        <v>0</v>
      </c>
      <c r="H632" t="s">
        <v>17</v>
      </c>
      <c r="I632">
        <v>62</v>
      </c>
      <c r="J632" t="b">
        <v>1</v>
      </c>
    </row>
    <row r="633" spans="1:10" x14ac:dyDescent="0.3">
      <c r="A633">
        <v>632</v>
      </c>
      <c r="B633" t="s">
        <v>625</v>
      </c>
      <c r="C633" t="s">
        <v>977</v>
      </c>
      <c r="D633">
        <v>92</v>
      </c>
      <c r="E633">
        <v>17.630526315789474</v>
      </c>
      <c r="F633">
        <v>70</v>
      </c>
      <c r="G633">
        <v>1</v>
      </c>
      <c r="H633" t="s">
        <v>17</v>
      </c>
      <c r="I633">
        <v>62</v>
      </c>
      <c r="J633" t="b">
        <v>0</v>
      </c>
    </row>
    <row r="634" spans="1:10" x14ac:dyDescent="0.3">
      <c r="A634">
        <v>633</v>
      </c>
      <c r="B634" t="s">
        <v>626</v>
      </c>
      <c r="C634" t="s">
        <v>11</v>
      </c>
      <c r="D634">
        <v>90</v>
      </c>
      <c r="E634">
        <v>15</v>
      </c>
      <c r="F634">
        <v>77.598759048603924</v>
      </c>
      <c r="G634">
        <v>2</v>
      </c>
      <c r="H634" t="s">
        <v>12</v>
      </c>
      <c r="I634">
        <v>78</v>
      </c>
      <c r="J634" t="b">
        <v>1</v>
      </c>
    </row>
    <row r="635" spans="1:10" x14ac:dyDescent="0.3">
      <c r="A635">
        <v>634</v>
      </c>
      <c r="B635" t="s">
        <v>627</v>
      </c>
      <c r="C635" t="s">
        <v>14</v>
      </c>
      <c r="D635">
        <v>78</v>
      </c>
      <c r="E635">
        <v>8</v>
      </c>
      <c r="F635">
        <v>65</v>
      </c>
      <c r="G635">
        <v>1</v>
      </c>
      <c r="H635" t="s">
        <v>17</v>
      </c>
      <c r="I635">
        <v>78</v>
      </c>
      <c r="J635" t="b">
        <v>1</v>
      </c>
    </row>
    <row r="636" spans="1:10" x14ac:dyDescent="0.3">
      <c r="A636">
        <v>635</v>
      </c>
      <c r="B636" t="s">
        <v>628</v>
      </c>
      <c r="C636" t="s">
        <v>14</v>
      </c>
      <c r="D636">
        <v>82</v>
      </c>
      <c r="E636">
        <v>15</v>
      </c>
      <c r="F636">
        <v>82</v>
      </c>
      <c r="G636">
        <v>0</v>
      </c>
      <c r="H636" t="s">
        <v>15</v>
      </c>
      <c r="I636">
        <v>88</v>
      </c>
      <c r="J636" t="b">
        <v>1</v>
      </c>
    </row>
    <row r="637" spans="1:10" x14ac:dyDescent="0.3">
      <c r="A637">
        <v>636</v>
      </c>
      <c r="B637" t="s">
        <v>977</v>
      </c>
      <c r="C637" t="s">
        <v>14</v>
      </c>
      <c r="D637">
        <v>85</v>
      </c>
      <c r="E637">
        <v>12</v>
      </c>
      <c r="F637">
        <v>88</v>
      </c>
      <c r="G637">
        <v>1</v>
      </c>
      <c r="H637" t="s">
        <v>12</v>
      </c>
      <c r="I637">
        <v>62</v>
      </c>
      <c r="J637" t="b">
        <v>1</v>
      </c>
    </row>
    <row r="638" spans="1:10" x14ac:dyDescent="0.3">
      <c r="A638">
        <v>637</v>
      </c>
      <c r="B638" t="s">
        <v>629</v>
      </c>
      <c r="C638" t="s">
        <v>14</v>
      </c>
      <c r="D638">
        <v>78</v>
      </c>
      <c r="E638">
        <v>12</v>
      </c>
      <c r="F638">
        <v>85</v>
      </c>
      <c r="G638">
        <v>2</v>
      </c>
      <c r="H638" t="s">
        <v>17</v>
      </c>
      <c r="I638">
        <v>92</v>
      </c>
      <c r="J638" t="b">
        <v>1</v>
      </c>
    </row>
    <row r="639" spans="1:10" x14ac:dyDescent="0.3">
      <c r="A639">
        <v>638</v>
      </c>
      <c r="B639" t="s">
        <v>630</v>
      </c>
      <c r="C639" t="s">
        <v>11</v>
      </c>
      <c r="D639">
        <v>85</v>
      </c>
      <c r="E639">
        <v>22</v>
      </c>
      <c r="F639">
        <v>90</v>
      </c>
      <c r="G639">
        <v>3</v>
      </c>
      <c r="H639" t="s">
        <v>15</v>
      </c>
      <c r="I639">
        <v>90</v>
      </c>
      <c r="J639" t="b">
        <v>0</v>
      </c>
    </row>
    <row r="640" spans="1:10" x14ac:dyDescent="0.3">
      <c r="A640">
        <v>639</v>
      </c>
      <c r="B640" t="s">
        <v>631</v>
      </c>
      <c r="C640" t="s">
        <v>977</v>
      </c>
      <c r="D640">
        <v>90</v>
      </c>
      <c r="E640">
        <v>30</v>
      </c>
      <c r="F640">
        <v>88</v>
      </c>
      <c r="G640">
        <v>1</v>
      </c>
      <c r="H640" t="s">
        <v>15</v>
      </c>
      <c r="I640">
        <v>72</v>
      </c>
      <c r="J640" t="b">
        <v>0</v>
      </c>
    </row>
    <row r="641" spans="1:10" x14ac:dyDescent="0.3">
      <c r="A641">
        <v>640</v>
      </c>
      <c r="B641" t="s">
        <v>632</v>
      </c>
      <c r="C641" t="s">
        <v>14</v>
      </c>
      <c r="D641">
        <v>85</v>
      </c>
      <c r="E641">
        <v>22</v>
      </c>
      <c r="F641">
        <v>88</v>
      </c>
      <c r="G641">
        <v>2</v>
      </c>
      <c r="H641" t="s">
        <v>12</v>
      </c>
      <c r="I641">
        <v>78</v>
      </c>
      <c r="J641" t="b">
        <v>1</v>
      </c>
    </row>
    <row r="642" spans="1:10" x14ac:dyDescent="0.3">
      <c r="A642">
        <v>641</v>
      </c>
      <c r="B642" t="s">
        <v>633</v>
      </c>
      <c r="C642" t="s">
        <v>11</v>
      </c>
      <c r="D642">
        <v>90</v>
      </c>
      <c r="E642">
        <v>10</v>
      </c>
      <c r="F642">
        <v>82</v>
      </c>
      <c r="G642">
        <v>2</v>
      </c>
      <c r="H642" t="s">
        <v>12</v>
      </c>
      <c r="I642">
        <v>68</v>
      </c>
      <c r="J642" t="b">
        <v>1</v>
      </c>
    </row>
    <row r="643" spans="1:10" x14ac:dyDescent="0.3">
      <c r="A643">
        <v>642</v>
      </c>
      <c r="B643" t="s">
        <v>634</v>
      </c>
      <c r="C643" t="s">
        <v>14</v>
      </c>
      <c r="D643">
        <v>82</v>
      </c>
      <c r="E643">
        <v>10</v>
      </c>
      <c r="F643">
        <v>77</v>
      </c>
      <c r="G643">
        <v>1</v>
      </c>
      <c r="H643" t="s">
        <v>15</v>
      </c>
      <c r="I643">
        <v>78</v>
      </c>
      <c r="J643" t="b">
        <v>0</v>
      </c>
    </row>
    <row r="644" spans="1:10" x14ac:dyDescent="0.3">
      <c r="A644">
        <v>643</v>
      </c>
      <c r="B644" t="s">
        <v>635</v>
      </c>
      <c r="C644" t="s">
        <v>11</v>
      </c>
      <c r="D644">
        <v>85</v>
      </c>
      <c r="E644">
        <v>17.630526315789474</v>
      </c>
      <c r="F644">
        <v>70</v>
      </c>
      <c r="G644">
        <v>1</v>
      </c>
      <c r="H644" t="s">
        <v>15</v>
      </c>
      <c r="I644">
        <v>88</v>
      </c>
      <c r="J644" t="b">
        <v>0</v>
      </c>
    </row>
    <row r="645" spans="1:10" x14ac:dyDescent="0.3">
      <c r="A645">
        <v>644</v>
      </c>
      <c r="B645" t="s">
        <v>636</v>
      </c>
      <c r="C645" t="s">
        <v>14</v>
      </c>
      <c r="D645">
        <v>85</v>
      </c>
      <c r="E645">
        <v>18</v>
      </c>
      <c r="F645">
        <v>77.598759048603924</v>
      </c>
      <c r="G645">
        <v>0</v>
      </c>
      <c r="H645" t="s">
        <v>15</v>
      </c>
      <c r="I645">
        <v>68</v>
      </c>
      <c r="J645" t="b">
        <v>0</v>
      </c>
    </row>
    <row r="646" spans="1:10" x14ac:dyDescent="0.3">
      <c r="A646">
        <v>645</v>
      </c>
      <c r="B646" t="s">
        <v>637</v>
      </c>
      <c r="C646" t="s">
        <v>14</v>
      </c>
      <c r="D646">
        <v>85</v>
      </c>
      <c r="E646">
        <v>10</v>
      </c>
      <c r="F646">
        <v>88</v>
      </c>
      <c r="G646">
        <v>2</v>
      </c>
      <c r="H646" t="s">
        <v>15</v>
      </c>
      <c r="I646">
        <v>68</v>
      </c>
      <c r="J646" t="b">
        <v>0</v>
      </c>
    </row>
    <row r="647" spans="1:10" x14ac:dyDescent="0.3">
      <c r="A647">
        <v>646</v>
      </c>
      <c r="B647" t="s">
        <v>638</v>
      </c>
      <c r="C647" t="s">
        <v>11</v>
      </c>
      <c r="D647">
        <v>78</v>
      </c>
      <c r="E647">
        <v>10</v>
      </c>
      <c r="F647">
        <v>90</v>
      </c>
      <c r="G647">
        <v>2</v>
      </c>
      <c r="H647" t="s">
        <v>12</v>
      </c>
      <c r="I647">
        <v>90</v>
      </c>
      <c r="J647" t="b">
        <v>0</v>
      </c>
    </row>
    <row r="648" spans="1:10" x14ac:dyDescent="0.3">
      <c r="A648">
        <v>647</v>
      </c>
      <c r="B648" t="s">
        <v>639</v>
      </c>
      <c r="C648" t="s">
        <v>11</v>
      </c>
      <c r="D648">
        <v>92</v>
      </c>
      <c r="E648">
        <v>17.630526315789474</v>
      </c>
      <c r="F648">
        <v>77.598759048603924</v>
      </c>
      <c r="G648">
        <v>1</v>
      </c>
      <c r="H648" t="s">
        <v>15</v>
      </c>
      <c r="I648">
        <v>68</v>
      </c>
      <c r="J648" t="b">
        <v>1</v>
      </c>
    </row>
    <row r="649" spans="1:10" x14ac:dyDescent="0.3">
      <c r="A649">
        <v>648</v>
      </c>
      <c r="B649" t="s">
        <v>640</v>
      </c>
      <c r="C649" t="s">
        <v>14</v>
      </c>
      <c r="D649">
        <v>90</v>
      </c>
      <c r="E649">
        <v>15</v>
      </c>
      <c r="F649">
        <v>60</v>
      </c>
      <c r="G649">
        <v>1</v>
      </c>
      <c r="H649" t="s">
        <v>12</v>
      </c>
      <c r="I649">
        <v>78</v>
      </c>
      <c r="J649" t="b">
        <v>1</v>
      </c>
    </row>
    <row r="650" spans="1:10" x14ac:dyDescent="0.3">
      <c r="A650">
        <v>649</v>
      </c>
      <c r="B650" t="s">
        <v>641</v>
      </c>
      <c r="C650" t="s">
        <v>977</v>
      </c>
      <c r="D650">
        <v>88</v>
      </c>
      <c r="E650">
        <v>17</v>
      </c>
      <c r="F650">
        <v>82</v>
      </c>
      <c r="G650">
        <v>3</v>
      </c>
      <c r="H650" t="s">
        <v>12</v>
      </c>
      <c r="I650">
        <v>68</v>
      </c>
      <c r="J650" t="b">
        <v>0</v>
      </c>
    </row>
    <row r="651" spans="1:10" x14ac:dyDescent="0.3">
      <c r="A651">
        <v>650</v>
      </c>
      <c r="B651" t="s">
        <v>977</v>
      </c>
      <c r="C651" t="s">
        <v>11</v>
      </c>
      <c r="D651">
        <v>85</v>
      </c>
      <c r="E651">
        <v>15</v>
      </c>
      <c r="F651">
        <v>77.598759048603924</v>
      </c>
      <c r="G651">
        <v>2</v>
      </c>
      <c r="H651" t="s">
        <v>12</v>
      </c>
      <c r="I651">
        <v>85</v>
      </c>
      <c r="J651" t="b">
        <v>1</v>
      </c>
    </row>
    <row r="652" spans="1:10" x14ac:dyDescent="0.3">
      <c r="A652">
        <v>651</v>
      </c>
      <c r="B652" t="s">
        <v>642</v>
      </c>
      <c r="C652" t="s">
        <v>14</v>
      </c>
      <c r="D652">
        <v>90</v>
      </c>
      <c r="E652">
        <v>30</v>
      </c>
      <c r="F652">
        <v>78</v>
      </c>
      <c r="G652">
        <v>3</v>
      </c>
      <c r="H652" t="s">
        <v>17</v>
      </c>
      <c r="I652">
        <v>92</v>
      </c>
      <c r="J652" t="b">
        <v>0</v>
      </c>
    </row>
    <row r="653" spans="1:10" x14ac:dyDescent="0.3">
      <c r="A653">
        <v>652</v>
      </c>
      <c r="B653" t="s">
        <v>643</v>
      </c>
      <c r="C653" t="s">
        <v>11</v>
      </c>
      <c r="D653">
        <v>90</v>
      </c>
      <c r="E653">
        <v>17.630526315789474</v>
      </c>
      <c r="F653">
        <v>77</v>
      </c>
      <c r="G653">
        <v>2</v>
      </c>
      <c r="H653" t="s">
        <v>17</v>
      </c>
      <c r="I653">
        <v>62</v>
      </c>
      <c r="J653" t="b">
        <v>1</v>
      </c>
    </row>
    <row r="654" spans="1:10" x14ac:dyDescent="0.3">
      <c r="A654">
        <v>653</v>
      </c>
      <c r="B654" t="s">
        <v>644</v>
      </c>
      <c r="C654" t="s">
        <v>14</v>
      </c>
      <c r="D654">
        <v>78</v>
      </c>
      <c r="E654">
        <v>8</v>
      </c>
      <c r="F654">
        <v>88</v>
      </c>
      <c r="G654">
        <v>0</v>
      </c>
      <c r="H654" t="s">
        <v>15</v>
      </c>
      <c r="I654">
        <v>80</v>
      </c>
      <c r="J654" t="b">
        <v>0</v>
      </c>
    </row>
    <row r="655" spans="1:10" x14ac:dyDescent="0.3">
      <c r="A655">
        <v>654</v>
      </c>
      <c r="B655" t="s">
        <v>645</v>
      </c>
      <c r="C655" t="s">
        <v>11</v>
      </c>
      <c r="D655">
        <v>92</v>
      </c>
      <c r="E655">
        <v>17</v>
      </c>
      <c r="F655">
        <v>60</v>
      </c>
      <c r="G655">
        <v>1</v>
      </c>
      <c r="H655" t="s">
        <v>15</v>
      </c>
      <c r="I655">
        <v>68</v>
      </c>
      <c r="J655" t="b">
        <v>0</v>
      </c>
    </row>
    <row r="656" spans="1:10" x14ac:dyDescent="0.3">
      <c r="A656">
        <v>655</v>
      </c>
      <c r="B656" t="s">
        <v>646</v>
      </c>
      <c r="C656" t="s">
        <v>11</v>
      </c>
      <c r="D656">
        <v>78</v>
      </c>
      <c r="E656">
        <v>25</v>
      </c>
      <c r="F656">
        <v>82</v>
      </c>
      <c r="G656">
        <v>1</v>
      </c>
      <c r="H656" t="s">
        <v>17</v>
      </c>
      <c r="I656">
        <v>90</v>
      </c>
      <c r="J656" t="b">
        <v>0</v>
      </c>
    </row>
    <row r="657" spans="1:10" x14ac:dyDescent="0.3">
      <c r="A657">
        <v>656</v>
      </c>
      <c r="B657" t="s">
        <v>647</v>
      </c>
      <c r="C657" t="s">
        <v>11</v>
      </c>
      <c r="D657">
        <v>70</v>
      </c>
      <c r="E657">
        <v>18</v>
      </c>
      <c r="F657">
        <v>60</v>
      </c>
      <c r="G657">
        <v>0</v>
      </c>
      <c r="H657" t="s">
        <v>17</v>
      </c>
      <c r="I657">
        <v>78</v>
      </c>
      <c r="J657" t="b">
        <v>1</v>
      </c>
    </row>
    <row r="658" spans="1:10" x14ac:dyDescent="0.3">
      <c r="A658">
        <v>657</v>
      </c>
      <c r="B658" t="s">
        <v>648</v>
      </c>
      <c r="C658" t="s">
        <v>11</v>
      </c>
      <c r="D658">
        <v>70</v>
      </c>
      <c r="E658">
        <v>18</v>
      </c>
      <c r="F658">
        <v>70</v>
      </c>
      <c r="G658">
        <v>1</v>
      </c>
      <c r="H658" t="s">
        <v>12</v>
      </c>
      <c r="I658">
        <v>85</v>
      </c>
      <c r="J658" t="b">
        <v>0</v>
      </c>
    </row>
    <row r="659" spans="1:10" x14ac:dyDescent="0.3">
      <c r="A659">
        <v>658</v>
      </c>
      <c r="B659" t="s">
        <v>649</v>
      </c>
      <c r="C659" t="s">
        <v>11</v>
      </c>
      <c r="D659">
        <v>85</v>
      </c>
      <c r="E659">
        <v>15</v>
      </c>
      <c r="F659">
        <v>65</v>
      </c>
      <c r="G659">
        <v>2</v>
      </c>
      <c r="H659" t="s">
        <v>15</v>
      </c>
      <c r="I659">
        <v>78</v>
      </c>
      <c r="J659" t="b">
        <v>0</v>
      </c>
    </row>
    <row r="660" spans="1:10" x14ac:dyDescent="0.3">
      <c r="A660">
        <v>659</v>
      </c>
      <c r="B660" t="s">
        <v>650</v>
      </c>
      <c r="C660" t="s">
        <v>11</v>
      </c>
      <c r="D660">
        <v>85</v>
      </c>
      <c r="E660">
        <v>25</v>
      </c>
      <c r="F660">
        <v>78</v>
      </c>
      <c r="G660">
        <v>2</v>
      </c>
      <c r="H660" t="s">
        <v>15</v>
      </c>
      <c r="I660">
        <v>78</v>
      </c>
      <c r="J660" t="b">
        <v>0</v>
      </c>
    </row>
    <row r="661" spans="1:10" x14ac:dyDescent="0.3">
      <c r="A661">
        <v>660</v>
      </c>
      <c r="B661" t="s">
        <v>651</v>
      </c>
      <c r="C661" t="s">
        <v>14</v>
      </c>
      <c r="D661">
        <v>88</v>
      </c>
      <c r="E661">
        <v>17.630526315789474</v>
      </c>
      <c r="F661">
        <v>85</v>
      </c>
      <c r="G661">
        <v>1</v>
      </c>
      <c r="H661" t="s">
        <v>17</v>
      </c>
      <c r="I661">
        <v>88</v>
      </c>
      <c r="J661" t="b">
        <v>1</v>
      </c>
    </row>
    <row r="662" spans="1:10" x14ac:dyDescent="0.3">
      <c r="A662">
        <v>661</v>
      </c>
      <c r="B662" t="s">
        <v>652</v>
      </c>
      <c r="C662" t="s">
        <v>11</v>
      </c>
      <c r="D662">
        <v>95</v>
      </c>
      <c r="E662">
        <v>17</v>
      </c>
      <c r="F662">
        <v>65</v>
      </c>
      <c r="G662">
        <v>1</v>
      </c>
      <c r="H662" t="s">
        <v>12</v>
      </c>
      <c r="I662">
        <v>80</v>
      </c>
      <c r="J662" t="b">
        <v>1</v>
      </c>
    </row>
    <row r="663" spans="1:10" x14ac:dyDescent="0.3">
      <c r="A663">
        <v>662</v>
      </c>
      <c r="B663" t="s">
        <v>653</v>
      </c>
      <c r="C663" t="s">
        <v>14</v>
      </c>
      <c r="D663">
        <v>88</v>
      </c>
      <c r="E663">
        <v>12</v>
      </c>
      <c r="F663">
        <v>85</v>
      </c>
      <c r="G663">
        <v>2</v>
      </c>
      <c r="H663" t="s">
        <v>12</v>
      </c>
      <c r="I663">
        <v>68</v>
      </c>
      <c r="J663" t="b">
        <v>1</v>
      </c>
    </row>
    <row r="664" spans="1:10" x14ac:dyDescent="0.3">
      <c r="A664">
        <v>663</v>
      </c>
      <c r="B664" t="s">
        <v>654</v>
      </c>
      <c r="C664" t="s">
        <v>14</v>
      </c>
      <c r="D664">
        <v>95</v>
      </c>
      <c r="E664">
        <v>18</v>
      </c>
      <c r="F664">
        <v>82</v>
      </c>
      <c r="G664">
        <v>1</v>
      </c>
      <c r="H664" t="s">
        <v>12</v>
      </c>
      <c r="I664">
        <v>72</v>
      </c>
      <c r="J664" t="b">
        <v>1</v>
      </c>
    </row>
    <row r="665" spans="1:10" x14ac:dyDescent="0.3">
      <c r="A665">
        <v>664</v>
      </c>
      <c r="B665" t="s">
        <v>655</v>
      </c>
      <c r="C665" t="s">
        <v>14</v>
      </c>
      <c r="D665">
        <v>95</v>
      </c>
      <c r="E665">
        <v>17</v>
      </c>
      <c r="F665">
        <v>60</v>
      </c>
      <c r="G665">
        <v>1</v>
      </c>
      <c r="H665" t="s">
        <v>12</v>
      </c>
      <c r="I665">
        <v>87</v>
      </c>
      <c r="J665" t="b">
        <v>1</v>
      </c>
    </row>
    <row r="666" spans="1:10" x14ac:dyDescent="0.3">
      <c r="A666">
        <v>665</v>
      </c>
      <c r="B666" t="s">
        <v>656</v>
      </c>
      <c r="C666" t="s">
        <v>11</v>
      </c>
      <c r="D666">
        <v>70</v>
      </c>
      <c r="E666">
        <v>17</v>
      </c>
      <c r="F666">
        <v>85</v>
      </c>
      <c r="G666">
        <v>2</v>
      </c>
      <c r="H666" t="s">
        <v>12</v>
      </c>
      <c r="I666">
        <v>80</v>
      </c>
      <c r="J666" t="b">
        <v>0</v>
      </c>
    </row>
    <row r="667" spans="1:10" x14ac:dyDescent="0.3">
      <c r="A667">
        <v>666</v>
      </c>
      <c r="B667" t="s">
        <v>657</v>
      </c>
      <c r="C667" t="s">
        <v>977</v>
      </c>
      <c r="D667">
        <v>91</v>
      </c>
      <c r="E667">
        <v>12</v>
      </c>
      <c r="F667">
        <v>88</v>
      </c>
      <c r="G667">
        <v>0</v>
      </c>
      <c r="H667" t="s">
        <v>17</v>
      </c>
      <c r="I667">
        <v>85</v>
      </c>
      <c r="J667" t="b">
        <v>1</v>
      </c>
    </row>
    <row r="668" spans="1:10" x14ac:dyDescent="0.3">
      <c r="A668">
        <v>667</v>
      </c>
      <c r="B668" t="s">
        <v>658</v>
      </c>
      <c r="C668" t="s">
        <v>11</v>
      </c>
      <c r="D668">
        <v>92</v>
      </c>
      <c r="E668">
        <v>18</v>
      </c>
      <c r="F668">
        <v>65</v>
      </c>
      <c r="G668">
        <v>3</v>
      </c>
      <c r="H668" t="s">
        <v>12</v>
      </c>
      <c r="I668">
        <v>87</v>
      </c>
      <c r="J668" t="b">
        <v>1</v>
      </c>
    </row>
    <row r="669" spans="1:10" x14ac:dyDescent="0.3">
      <c r="A669">
        <v>668</v>
      </c>
      <c r="B669" t="s">
        <v>659</v>
      </c>
      <c r="C669" t="s">
        <v>11</v>
      </c>
      <c r="D669">
        <v>85</v>
      </c>
      <c r="E669">
        <v>8</v>
      </c>
      <c r="F669">
        <v>78</v>
      </c>
      <c r="G669">
        <v>3</v>
      </c>
      <c r="H669" t="s">
        <v>12</v>
      </c>
      <c r="I669">
        <v>80</v>
      </c>
      <c r="J669" t="b">
        <v>1</v>
      </c>
    </row>
    <row r="670" spans="1:10" x14ac:dyDescent="0.3">
      <c r="A670">
        <v>669</v>
      </c>
      <c r="B670" t="s">
        <v>660</v>
      </c>
      <c r="C670" t="s">
        <v>11</v>
      </c>
      <c r="D670">
        <v>88</v>
      </c>
      <c r="E670">
        <v>15</v>
      </c>
      <c r="F670">
        <v>77.598759048603924</v>
      </c>
      <c r="G670">
        <v>2</v>
      </c>
      <c r="H670" t="s">
        <v>17</v>
      </c>
      <c r="I670">
        <v>80</v>
      </c>
      <c r="J670" t="b">
        <v>1</v>
      </c>
    </row>
    <row r="671" spans="1:10" x14ac:dyDescent="0.3">
      <c r="A671">
        <v>670</v>
      </c>
      <c r="B671" t="s">
        <v>661</v>
      </c>
      <c r="C671" t="s">
        <v>11</v>
      </c>
      <c r="D671">
        <v>78</v>
      </c>
      <c r="E671">
        <v>30</v>
      </c>
      <c r="F671">
        <v>78</v>
      </c>
      <c r="G671">
        <v>2</v>
      </c>
      <c r="H671" t="s">
        <v>12</v>
      </c>
      <c r="I671">
        <v>85</v>
      </c>
      <c r="J671" t="b">
        <v>0</v>
      </c>
    </row>
    <row r="672" spans="1:10" x14ac:dyDescent="0.3">
      <c r="A672">
        <v>671</v>
      </c>
      <c r="B672" t="s">
        <v>662</v>
      </c>
      <c r="C672" t="s">
        <v>11</v>
      </c>
      <c r="D672">
        <v>82</v>
      </c>
      <c r="E672">
        <v>22</v>
      </c>
      <c r="F672">
        <v>85</v>
      </c>
      <c r="G672">
        <v>2</v>
      </c>
      <c r="H672" t="s">
        <v>17</v>
      </c>
      <c r="I672">
        <v>80</v>
      </c>
      <c r="J672" t="b">
        <v>1</v>
      </c>
    </row>
    <row r="673" spans="1:10" x14ac:dyDescent="0.3">
      <c r="A673">
        <v>672</v>
      </c>
      <c r="B673" t="s">
        <v>663</v>
      </c>
      <c r="C673" t="s">
        <v>11</v>
      </c>
      <c r="D673">
        <v>82</v>
      </c>
      <c r="E673">
        <v>15</v>
      </c>
      <c r="F673">
        <v>85</v>
      </c>
      <c r="G673">
        <v>3</v>
      </c>
      <c r="H673" t="s">
        <v>17</v>
      </c>
      <c r="I673">
        <v>78</v>
      </c>
      <c r="J673" t="b">
        <v>1</v>
      </c>
    </row>
    <row r="674" spans="1:10" x14ac:dyDescent="0.3">
      <c r="A674">
        <v>673</v>
      </c>
      <c r="B674" t="s">
        <v>664</v>
      </c>
      <c r="C674" t="s">
        <v>11</v>
      </c>
      <c r="D674">
        <v>78</v>
      </c>
      <c r="E674">
        <v>30</v>
      </c>
      <c r="F674">
        <v>60</v>
      </c>
      <c r="G674">
        <v>0</v>
      </c>
      <c r="H674" t="s">
        <v>12</v>
      </c>
      <c r="I674">
        <v>72</v>
      </c>
      <c r="J674" t="b">
        <v>0</v>
      </c>
    </row>
    <row r="675" spans="1:10" x14ac:dyDescent="0.3">
      <c r="A675">
        <v>674</v>
      </c>
      <c r="B675" t="s">
        <v>665</v>
      </c>
      <c r="C675" t="s">
        <v>14</v>
      </c>
      <c r="D675">
        <v>90</v>
      </c>
      <c r="E675">
        <v>12</v>
      </c>
      <c r="F675">
        <v>65</v>
      </c>
      <c r="G675">
        <v>1</v>
      </c>
      <c r="H675" t="s">
        <v>15</v>
      </c>
      <c r="I675">
        <v>85</v>
      </c>
      <c r="J675" t="b">
        <v>1</v>
      </c>
    </row>
    <row r="676" spans="1:10" x14ac:dyDescent="0.3">
      <c r="A676">
        <v>675</v>
      </c>
      <c r="B676" t="s">
        <v>666</v>
      </c>
      <c r="C676" t="s">
        <v>14</v>
      </c>
      <c r="D676">
        <v>85.510416666666671</v>
      </c>
      <c r="E676">
        <v>8</v>
      </c>
      <c r="F676">
        <v>82</v>
      </c>
      <c r="G676">
        <v>1</v>
      </c>
      <c r="H676" t="s">
        <v>17</v>
      </c>
      <c r="I676">
        <v>85</v>
      </c>
      <c r="J676" t="b">
        <v>1</v>
      </c>
    </row>
    <row r="677" spans="1:10" x14ac:dyDescent="0.3">
      <c r="A677">
        <v>676</v>
      </c>
      <c r="B677" t="s">
        <v>977</v>
      </c>
      <c r="C677" t="s">
        <v>14</v>
      </c>
      <c r="D677">
        <v>70</v>
      </c>
      <c r="E677">
        <v>25</v>
      </c>
      <c r="F677">
        <v>85</v>
      </c>
      <c r="G677">
        <v>1</v>
      </c>
      <c r="H677" t="s">
        <v>12</v>
      </c>
      <c r="I677">
        <v>90</v>
      </c>
      <c r="J677" t="b">
        <v>0</v>
      </c>
    </row>
    <row r="678" spans="1:10" x14ac:dyDescent="0.3">
      <c r="A678">
        <v>677</v>
      </c>
      <c r="B678" t="s">
        <v>667</v>
      </c>
      <c r="C678" t="s">
        <v>14</v>
      </c>
      <c r="D678">
        <v>85</v>
      </c>
      <c r="E678">
        <v>12</v>
      </c>
      <c r="F678">
        <v>85</v>
      </c>
      <c r="G678">
        <v>2</v>
      </c>
      <c r="H678" t="s">
        <v>12</v>
      </c>
      <c r="I678">
        <v>62</v>
      </c>
      <c r="J678" t="b">
        <v>1</v>
      </c>
    </row>
    <row r="679" spans="1:10" x14ac:dyDescent="0.3">
      <c r="A679">
        <v>678</v>
      </c>
      <c r="B679" t="s">
        <v>668</v>
      </c>
      <c r="C679" t="s">
        <v>11</v>
      </c>
      <c r="D679">
        <v>95</v>
      </c>
      <c r="E679">
        <v>25</v>
      </c>
      <c r="F679">
        <v>88</v>
      </c>
      <c r="G679">
        <v>3</v>
      </c>
      <c r="H679" t="s">
        <v>17</v>
      </c>
      <c r="I679">
        <v>62</v>
      </c>
      <c r="J679" t="b">
        <v>0</v>
      </c>
    </row>
    <row r="680" spans="1:10" x14ac:dyDescent="0.3">
      <c r="A680">
        <v>679</v>
      </c>
      <c r="B680" t="s">
        <v>669</v>
      </c>
      <c r="C680" t="s">
        <v>14</v>
      </c>
      <c r="D680">
        <v>70</v>
      </c>
      <c r="E680">
        <v>30</v>
      </c>
      <c r="F680">
        <v>77</v>
      </c>
      <c r="G680">
        <v>3</v>
      </c>
      <c r="H680" t="s">
        <v>15</v>
      </c>
      <c r="I680">
        <v>78</v>
      </c>
      <c r="J680" t="b">
        <v>0</v>
      </c>
    </row>
    <row r="681" spans="1:10" x14ac:dyDescent="0.3">
      <c r="A681">
        <v>680</v>
      </c>
      <c r="B681" t="s">
        <v>670</v>
      </c>
      <c r="C681" t="s">
        <v>11</v>
      </c>
      <c r="D681">
        <v>88</v>
      </c>
      <c r="E681">
        <v>17</v>
      </c>
      <c r="F681">
        <v>77</v>
      </c>
      <c r="G681">
        <v>3</v>
      </c>
      <c r="H681" t="s">
        <v>17</v>
      </c>
      <c r="I681">
        <v>68</v>
      </c>
      <c r="J681" t="b">
        <v>1</v>
      </c>
    </row>
    <row r="682" spans="1:10" x14ac:dyDescent="0.3">
      <c r="A682">
        <v>681</v>
      </c>
      <c r="B682" t="s">
        <v>671</v>
      </c>
      <c r="C682" t="s">
        <v>14</v>
      </c>
      <c r="D682">
        <v>85</v>
      </c>
      <c r="E682">
        <v>10</v>
      </c>
      <c r="F682">
        <v>60</v>
      </c>
      <c r="G682">
        <v>3</v>
      </c>
      <c r="H682" t="s">
        <v>17</v>
      </c>
      <c r="I682">
        <v>90</v>
      </c>
      <c r="J682" t="b">
        <v>1</v>
      </c>
    </row>
    <row r="683" spans="1:10" x14ac:dyDescent="0.3">
      <c r="A683">
        <v>682</v>
      </c>
      <c r="B683" t="s">
        <v>60</v>
      </c>
      <c r="C683" t="s">
        <v>14</v>
      </c>
      <c r="D683">
        <v>85</v>
      </c>
      <c r="E683">
        <v>25</v>
      </c>
      <c r="F683">
        <v>82</v>
      </c>
      <c r="G683">
        <v>1</v>
      </c>
      <c r="H683" t="s">
        <v>15</v>
      </c>
      <c r="I683">
        <v>72</v>
      </c>
      <c r="J683" t="b">
        <v>1</v>
      </c>
    </row>
    <row r="684" spans="1:10" x14ac:dyDescent="0.3">
      <c r="A684">
        <v>683</v>
      </c>
      <c r="B684" t="s">
        <v>672</v>
      </c>
      <c r="C684" t="s">
        <v>14</v>
      </c>
      <c r="D684">
        <v>90</v>
      </c>
      <c r="E684">
        <v>8</v>
      </c>
      <c r="F684">
        <v>77</v>
      </c>
      <c r="G684">
        <v>1</v>
      </c>
      <c r="H684" t="s">
        <v>15</v>
      </c>
      <c r="I684">
        <v>78</v>
      </c>
      <c r="J684" t="b">
        <v>1</v>
      </c>
    </row>
    <row r="685" spans="1:10" x14ac:dyDescent="0.3">
      <c r="A685">
        <v>684</v>
      </c>
      <c r="B685" t="s">
        <v>673</v>
      </c>
      <c r="C685" t="s">
        <v>977</v>
      </c>
      <c r="D685">
        <v>85</v>
      </c>
      <c r="E685">
        <v>8</v>
      </c>
      <c r="F685">
        <v>65</v>
      </c>
      <c r="G685">
        <v>2</v>
      </c>
      <c r="H685" t="s">
        <v>17</v>
      </c>
      <c r="I685">
        <v>62</v>
      </c>
      <c r="J685" t="b">
        <v>0</v>
      </c>
    </row>
    <row r="686" spans="1:10" x14ac:dyDescent="0.3">
      <c r="A686">
        <v>685</v>
      </c>
      <c r="B686" t="s">
        <v>674</v>
      </c>
      <c r="C686" t="s">
        <v>14</v>
      </c>
      <c r="D686">
        <v>85</v>
      </c>
      <c r="E686">
        <v>12</v>
      </c>
      <c r="F686">
        <v>65</v>
      </c>
      <c r="G686">
        <v>2</v>
      </c>
      <c r="H686" t="s">
        <v>12</v>
      </c>
      <c r="I686">
        <v>62</v>
      </c>
      <c r="J686" t="b">
        <v>0</v>
      </c>
    </row>
    <row r="687" spans="1:10" x14ac:dyDescent="0.3">
      <c r="A687">
        <v>686</v>
      </c>
      <c r="B687" t="s">
        <v>675</v>
      </c>
      <c r="C687" t="s">
        <v>14</v>
      </c>
      <c r="D687">
        <v>95</v>
      </c>
      <c r="E687">
        <v>15</v>
      </c>
      <c r="F687">
        <v>78</v>
      </c>
      <c r="G687">
        <v>3</v>
      </c>
      <c r="H687" t="s">
        <v>12</v>
      </c>
      <c r="I687">
        <v>68</v>
      </c>
      <c r="J687" t="b">
        <v>1</v>
      </c>
    </row>
    <row r="688" spans="1:10" x14ac:dyDescent="0.3">
      <c r="A688">
        <v>687</v>
      </c>
      <c r="B688" t="s">
        <v>676</v>
      </c>
      <c r="C688" t="s">
        <v>14</v>
      </c>
      <c r="D688">
        <v>90</v>
      </c>
      <c r="E688">
        <v>8</v>
      </c>
      <c r="F688">
        <v>88</v>
      </c>
      <c r="G688">
        <v>1</v>
      </c>
      <c r="H688" t="s">
        <v>15</v>
      </c>
      <c r="I688">
        <v>90</v>
      </c>
      <c r="J688" t="b">
        <v>1</v>
      </c>
    </row>
    <row r="689" spans="1:10" x14ac:dyDescent="0.3">
      <c r="A689">
        <v>688</v>
      </c>
      <c r="B689" t="s">
        <v>677</v>
      </c>
      <c r="C689" t="s">
        <v>14</v>
      </c>
      <c r="D689">
        <v>91</v>
      </c>
      <c r="E689">
        <v>20</v>
      </c>
      <c r="F689">
        <v>85</v>
      </c>
      <c r="G689">
        <v>2</v>
      </c>
      <c r="H689" t="s">
        <v>12</v>
      </c>
      <c r="I689">
        <v>90</v>
      </c>
      <c r="J689" t="b">
        <v>0</v>
      </c>
    </row>
    <row r="690" spans="1:10" x14ac:dyDescent="0.3">
      <c r="A690">
        <v>689</v>
      </c>
      <c r="B690" t="s">
        <v>678</v>
      </c>
      <c r="C690" t="s">
        <v>14</v>
      </c>
      <c r="D690">
        <v>70</v>
      </c>
      <c r="E690">
        <v>22</v>
      </c>
      <c r="F690">
        <v>70</v>
      </c>
      <c r="G690">
        <v>0</v>
      </c>
      <c r="H690" t="s">
        <v>15</v>
      </c>
      <c r="I690">
        <v>80</v>
      </c>
      <c r="J690" t="b">
        <v>1</v>
      </c>
    </row>
    <row r="691" spans="1:10" x14ac:dyDescent="0.3">
      <c r="A691">
        <v>690</v>
      </c>
      <c r="B691" t="s">
        <v>679</v>
      </c>
      <c r="C691" t="s">
        <v>14</v>
      </c>
      <c r="D691">
        <v>85.510416666666671</v>
      </c>
      <c r="E691">
        <v>8</v>
      </c>
      <c r="F691">
        <v>88</v>
      </c>
      <c r="G691">
        <v>3</v>
      </c>
      <c r="H691" t="s">
        <v>12</v>
      </c>
      <c r="I691">
        <v>78</v>
      </c>
      <c r="J691" t="b">
        <v>1</v>
      </c>
    </row>
    <row r="692" spans="1:10" x14ac:dyDescent="0.3">
      <c r="A692">
        <v>691</v>
      </c>
      <c r="B692" t="s">
        <v>680</v>
      </c>
      <c r="C692" t="s">
        <v>14</v>
      </c>
      <c r="D692">
        <v>82</v>
      </c>
      <c r="E692">
        <v>30</v>
      </c>
      <c r="F692">
        <v>65</v>
      </c>
      <c r="G692">
        <v>3</v>
      </c>
      <c r="H692" t="s">
        <v>15</v>
      </c>
      <c r="I692">
        <v>90</v>
      </c>
      <c r="J692" t="b">
        <v>0</v>
      </c>
    </row>
    <row r="693" spans="1:10" x14ac:dyDescent="0.3">
      <c r="A693">
        <v>692</v>
      </c>
      <c r="B693" t="s">
        <v>681</v>
      </c>
      <c r="C693" t="s">
        <v>11</v>
      </c>
      <c r="D693">
        <v>88</v>
      </c>
      <c r="E693">
        <v>18</v>
      </c>
      <c r="F693">
        <v>78</v>
      </c>
      <c r="G693">
        <v>2</v>
      </c>
      <c r="H693" t="s">
        <v>17</v>
      </c>
      <c r="I693">
        <v>62</v>
      </c>
      <c r="J693" t="b">
        <v>1</v>
      </c>
    </row>
    <row r="694" spans="1:10" x14ac:dyDescent="0.3">
      <c r="A694">
        <v>693</v>
      </c>
      <c r="B694" t="s">
        <v>682</v>
      </c>
      <c r="C694" t="s">
        <v>14</v>
      </c>
      <c r="D694">
        <v>88</v>
      </c>
      <c r="E694">
        <v>20</v>
      </c>
      <c r="F694">
        <v>86</v>
      </c>
      <c r="G694">
        <v>2</v>
      </c>
      <c r="H694" t="s">
        <v>15</v>
      </c>
      <c r="I694">
        <v>62</v>
      </c>
      <c r="J694" t="b">
        <v>1</v>
      </c>
    </row>
    <row r="695" spans="1:10" x14ac:dyDescent="0.3">
      <c r="A695">
        <v>694</v>
      </c>
      <c r="B695" t="s">
        <v>683</v>
      </c>
      <c r="C695" t="s">
        <v>14</v>
      </c>
      <c r="D695">
        <v>70</v>
      </c>
      <c r="E695">
        <v>12</v>
      </c>
      <c r="F695">
        <v>88</v>
      </c>
      <c r="G695">
        <v>3</v>
      </c>
      <c r="H695" t="s">
        <v>15</v>
      </c>
      <c r="I695">
        <v>62</v>
      </c>
      <c r="J695" t="b">
        <v>0</v>
      </c>
    </row>
    <row r="696" spans="1:10" x14ac:dyDescent="0.3">
      <c r="A696">
        <v>695</v>
      </c>
      <c r="B696" t="s">
        <v>684</v>
      </c>
      <c r="C696" t="s">
        <v>11</v>
      </c>
      <c r="D696">
        <v>85</v>
      </c>
      <c r="E696">
        <v>12</v>
      </c>
      <c r="F696">
        <v>65</v>
      </c>
      <c r="G696">
        <v>3</v>
      </c>
      <c r="H696" t="s">
        <v>15</v>
      </c>
      <c r="I696">
        <v>92</v>
      </c>
      <c r="J696" t="b">
        <v>0</v>
      </c>
    </row>
    <row r="697" spans="1:10" x14ac:dyDescent="0.3">
      <c r="A697">
        <v>696</v>
      </c>
      <c r="B697" t="s">
        <v>685</v>
      </c>
      <c r="C697" t="s">
        <v>14</v>
      </c>
      <c r="D697">
        <v>91</v>
      </c>
      <c r="E697">
        <v>15</v>
      </c>
      <c r="F697">
        <v>70</v>
      </c>
      <c r="G697">
        <v>3</v>
      </c>
      <c r="H697" t="s">
        <v>15</v>
      </c>
      <c r="I697">
        <v>78</v>
      </c>
      <c r="J697" t="b">
        <v>0</v>
      </c>
    </row>
    <row r="698" spans="1:10" x14ac:dyDescent="0.3">
      <c r="A698">
        <v>697</v>
      </c>
      <c r="B698" t="s">
        <v>977</v>
      </c>
      <c r="C698" t="s">
        <v>14</v>
      </c>
      <c r="D698">
        <v>95</v>
      </c>
      <c r="E698">
        <v>20</v>
      </c>
      <c r="F698">
        <v>90</v>
      </c>
      <c r="G698">
        <v>0</v>
      </c>
      <c r="H698" t="s">
        <v>15</v>
      </c>
      <c r="I698">
        <v>85</v>
      </c>
      <c r="J698" t="b">
        <v>1</v>
      </c>
    </row>
    <row r="699" spans="1:10" x14ac:dyDescent="0.3">
      <c r="A699">
        <v>698</v>
      </c>
      <c r="B699" t="s">
        <v>686</v>
      </c>
      <c r="C699" t="s">
        <v>11</v>
      </c>
      <c r="D699">
        <v>90</v>
      </c>
      <c r="E699">
        <v>10</v>
      </c>
      <c r="F699">
        <v>90</v>
      </c>
      <c r="G699">
        <v>1</v>
      </c>
      <c r="H699" t="s">
        <v>12</v>
      </c>
      <c r="I699">
        <v>85</v>
      </c>
      <c r="J699" t="b">
        <v>0</v>
      </c>
    </row>
    <row r="700" spans="1:10" x14ac:dyDescent="0.3">
      <c r="A700">
        <v>699</v>
      </c>
      <c r="B700" t="s">
        <v>687</v>
      </c>
      <c r="C700" t="s">
        <v>11</v>
      </c>
      <c r="D700">
        <v>92</v>
      </c>
      <c r="E700">
        <v>10</v>
      </c>
      <c r="F700">
        <v>82</v>
      </c>
      <c r="G700">
        <v>0</v>
      </c>
      <c r="H700" t="s">
        <v>12</v>
      </c>
      <c r="I700">
        <v>85</v>
      </c>
      <c r="J700" t="b">
        <v>1</v>
      </c>
    </row>
    <row r="701" spans="1:10" x14ac:dyDescent="0.3">
      <c r="A701">
        <v>700</v>
      </c>
      <c r="B701" t="s">
        <v>688</v>
      </c>
      <c r="C701" t="s">
        <v>14</v>
      </c>
      <c r="D701">
        <v>85</v>
      </c>
      <c r="E701">
        <v>15</v>
      </c>
      <c r="F701">
        <v>85</v>
      </c>
      <c r="G701">
        <v>1</v>
      </c>
      <c r="H701" t="s">
        <v>17</v>
      </c>
      <c r="I701">
        <v>85</v>
      </c>
      <c r="J701" t="b">
        <v>0</v>
      </c>
    </row>
    <row r="702" spans="1:10" x14ac:dyDescent="0.3">
      <c r="A702">
        <v>701</v>
      </c>
      <c r="B702" t="s">
        <v>689</v>
      </c>
      <c r="C702" t="s">
        <v>14</v>
      </c>
      <c r="D702">
        <v>78</v>
      </c>
      <c r="E702">
        <v>25</v>
      </c>
      <c r="F702">
        <v>85</v>
      </c>
      <c r="G702">
        <v>3</v>
      </c>
      <c r="H702" t="s">
        <v>17</v>
      </c>
      <c r="I702">
        <v>72</v>
      </c>
      <c r="J702" t="b">
        <v>0</v>
      </c>
    </row>
    <row r="703" spans="1:10" x14ac:dyDescent="0.3">
      <c r="A703">
        <v>702</v>
      </c>
      <c r="B703" t="s">
        <v>690</v>
      </c>
      <c r="C703" t="s">
        <v>11</v>
      </c>
      <c r="D703">
        <v>92</v>
      </c>
      <c r="E703">
        <v>22</v>
      </c>
      <c r="F703">
        <v>85</v>
      </c>
      <c r="G703">
        <v>1</v>
      </c>
      <c r="H703" t="s">
        <v>15</v>
      </c>
      <c r="I703">
        <v>88</v>
      </c>
      <c r="J703" t="b">
        <v>1</v>
      </c>
    </row>
    <row r="704" spans="1:10" x14ac:dyDescent="0.3">
      <c r="A704">
        <v>703</v>
      </c>
      <c r="B704" t="s">
        <v>691</v>
      </c>
      <c r="C704" t="s">
        <v>11</v>
      </c>
      <c r="D704">
        <v>78</v>
      </c>
      <c r="E704">
        <v>20</v>
      </c>
      <c r="F704">
        <v>65</v>
      </c>
      <c r="G704">
        <v>3</v>
      </c>
      <c r="H704" t="s">
        <v>15</v>
      </c>
      <c r="I704">
        <v>78</v>
      </c>
      <c r="J704" t="b">
        <v>1</v>
      </c>
    </row>
    <row r="705" spans="1:10" x14ac:dyDescent="0.3">
      <c r="A705">
        <v>704</v>
      </c>
      <c r="B705" t="s">
        <v>692</v>
      </c>
      <c r="C705" t="s">
        <v>14</v>
      </c>
      <c r="D705">
        <v>90</v>
      </c>
      <c r="E705">
        <v>30</v>
      </c>
      <c r="F705">
        <v>70</v>
      </c>
      <c r="G705">
        <v>0</v>
      </c>
      <c r="H705" t="s">
        <v>12</v>
      </c>
      <c r="I705">
        <v>92</v>
      </c>
      <c r="J705" t="b">
        <v>1</v>
      </c>
    </row>
    <row r="706" spans="1:10" x14ac:dyDescent="0.3">
      <c r="A706">
        <v>705</v>
      </c>
      <c r="B706" t="s">
        <v>693</v>
      </c>
      <c r="C706" t="s">
        <v>14</v>
      </c>
      <c r="D706">
        <v>95</v>
      </c>
      <c r="E706">
        <v>18</v>
      </c>
      <c r="F706">
        <v>78</v>
      </c>
      <c r="G706">
        <v>3</v>
      </c>
      <c r="H706" t="s">
        <v>12</v>
      </c>
      <c r="I706">
        <v>80</v>
      </c>
      <c r="J706" t="b">
        <v>1</v>
      </c>
    </row>
    <row r="707" spans="1:10" x14ac:dyDescent="0.3">
      <c r="A707">
        <v>706</v>
      </c>
      <c r="B707" t="s">
        <v>977</v>
      </c>
      <c r="C707" t="s">
        <v>14</v>
      </c>
      <c r="D707">
        <v>88</v>
      </c>
      <c r="E707">
        <v>30</v>
      </c>
      <c r="F707">
        <v>85</v>
      </c>
      <c r="G707">
        <v>2</v>
      </c>
      <c r="H707" t="s">
        <v>12</v>
      </c>
      <c r="I707">
        <v>78</v>
      </c>
      <c r="J707" t="b">
        <v>0</v>
      </c>
    </row>
    <row r="708" spans="1:10" x14ac:dyDescent="0.3">
      <c r="A708">
        <v>707</v>
      </c>
      <c r="B708" t="s">
        <v>694</v>
      </c>
      <c r="C708" t="s">
        <v>11</v>
      </c>
      <c r="D708">
        <v>92</v>
      </c>
      <c r="E708">
        <v>18</v>
      </c>
      <c r="F708">
        <v>90</v>
      </c>
      <c r="G708">
        <v>0</v>
      </c>
      <c r="H708" t="s">
        <v>15</v>
      </c>
      <c r="I708">
        <v>90</v>
      </c>
      <c r="J708" t="b">
        <v>0</v>
      </c>
    </row>
    <row r="709" spans="1:10" x14ac:dyDescent="0.3">
      <c r="A709">
        <v>708</v>
      </c>
      <c r="B709" t="s">
        <v>695</v>
      </c>
      <c r="C709" t="s">
        <v>14</v>
      </c>
      <c r="D709">
        <v>90</v>
      </c>
      <c r="E709">
        <v>17</v>
      </c>
      <c r="F709">
        <v>77</v>
      </c>
      <c r="G709">
        <v>0</v>
      </c>
      <c r="H709" t="s">
        <v>15</v>
      </c>
      <c r="I709">
        <v>62</v>
      </c>
      <c r="J709" t="b">
        <v>1</v>
      </c>
    </row>
    <row r="710" spans="1:10" x14ac:dyDescent="0.3">
      <c r="A710">
        <v>709</v>
      </c>
      <c r="B710" t="s">
        <v>696</v>
      </c>
      <c r="C710" t="s">
        <v>11</v>
      </c>
      <c r="D710">
        <v>95</v>
      </c>
      <c r="E710">
        <v>8</v>
      </c>
      <c r="F710">
        <v>86</v>
      </c>
      <c r="G710">
        <v>2</v>
      </c>
      <c r="H710" t="s">
        <v>17</v>
      </c>
      <c r="I710">
        <v>80.030208333333334</v>
      </c>
      <c r="J710" t="b">
        <v>1</v>
      </c>
    </row>
    <row r="711" spans="1:10" x14ac:dyDescent="0.3">
      <c r="A711">
        <v>710</v>
      </c>
      <c r="B711" t="s">
        <v>697</v>
      </c>
      <c r="C711" t="s">
        <v>14</v>
      </c>
      <c r="D711">
        <v>78</v>
      </c>
      <c r="E711">
        <v>15</v>
      </c>
      <c r="F711">
        <v>60</v>
      </c>
      <c r="G711">
        <v>3</v>
      </c>
      <c r="H711" t="s">
        <v>17</v>
      </c>
      <c r="I711">
        <v>85</v>
      </c>
      <c r="J711" t="b">
        <v>1</v>
      </c>
    </row>
    <row r="712" spans="1:10" x14ac:dyDescent="0.3">
      <c r="A712">
        <v>711</v>
      </c>
      <c r="B712" t="s">
        <v>698</v>
      </c>
      <c r="C712" t="s">
        <v>11</v>
      </c>
      <c r="D712">
        <v>82</v>
      </c>
      <c r="E712">
        <v>10</v>
      </c>
      <c r="F712">
        <v>86</v>
      </c>
      <c r="G712">
        <v>0</v>
      </c>
      <c r="H712" t="s">
        <v>15</v>
      </c>
      <c r="I712">
        <v>78</v>
      </c>
      <c r="J712" t="b">
        <v>1</v>
      </c>
    </row>
    <row r="713" spans="1:10" x14ac:dyDescent="0.3">
      <c r="A713">
        <v>712</v>
      </c>
      <c r="B713" t="s">
        <v>699</v>
      </c>
      <c r="C713" t="s">
        <v>11</v>
      </c>
      <c r="D713">
        <v>91</v>
      </c>
      <c r="E713">
        <v>30</v>
      </c>
      <c r="F713">
        <v>82</v>
      </c>
      <c r="G713">
        <v>3</v>
      </c>
      <c r="H713" t="s">
        <v>12</v>
      </c>
      <c r="I713">
        <v>62</v>
      </c>
      <c r="J713" t="b">
        <v>0</v>
      </c>
    </row>
    <row r="714" spans="1:10" x14ac:dyDescent="0.3">
      <c r="A714">
        <v>713</v>
      </c>
      <c r="B714" t="s">
        <v>700</v>
      </c>
      <c r="C714" t="s">
        <v>11</v>
      </c>
      <c r="D714">
        <v>85</v>
      </c>
      <c r="E714">
        <v>12</v>
      </c>
      <c r="F714">
        <v>86</v>
      </c>
      <c r="G714">
        <v>3</v>
      </c>
      <c r="H714" t="s">
        <v>12</v>
      </c>
      <c r="I714">
        <v>78</v>
      </c>
      <c r="J714" t="b">
        <v>1</v>
      </c>
    </row>
    <row r="715" spans="1:10" x14ac:dyDescent="0.3">
      <c r="A715">
        <v>714</v>
      </c>
      <c r="B715" t="s">
        <v>701</v>
      </c>
      <c r="C715" t="s">
        <v>14</v>
      </c>
      <c r="D715">
        <v>91</v>
      </c>
      <c r="E715">
        <v>8</v>
      </c>
      <c r="F715">
        <v>86</v>
      </c>
      <c r="G715">
        <v>2</v>
      </c>
      <c r="H715" t="s">
        <v>12</v>
      </c>
      <c r="I715">
        <v>87</v>
      </c>
      <c r="J715" t="b">
        <v>1</v>
      </c>
    </row>
    <row r="716" spans="1:10" x14ac:dyDescent="0.3">
      <c r="A716">
        <v>715</v>
      </c>
      <c r="B716" t="s">
        <v>702</v>
      </c>
      <c r="C716" t="s">
        <v>14</v>
      </c>
      <c r="D716">
        <v>85</v>
      </c>
      <c r="E716">
        <v>17</v>
      </c>
      <c r="F716">
        <v>85</v>
      </c>
      <c r="G716">
        <v>3</v>
      </c>
      <c r="H716" t="s">
        <v>17</v>
      </c>
      <c r="I716">
        <v>92</v>
      </c>
      <c r="J716" t="b">
        <v>0</v>
      </c>
    </row>
    <row r="717" spans="1:10" x14ac:dyDescent="0.3">
      <c r="A717">
        <v>716</v>
      </c>
      <c r="B717" t="s">
        <v>703</v>
      </c>
      <c r="C717" t="s">
        <v>14</v>
      </c>
      <c r="D717">
        <v>70</v>
      </c>
      <c r="E717">
        <v>10</v>
      </c>
      <c r="F717">
        <v>60</v>
      </c>
      <c r="G717">
        <v>3</v>
      </c>
      <c r="H717" t="s">
        <v>17</v>
      </c>
      <c r="I717">
        <v>92</v>
      </c>
      <c r="J717" t="b">
        <v>1</v>
      </c>
    </row>
    <row r="718" spans="1:10" x14ac:dyDescent="0.3">
      <c r="A718">
        <v>717</v>
      </c>
      <c r="B718" t="s">
        <v>704</v>
      </c>
      <c r="C718" t="s">
        <v>11</v>
      </c>
      <c r="D718">
        <v>70</v>
      </c>
      <c r="E718">
        <v>10</v>
      </c>
      <c r="F718">
        <v>78</v>
      </c>
      <c r="G718">
        <v>2</v>
      </c>
      <c r="H718" t="s">
        <v>15</v>
      </c>
      <c r="I718">
        <v>92</v>
      </c>
      <c r="J718" t="b">
        <v>0</v>
      </c>
    </row>
    <row r="719" spans="1:10" x14ac:dyDescent="0.3">
      <c r="A719">
        <v>718</v>
      </c>
      <c r="B719" t="s">
        <v>705</v>
      </c>
      <c r="C719" t="s">
        <v>11</v>
      </c>
      <c r="D719">
        <v>85</v>
      </c>
      <c r="E719">
        <v>17</v>
      </c>
      <c r="F719">
        <v>65</v>
      </c>
      <c r="G719">
        <v>1</v>
      </c>
      <c r="H719" t="s">
        <v>17</v>
      </c>
      <c r="I719">
        <v>62</v>
      </c>
      <c r="J719" t="b">
        <v>0</v>
      </c>
    </row>
    <row r="720" spans="1:10" x14ac:dyDescent="0.3">
      <c r="A720">
        <v>719</v>
      </c>
      <c r="B720" t="s">
        <v>977</v>
      </c>
      <c r="C720" t="s">
        <v>14</v>
      </c>
      <c r="D720">
        <v>90</v>
      </c>
      <c r="E720">
        <v>20</v>
      </c>
      <c r="F720">
        <v>70</v>
      </c>
      <c r="G720">
        <v>1</v>
      </c>
      <c r="H720" t="s">
        <v>12</v>
      </c>
      <c r="I720">
        <v>90</v>
      </c>
      <c r="J720" t="b">
        <v>0</v>
      </c>
    </row>
    <row r="721" spans="1:10" x14ac:dyDescent="0.3">
      <c r="A721">
        <v>720</v>
      </c>
      <c r="B721" t="s">
        <v>706</v>
      </c>
      <c r="C721" t="s">
        <v>11</v>
      </c>
      <c r="D721">
        <v>88</v>
      </c>
      <c r="E721">
        <v>12</v>
      </c>
      <c r="F721">
        <v>86</v>
      </c>
      <c r="G721">
        <v>0</v>
      </c>
      <c r="H721" t="s">
        <v>15</v>
      </c>
      <c r="I721">
        <v>62</v>
      </c>
      <c r="J721" t="b">
        <v>1</v>
      </c>
    </row>
    <row r="722" spans="1:10" x14ac:dyDescent="0.3">
      <c r="A722">
        <v>721</v>
      </c>
      <c r="B722" t="s">
        <v>707</v>
      </c>
      <c r="C722" t="s">
        <v>14</v>
      </c>
      <c r="D722">
        <v>85.510416666666671</v>
      </c>
      <c r="E722">
        <v>12</v>
      </c>
      <c r="F722">
        <v>77</v>
      </c>
      <c r="G722">
        <v>1</v>
      </c>
      <c r="H722" t="s">
        <v>15</v>
      </c>
      <c r="I722">
        <v>68</v>
      </c>
      <c r="J722" t="b">
        <v>0</v>
      </c>
    </row>
    <row r="723" spans="1:10" x14ac:dyDescent="0.3">
      <c r="A723">
        <v>722</v>
      </c>
      <c r="B723" t="s">
        <v>708</v>
      </c>
      <c r="C723" t="s">
        <v>14</v>
      </c>
      <c r="D723">
        <v>90</v>
      </c>
      <c r="E723">
        <v>30</v>
      </c>
      <c r="F723">
        <v>78</v>
      </c>
      <c r="G723">
        <v>0</v>
      </c>
      <c r="H723" t="s">
        <v>15</v>
      </c>
      <c r="I723">
        <v>85</v>
      </c>
      <c r="J723" t="b">
        <v>0</v>
      </c>
    </row>
    <row r="724" spans="1:10" x14ac:dyDescent="0.3">
      <c r="A724">
        <v>723</v>
      </c>
      <c r="B724" t="s">
        <v>709</v>
      </c>
      <c r="C724" t="s">
        <v>14</v>
      </c>
      <c r="D724">
        <v>82</v>
      </c>
      <c r="E724">
        <v>30</v>
      </c>
      <c r="F724">
        <v>60</v>
      </c>
      <c r="G724">
        <v>0</v>
      </c>
      <c r="H724" t="s">
        <v>15</v>
      </c>
      <c r="I724">
        <v>78</v>
      </c>
      <c r="J724" t="b">
        <v>0</v>
      </c>
    </row>
    <row r="725" spans="1:10" x14ac:dyDescent="0.3">
      <c r="A725">
        <v>724</v>
      </c>
      <c r="B725" t="s">
        <v>710</v>
      </c>
      <c r="C725" t="s">
        <v>11</v>
      </c>
      <c r="D725">
        <v>78</v>
      </c>
      <c r="E725">
        <v>15</v>
      </c>
      <c r="F725">
        <v>90</v>
      </c>
      <c r="G725">
        <v>0</v>
      </c>
      <c r="H725" t="s">
        <v>12</v>
      </c>
      <c r="I725">
        <v>78</v>
      </c>
      <c r="J725" t="b">
        <v>0</v>
      </c>
    </row>
    <row r="726" spans="1:10" x14ac:dyDescent="0.3">
      <c r="A726">
        <v>725</v>
      </c>
      <c r="B726" t="s">
        <v>711</v>
      </c>
      <c r="C726" t="s">
        <v>11</v>
      </c>
      <c r="D726">
        <v>85</v>
      </c>
      <c r="E726">
        <v>15</v>
      </c>
      <c r="F726">
        <v>77.598759048603924</v>
      </c>
      <c r="G726">
        <v>1</v>
      </c>
      <c r="H726" t="s">
        <v>17</v>
      </c>
      <c r="I726">
        <v>72</v>
      </c>
      <c r="J726" t="b">
        <v>1</v>
      </c>
    </row>
    <row r="727" spans="1:10" x14ac:dyDescent="0.3">
      <c r="A727">
        <v>726</v>
      </c>
      <c r="B727" t="s">
        <v>712</v>
      </c>
      <c r="C727" t="s">
        <v>11</v>
      </c>
      <c r="D727">
        <v>95</v>
      </c>
      <c r="E727">
        <v>20</v>
      </c>
      <c r="F727">
        <v>90</v>
      </c>
      <c r="G727">
        <v>2</v>
      </c>
      <c r="H727" t="s">
        <v>12</v>
      </c>
      <c r="I727">
        <v>68</v>
      </c>
      <c r="J727" t="b">
        <v>1</v>
      </c>
    </row>
    <row r="728" spans="1:10" x14ac:dyDescent="0.3">
      <c r="A728">
        <v>727</v>
      </c>
      <c r="B728" t="s">
        <v>713</v>
      </c>
      <c r="C728" t="s">
        <v>11</v>
      </c>
      <c r="D728">
        <v>70</v>
      </c>
      <c r="E728">
        <v>20</v>
      </c>
      <c r="F728">
        <v>90</v>
      </c>
      <c r="G728">
        <v>1</v>
      </c>
      <c r="H728" t="s">
        <v>17</v>
      </c>
      <c r="I728">
        <v>87</v>
      </c>
      <c r="J728" t="b">
        <v>0</v>
      </c>
    </row>
    <row r="729" spans="1:10" x14ac:dyDescent="0.3">
      <c r="A729">
        <v>728</v>
      </c>
      <c r="B729" t="s">
        <v>714</v>
      </c>
      <c r="C729" t="s">
        <v>14</v>
      </c>
      <c r="D729">
        <v>95</v>
      </c>
      <c r="E729">
        <v>17.630526315789474</v>
      </c>
      <c r="F729">
        <v>85</v>
      </c>
      <c r="G729">
        <v>1</v>
      </c>
      <c r="H729" t="s">
        <v>12</v>
      </c>
      <c r="I729">
        <v>80</v>
      </c>
      <c r="J729" t="b">
        <v>0</v>
      </c>
    </row>
    <row r="730" spans="1:10" x14ac:dyDescent="0.3">
      <c r="A730">
        <v>729</v>
      </c>
      <c r="B730" t="s">
        <v>715</v>
      </c>
      <c r="C730" t="s">
        <v>14</v>
      </c>
      <c r="D730">
        <v>91</v>
      </c>
      <c r="E730">
        <v>15</v>
      </c>
      <c r="F730">
        <v>88</v>
      </c>
      <c r="G730">
        <v>1</v>
      </c>
      <c r="H730" t="s">
        <v>17</v>
      </c>
      <c r="I730">
        <v>88</v>
      </c>
      <c r="J730" t="b">
        <v>1</v>
      </c>
    </row>
    <row r="731" spans="1:10" x14ac:dyDescent="0.3">
      <c r="A731">
        <v>730</v>
      </c>
      <c r="B731" t="s">
        <v>716</v>
      </c>
      <c r="C731" t="s">
        <v>11</v>
      </c>
      <c r="D731">
        <v>88</v>
      </c>
      <c r="E731">
        <v>30</v>
      </c>
      <c r="F731">
        <v>78</v>
      </c>
      <c r="G731">
        <v>2</v>
      </c>
      <c r="H731" t="s">
        <v>17</v>
      </c>
      <c r="I731">
        <v>88</v>
      </c>
      <c r="J731" t="b">
        <v>0</v>
      </c>
    </row>
    <row r="732" spans="1:10" x14ac:dyDescent="0.3">
      <c r="A732">
        <v>731</v>
      </c>
      <c r="B732" t="s">
        <v>717</v>
      </c>
      <c r="C732" t="s">
        <v>11</v>
      </c>
      <c r="D732">
        <v>70</v>
      </c>
      <c r="E732">
        <v>20</v>
      </c>
      <c r="F732">
        <v>78</v>
      </c>
      <c r="G732">
        <v>3</v>
      </c>
      <c r="H732" t="s">
        <v>12</v>
      </c>
      <c r="I732">
        <v>62</v>
      </c>
      <c r="J732" t="b">
        <v>1</v>
      </c>
    </row>
    <row r="733" spans="1:10" x14ac:dyDescent="0.3">
      <c r="A733">
        <v>732</v>
      </c>
      <c r="B733" t="s">
        <v>718</v>
      </c>
      <c r="C733" t="s">
        <v>14</v>
      </c>
      <c r="D733">
        <v>85</v>
      </c>
      <c r="E733">
        <v>8</v>
      </c>
      <c r="F733">
        <v>82</v>
      </c>
      <c r="G733">
        <v>3</v>
      </c>
      <c r="H733" t="s">
        <v>12</v>
      </c>
      <c r="I733">
        <v>90</v>
      </c>
      <c r="J733" t="b">
        <v>1</v>
      </c>
    </row>
    <row r="734" spans="1:10" x14ac:dyDescent="0.3">
      <c r="A734">
        <v>733</v>
      </c>
      <c r="B734" t="s">
        <v>719</v>
      </c>
      <c r="C734" t="s">
        <v>14</v>
      </c>
      <c r="D734">
        <v>70</v>
      </c>
      <c r="E734">
        <v>17</v>
      </c>
      <c r="F734">
        <v>82</v>
      </c>
      <c r="G734">
        <v>3</v>
      </c>
      <c r="H734" t="s">
        <v>17</v>
      </c>
      <c r="I734">
        <v>62</v>
      </c>
      <c r="J734" t="b">
        <v>0</v>
      </c>
    </row>
    <row r="735" spans="1:10" x14ac:dyDescent="0.3">
      <c r="A735">
        <v>734</v>
      </c>
      <c r="B735" t="s">
        <v>720</v>
      </c>
      <c r="C735" t="s">
        <v>14</v>
      </c>
      <c r="D735">
        <v>70</v>
      </c>
      <c r="E735">
        <v>20</v>
      </c>
      <c r="F735">
        <v>78</v>
      </c>
      <c r="G735">
        <v>2</v>
      </c>
      <c r="H735" t="s">
        <v>15</v>
      </c>
      <c r="I735">
        <v>78</v>
      </c>
      <c r="J735" t="b">
        <v>1</v>
      </c>
    </row>
    <row r="736" spans="1:10" x14ac:dyDescent="0.3">
      <c r="A736">
        <v>735</v>
      </c>
      <c r="B736" t="s">
        <v>721</v>
      </c>
      <c r="C736" t="s">
        <v>11</v>
      </c>
      <c r="D736">
        <v>88</v>
      </c>
      <c r="E736">
        <v>17</v>
      </c>
      <c r="F736">
        <v>60</v>
      </c>
      <c r="G736">
        <v>2</v>
      </c>
      <c r="H736" t="s">
        <v>15</v>
      </c>
      <c r="I736">
        <v>85</v>
      </c>
      <c r="J736" t="b">
        <v>0</v>
      </c>
    </row>
    <row r="737" spans="1:10" x14ac:dyDescent="0.3">
      <c r="A737">
        <v>736</v>
      </c>
      <c r="B737" t="s">
        <v>722</v>
      </c>
      <c r="C737" t="s">
        <v>14</v>
      </c>
      <c r="D737">
        <v>88</v>
      </c>
      <c r="E737">
        <v>22</v>
      </c>
      <c r="F737">
        <v>78</v>
      </c>
      <c r="G737">
        <v>2</v>
      </c>
      <c r="H737" t="s">
        <v>12</v>
      </c>
      <c r="I737">
        <v>80</v>
      </c>
      <c r="J737" t="b">
        <v>0</v>
      </c>
    </row>
    <row r="738" spans="1:10" x14ac:dyDescent="0.3">
      <c r="A738">
        <v>737</v>
      </c>
      <c r="B738" t="s">
        <v>723</v>
      </c>
      <c r="C738" t="s">
        <v>11</v>
      </c>
      <c r="D738">
        <v>85</v>
      </c>
      <c r="E738">
        <v>22</v>
      </c>
      <c r="F738">
        <v>82</v>
      </c>
      <c r="G738">
        <v>1</v>
      </c>
      <c r="H738" t="s">
        <v>15</v>
      </c>
      <c r="I738">
        <v>88</v>
      </c>
      <c r="J738" t="b">
        <v>1</v>
      </c>
    </row>
    <row r="739" spans="1:10" x14ac:dyDescent="0.3">
      <c r="A739">
        <v>738</v>
      </c>
      <c r="B739" t="s">
        <v>724</v>
      </c>
      <c r="C739" t="s">
        <v>14</v>
      </c>
      <c r="D739">
        <v>78</v>
      </c>
      <c r="E739">
        <v>10</v>
      </c>
      <c r="F739">
        <v>60</v>
      </c>
      <c r="G739">
        <v>1</v>
      </c>
      <c r="H739" t="s">
        <v>12</v>
      </c>
      <c r="I739">
        <v>62</v>
      </c>
      <c r="J739" t="b">
        <v>0</v>
      </c>
    </row>
    <row r="740" spans="1:10" x14ac:dyDescent="0.3">
      <c r="A740">
        <v>739</v>
      </c>
      <c r="B740" t="s">
        <v>725</v>
      </c>
      <c r="C740" t="s">
        <v>14</v>
      </c>
      <c r="D740">
        <v>91</v>
      </c>
      <c r="E740">
        <v>18</v>
      </c>
      <c r="F740">
        <v>88</v>
      </c>
      <c r="G740">
        <v>0</v>
      </c>
      <c r="H740" t="s">
        <v>12</v>
      </c>
      <c r="I740">
        <v>68</v>
      </c>
      <c r="J740" t="b">
        <v>0</v>
      </c>
    </row>
    <row r="741" spans="1:10" x14ac:dyDescent="0.3">
      <c r="A741">
        <v>740</v>
      </c>
      <c r="B741" t="s">
        <v>726</v>
      </c>
      <c r="C741" t="s">
        <v>14</v>
      </c>
      <c r="D741">
        <v>82</v>
      </c>
      <c r="E741">
        <v>15</v>
      </c>
      <c r="F741">
        <v>78</v>
      </c>
      <c r="G741">
        <v>0</v>
      </c>
      <c r="H741" t="s">
        <v>12</v>
      </c>
      <c r="I741">
        <v>80</v>
      </c>
      <c r="J741" t="b">
        <v>0</v>
      </c>
    </row>
    <row r="742" spans="1:10" x14ac:dyDescent="0.3">
      <c r="A742">
        <v>741</v>
      </c>
      <c r="B742" t="s">
        <v>727</v>
      </c>
      <c r="C742" t="s">
        <v>14</v>
      </c>
      <c r="D742">
        <v>88</v>
      </c>
      <c r="E742">
        <v>22</v>
      </c>
      <c r="F742">
        <v>86</v>
      </c>
      <c r="G742">
        <v>1</v>
      </c>
      <c r="H742" t="s">
        <v>17</v>
      </c>
      <c r="I742">
        <v>62</v>
      </c>
      <c r="J742" t="b">
        <v>1</v>
      </c>
    </row>
    <row r="743" spans="1:10" x14ac:dyDescent="0.3">
      <c r="A743">
        <v>742</v>
      </c>
      <c r="B743" t="s">
        <v>728</v>
      </c>
      <c r="C743" t="s">
        <v>11</v>
      </c>
      <c r="D743">
        <v>92</v>
      </c>
      <c r="E743">
        <v>20</v>
      </c>
      <c r="F743">
        <v>78</v>
      </c>
      <c r="G743">
        <v>3</v>
      </c>
      <c r="H743" t="s">
        <v>12</v>
      </c>
      <c r="I743">
        <v>92</v>
      </c>
      <c r="J743" t="b">
        <v>1</v>
      </c>
    </row>
    <row r="744" spans="1:10" x14ac:dyDescent="0.3">
      <c r="A744">
        <v>743</v>
      </c>
      <c r="B744" t="s">
        <v>729</v>
      </c>
      <c r="C744" t="s">
        <v>11</v>
      </c>
      <c r="D744">
        <v>90</v>
      </c>
      <c r="E744">
        <v>18</v>
      </c>
      <c r="F744">
        <v>77</v>
      </c>
      <c r="G744">
        <v>0</v>
      </c>
      <c r="H744" t="s">
        <v>15</v>
      </c>
      <c r="I744">
        <v>62</v>
      </c>
      <c r="J744" t="b">
        <v>1</v>
      </c>
    </row>
    <row r="745" spans="1:10" x14ac:dyDescent="0.3">
      <c r="A745">
        <v>744</v>
      </c>
      <c r="B745" t="s">
        <v>730</v>
      </c>
      <c r="C745" t="s">
        <v>14</v>
      </c>
      <c r="D745">
        <v>85</v>
      </c>
      <c r="E745">
        <v>15</v>
      </c>
      <c r="F745">
        <v>77</v>
      </c>
      <c r="G745">
        <v>3</v>
      </c>
      <c r="H745" t="s">
        <v>12</v>
      </c>
      <c r="I745">
        <v>92</v>
      </c>
      <c r="J745" t="b">
        <v>1</v>
      </c>
    </row>
    <row r="746" spans="1:10" x14ac:dyDescent="0.3">
      <c r="A746">
        <v>745</v>
      </c>
      <c r="B746" t="s">
        <v>731</v>
      </c>
      <c r="C746" t="s">
        <v>11</v>
      </c>
      <c r="D746">
        <v>90</v>
      </c>
      <c r="E746">
        <v>8</v>
      </c>
      <c r="F746">
        <v>60</v>
      </c>
      <c r="G746">
        <v>1</v>
      </c>
      <c r="H746" t="s">
        <v>17</v>
      </c>
      <c r="I746">
        <v>88</v>
      </c>
      <c r="J746" t="b">
        <v>0</v>
      </c>
    </row>
    <row r="747" spans="1:10" x14ac:dyDescent="0.3">
      <c r="A747">
        <v>746</v>
      </c>
      <c r="B747" t="s">
        <v>732</v>
      </c>
      <c r="C747" t="s">
        <v>14</v>
      </c>
      <c r="D747">
        <v>70</v>
      </c>
      <c r="E747">
        <v>17.630526315789474</v>
      </c>
      <c r="F747">
        <v>70</v>
      </c>
      <c r="G747">
        <v>3</v>
      </c>
      <c r="H747" t="s">
        <v>17</v>
      </c>
      <c r="I747">
        <v>80.030208333333334</v>
      </c>
      <c r="J747" t="b">
        <v>1</v>
      </c>
    </row>
    <row r="748" spans="1:10" x14ac:dyDescent="0.3">
      <c r="A748">
        <v>747</v>
      </c>
      <c r="B748" t="s">
        <v>733</v>
      </c>
      <c r="C748" t="s">
        <v>11</v>
      </c>
      <c r="D748">
        <v>70</v>
      </c>
      <c r="E748">
        <v>22</v>
      </c>
      <c r="F748">
        <v>88</v>
      </c>
      <c r="G748">
        <v>2</v>
      </c>
      <c r="H748" t="s">
        <v>12</v>
      </c>
      <c r="I748">
        <v>85</v>
      </c>
      <c r="J748" t="b">
        <v>0</v>
      </c>
    </row>
    <row r="749" spans="1:10" x14ac:dyDescent="0.3">
      <c r="A749">
        <v>748</v>
      </c>
      <c r="B749" t="s">
        <v>734</v>
      </c>
      <c r="C749" t="s">
        <v>14</v>
      </c>
      <c r="D749">
        <v>91</v>
      </c>
      <c r="E749">
        <v>30</v>
      </c>
      <c r="F749">
        <v>77</v>
      </c>
      <c r="G749">
        <v>0</v>
      </c>
      <c r="H749" t="s">
        <v>12</v>
      </c>
      <c r="I749">
        <v>68</v>
      </c>
      <c r="J749" t="b">
        <v>0</v>
      </c>
    </row>
    <row r="750" spans="1:10" x14ac:dyDescent="0.3">
      <c r="A750">
        <v>749</v>
      </c>
      <c r="B750" t="s">
        <v>735</v>
      </c>
      <c r="C750" t="s">
        <v>14</v>
      </c>
      <c r="D750">
        <v>92</v>
      </c>
      <c r="E750">
        <v>12</v>
      </c>
      <c r="F750">
        <v>90</v>
      </c>
      <c r="G750">
        <v>3</v>
      </c>
      <c r="H750" t="s">
        <v>17</v>
      </c>
      <c r="I750">
        <v>90</v>
      </c>
      <c r="J750" t="b">
        <v>0</v>
      </c>
    </row>
    <row r="751" spans="1:10" x14ac:dyDescent="0.3">
      <c r="A751">
        <v>750</v>
      </c>
      <c r="B751" t="s">
        <v>736</v>
      </c>
      <c r="C751" t="s">
        <v>14</v>
      </c>
      <c r="D751">
        <v>70</v>
      </c>
      <c r="E751">
        <v>8</v>
      </c>
      <c r="F751">
        <v>88</v>
      </c>
      <c r="G751">
        <v>1</v>
      </c>
      <c r="H751" t="s">
        <v>12</v>
      </c>
      <c r="I751">
        <v>88</v>
      </c>
      <c r="J751" t="b">
        <v>1</v>
      </c>
    </row>
    <row r="752" spans="1:10" x14ac:dyDescent="0.3">
      <c r="A752">
        <v>751</v>
      </c>
      <c r="B752" t="s">
        <v>737</v>
      </c>
      <c r="C752" t="s">
        <v>11</v>
      </c>
      <c r="D752">
        <v>78</v>
      </c>
      <c r="E752">
        <v>25</v>
      </c>
      <c r="F752">
        <v>65</v>
      </c>
      <c r="G752">
        <v>3</v>
      </c>
      <c r="H752" t="s">
        <v>15</v>
      </c>
      <c r="I752">
        <v>87</v>
      </c>
      <c r="J752" t="b">
        <v>0</v>
      </c>
    </row>
    <row r="753" spans="1:10" x14ac:dyDescent="0.3">
      <c r="A753">
        <v>752</v>
      </c>
      <c r="B753" t="s">
        <v>738</v>
      </c>
      <c r="C753" t="s">
        <v>11</v>
      </c>
      <c r="D753">
        <v>82</v>
      </c>
      <c r="E753">
        <v>15</v>
      </c>
      <c r="F753">
        <v>77.598759048603924</v>
      </c>
      <c r="G753">
        <v>1</v>
      </c>
      <c r="H753" t="s">
        <v>15</v>
      </c>
      <c r="I753">
        <v>90</v>
      </c>
      <c r="J753" t="b">
        <v>1</v>
      </c>
    </row>
    <row r="754" spans="1:10" x14ac:dyDescent="0.3">
      <c r="A754">
        <v>753</v>
      </c>
      <c r="B754" t="s">
        <v>739</v>
      </c>
      <c r="C754" t="s">
        <v>14</v>
      </c>
      <c r="D754">
        <v>70</v>
      </c>
      <c r="E754">
        <v>20</v>
      </c>
      <c r="F754">
        <v>86</v>
      </c>
      <c r="G754">
        <v>3</v>
      </c>
      <c r="H754" t="s">
        <v>12</v>
      </c>
      <c r="I754">
        <v>72</v>
      </c>
      <c r="J754" t="b">
        <v>0</v>
      </c>
    </row>
    <row r="755" spans="1:10" x14ac:dyDescent="0.3">
      <c r="A755">
        <v>754</v>
      </c>
      <c r="B755" t="s">
        <v>740</v>
      </c>
      <c r="C755" t="s">
        <v>11</v>
      </c>
      <c r="D755">
        <v>82</v>
      </c>
      <c r="E755">
        <v>18</v>
      </c>
      <c r="F755">
        <v>65</v>
      </c>
      <c r="G755">
        <v>2</v>
      </c>
      <c r="H755" t="s">
        <v>17</v>
      </c>
      <c r="I755">
        <v>87</v>
      </c>
      <c r="J755" t="b">
        <v>0</v>
      </c>
    </row>
    <row r="756" spans="1:10" x14ac:dyDescent="0.3">
      <c r="A756">
        <v>755</v>
      </c>
      <c r="B756" t="s">
        <v>741</v>
      </c>
      <c r="C756" t="s">
        <v>11</v>
      </c>
      <c r="D756">
        <v>91</v>
      </c>
      <c r="E756">
        <v>22</v>
      </c>
      <c r="F756">
        <v>85</v>
      </c>
      <c r="G756">
        <v>2</v>
      </c>
      <c r="H756" t="s">
        <v>12</v>
      </c>
      <c r="I756">
        <v>72</v>
      </c>
      <c r="J756" t="b">
        <v>1</v>
      </c>
    </row>
    <row r="757" spans="1:10" x14ac:dyDescent="0.3">
      <c r="A757">
        <v>756</v>
      </c>
      <c r="B757" t="s">
        <v>742</v>
      </c>
      <c r="C757" t="s">
        <v>14</v>
      </c>
      <c r="D757">
        <v>78</v>
      </c>
      <c r="E757">
        <v>18</v>
      </c>
      <c r="F757">
        <v>77</v>
      </c>
      <c r="G757">
        <v>2</v>
      </c>
      <c r="H757" t="s">
        <v>15</v>
      </c>
      <c r="I757">
        <v>87</v>
      </c>
      <c r="J757" t="b">
        <v>0</v>
      </c>
    </row>
    <row r="758" spans="1:10" x14ac:dyDescent="0.3">
      <c r="A758">
        <v>757</v>
      </c>
      <c r="B758" t="s">
        <v>743</v>
      </c>
      <c r="C758" t="s">
        <v>11</v>
      </c>
      <c r="D758">
        <v>92</v>
      </c>
      <c r="E758">
        <v>17</v>
      </c>
      <c r="F758">
        <v>60</v>
      </c>
      <c r="G758">
        <v>1</v>
      </c>
      <c r="H758" t="s">
        <v>12</v>
      </c>
      <c r="I758">
        <v>78</v>
      </c>
      <c r="J758" t="b">
        <v>1</v>
      </c>
    </row>
    <row r="759" spans="1:10" x14ac:dyDescent="0.3">
      <c r="A759">
        <v>758</v>
      </c>
      <c r="B759" t="s">
        <v>744</v>
      </c>
      <c r="C759" t="s">
        <v>14</v>
      </c>
      <c r="D759">
        <v>95</v>
      </c>
      <c r="E759">
        <v>8</v>
      </c>
      <c r="F759">
        <v>88</v>
      </c>
      <c r="G759">
        <v>3</v>
      </c>
      <c r="H759" t="s">
        <v>12</v>
      </c>
      <c r="I759">
        <v>72</v>
      </c>
      <c r="J759" t="b">
        <v>1</v>
      </c>
    </row>
    <row r="760" spans="1:10" x14ac:dyDescent="0.3">
      <c r="A760">
        <v>759</v>
      </c>
      <c r="B760" t="s">
        <v>745</v>
      </c>
      <c r="C760" t="s">
        <v>14</v>
      </c>
      <c r="D760">
        <v>85.510416666666671</v>
      </c>
      <c r="E760">
        <v>17</v>
      </c>
      <c r="F760">
        <v>70</v>
      </c>
      <c r="G760">
        <v>1</v>
      </c>
      <c r="H760" t="s">
        <v>12</v>
      </c>
      <c r="I760">
        <v>78</v>
      </c>
      <c r="J760" t="b">
        <v>1</v>
      </c>
    </row>
    <row r="761" spans="1:10" x14ac:dyDescent="0.3">
      <c r="A761">
        <v>760</v>
      </c>
      <c r="B761" t="s">
        <v>746</v>
      </c>
      <c r="C761" t="s">
        <v>14</v>
      </c>
      <c r="D761">
        <v>85.510416666666671</v>
      </c>
      <c r="E761">
        <v>8</v>
      </c>
      <c r="F761">
        <v>65</v>
      </c>
      <c r="G761">
        <v>0</v>
      </c>
      <c r="H761" t="s">
        <v>12</v>
      </c>
      <c r="I761">
        <v>80.030208333333334</v>
      </c>
      <c r="J761" t="b">
        <v>1</v>
      </c>
    </row>
    <row r="762" spans="1:10" x14ac:dyDescent="0.3">
      <c r="A762">
        <v>761</v>
      </c>
      <c r="B762" t="s">
        <v>747</v>
      </c>
      <c r="C762" t="s">
        <v>14</v>
      </c>
      <c r="D762">
        <v>70</v>
      </c>
      <c r="E762">
        <v>8</v>
      </c>
      <c r="F762">
        <v>77.598759048603924</v>
      </c>
      <c r="G762">
        <v>2</v>
      </c>
      <c r="H762" t="s">
        <v>17</v>
      </c>
      <c r="I762">
        <v>90</v>
      </c>
      <c r="J762" t="b">
        <v>0</v>
      </c>
    </row>
    <row r="763" spans="1:10" x14ac:dyDescent="0.3">
      <c r="A763">
        <v>762</v>
      </c>
      <c r="B763" t="s">
        <v>748</v>
      </c>
      <c r="C763" t="s">
        <v>11</v>
      </c>
      <c r="D763">
        <v>70</v>
      </c>
      <c r="E763">
        <v>17</v>
      </c>
      <c r="F763">
        <v>90</v>
      </c>
      <c r="G763">
        <v>2</v>
      </c>
      <c r="H763" t="s">
        <v>17</v>
      </c>
      <c r="I763">
        <v>88</v>
      </c>
      <c r="J763" t="b">
        <v>0</v>
      </c>
    </row>
    <row r="764" spans="1:10" x14ac:dyDescent="0.3">
      <c r="A764">
        <v>763</v>
      </c>
      <c r="B764" t="s">
        <v>749</v>
      </c>
      <c r="C764" t="s">
        <v>11</v>
      </c>
      <c r="D764">
        <v>88</v>
      </c>
      <c r="E764">
        <v>20</v>
      </c>
      <c r="F764">
        <v>78</v>
      </c>
      <c r="G764">
        <v>2</v>
      </c>
      <c r="H764" t="s">
        <v>15</v>
      </c>
      <c r="I764">
        <v>62</v>
      </c>
      <c r="J764" t="b">
        <v>1</v>
      </c>
    </row>
    <row r="765" spans="1:10" x14ac:dyDescent="0.3">
      <c r="A765">
        <v>764</v>
      </c>
      <c r="B765" t="s">
        <v>750</v>
      </c>
      <c r="C765" t="s">
        <v>14</v>
      </c>
      <c r="D765">
        <v>92</v>
      </c>
      <c r="E765">
        <v>20</v>
      </c>
      <c r="F765">
        <v>70</v>
      </c>
      <c r="G765">
        <v>2</v>
      </c>
      <c r="H765" t="s">
        <v>15</v>
      </c>
      <c r="I765">
        <v>72</v>
      </c>
      <c r="J765" t="b">
        <v>1</v>
      </c>
    </row>
    <row r="766" spans="1:10" x14ac:dyDescent="0.3">
      <c r="A766">
        <v>765</v>
      </c>
      <c r="B766" t="s">
        <v>751</v>
      </c>
      <c r="C766" t="s">
        <v>11</v>
      </c>
      <c r="D766">
        <v>82</v>
      </c>
      <c r="E766">
        <v>22</v>
      </c>
      <c r="F766">
        <v>82</v>
      </c>
      <c r="G766">
        <v>3</v>
      </c>
      <c r="H766" t="s">
        <v>15</v>
      </c>
      <c r="I766">
        <v>62</v>
      </c>
      <c r="J766" t="b">
        <v>1</v>
      </c>
    </row>
    <row r="767" spans="1:10" x14ac:dyDescent="0.3">
      <c r="A767">
        <v>766</v>
      </c>
      <c r="B767" t="s">
        <v>752</v>
      </c>
      <c r="C767" t="s">
        <v>14</v>
      </c>
      <c r="D767">
        <v>82</v>
      </c>
      <c r="E767">
        <v>30</v>
      </c>
      <c r="F767">
        <v>85</v>
      </c>
      <c r="G767">
        <v>1</v>
      </c>
      <c r="H767" t="s">
        <v>17</v>
      </c>
      <c r="I767">
        <v>87</v>
      </c>
      <c r="J767" t="b">
        <v>1</v>
      </c>
    </row>
    <row r="768" spans="1:10" x14ac:dyDescent="0.3">
      <c r="A768">
        <v>767</v>
      </c>
      <c r="B768" t="s">
        <v>753</v>
      </c>
      <c r="C768" t="s">
        <v>14</v>
      </c>
      <c r="D768">
        <v>92</v>
      </c>
      <c r="E768">
        <v>22</v>
      </c>
      <c r="F768">
        <v>86</v>
      </c>
      <c r="G768">
        <v>2</v>
      </c>
      <c r="H768" t="s">
        <v>17</v>
      </c>
      <c r="I768">
        <v>92</v>
      </c>
      <c r="J768" t="b">
        <v>1</v>
      </c>
    </row>
    <row r="769" spans="1:10" x14ac:dyDescent="0.3">
      <c r="A769">
        <v>768</v>
      </c>
      <c r="B769" t="s">
        <v>754</v>
      </c>
      <c r="C769" t="s">
        <v>977</v>
      </c>
      <c r="D769">
        <v>90</v>
      </c>
      <c r="E769">
        <v>30</v>
      </c>
      <c r="F769">
        <v>70</v>
      </c>
      <c r="G769">
        <v>3</v>
      </c>
      <c r="H769" t="s">
        <v>12</v>
      </c>
      <c r="I769">
        <v>90</v>
      </c>
      <c r="J769" t="b">
        <v>0</v>
      </c>
    </row>
    <row r="770" spans="1:10" x14ac:dyDescent="0.3">
      <c r="A770">
        <v>769</v>
      </c>
      <c r="B770" t="s">
        <v>755</v>
      </c>
      <c r="C770" t="s">
        <v>11</v>
      </c>
      <c r="D770">
        <v>90</v>
      </c>
      <c r="E770">
        <v>15</v>
      </c>
      <c r="F770">
        <v>60</v>
      </c>
      <c r="G770">
        <v>0</v>
      </c>
      <c r="H770" t="s">
        <v>15</v>
      </c>
      <c r="I770">
        <v>92</v>
      </c>
      <c r="J770" t="b">
        <v>0</v>
      </c>
    </row>
    <row r="771" spans="1:10" x14ac:dyDescent="0.3">
      <c r="A771">
        <v>770</v>
      </c>
      <c r="B771" t="s">
        <v>756</v>
      </c>
      <c r="C771" t="s">
        <v>977</v>
      </c>
      <c r="D771">
        <v>88</v>
      </c>
      <c r="E771">
        <v>22</v>
      </c>
      <c r="F771">
        <v>77</v>
      </c>
      <c r="G771">
        <v>0</v>
      </c>
      <c r="H771" t="s">
        <v>15</v>
      </c>
      <c r="I771">
        <v>78</v>
      </c>
      <c r="J771" t="b">
        <v>1</v>
      </c>
    </row>
    <row r="772" spans="1:10" x14ac:dyDescent="0.3">
      <c r="A772">
        <v>771</v>
      </c>
      <c r="B772" t="s">
        <v>757</v>
      </c>
      <c r="C772" t="s">
        <v>11</v>
      </c>
      <c r="D772">
        <v>85</v>
      </c>
      <c r="E772">
        <v>17</v>
      </c>
      <c r="F772">
        <v>65</v>
      </c>
      <c r="G772">
        <v>2</v>
      </c>
      <c r="H772" t="s">
        <v>17</v>
      </c>
      <c r="I772">
        <v>87</v>
      </c>
      <c r="J772" t="b">
        <v>0</v>
      </c>
    </row>
    <row r="773" spans="1:10" x14ac:dyDescent="0.3">
      <c r="A773">
        <v>772</v>
      </c>
      <c r="B773" t="s">
        <v>758</v>
      </c>
      <c r="C773" t="s">
        <v>11</v>
      </c>
      <c r="D773">
        <v>82</v>
      </c>
      <c r="E773">
        <v>30</v>
      </c>
      <c r="F773">
        <v>85</v>
      </c>
      <c r="G773">
        <v>3</v>
      </c>
      <c r="H773" t="s">
        <v>15</v>
      </c>
      <c r="I773">
        <v>87</v>
      </c>
      <c r="J773" t="b">
        <v>0</v>
      </c>
    </row>
    <row r="774" spans="1:10" x14ac:dyDescent="0.3">
      <c r="A774">
        <v>773</v>
      </c>
      <c r="B774" t="s">
        <v>759</v>
      </c>
      <c r="C774" t="s">
        <v>11</v>
      </c>
      <c r="D774">
        <v>90</v>
      </c>
      <c r="E774">
        <v>30</v>
      </c>
      <c r="F774">
        <v>82</v>
      </c>
      <c r="G774">
        <v>1</v>
      </c>
      <c r="H774" t="s">
        <v>15</v>
      </c>
      <c r="I774">
        <v>85</v>
      </c>
      <c r="J774" t="b">
        <v>1</v>
      </c>
    </row>
    <row r="775" spans="1:10" x14ac:dyDescent="0.3">
      <c r="A775">
        <v>774</v>
      </c>
      <c r="B775" t="s">
        <v>760</v>
      </c>
      <c r="C775" t="s">
        <v>14</v>
      </c>
      <c r="D775">
        <v>85</v>
      </c>
      <c r="E775">
        <v>18</v>
      </c>
      <c r="F775">
        <v>82</v>
      </c>
      <c r="G775">
        <v>3</v>
      </c>
      <c r="H775" t="s">
        <v>12</v>
      </c>
      <c r="I775">
        <v>78</v>
      </c>
      <c r="J775" t="b">
        <v>0</v>
      </c>
    </row>
    <row r="776" spans="1:10" x14ac:dyDescent="0.3">
      <c r="A776">
        <v>775</v>
      </c>
      <c r="B776" t="s">
        <v>761</v>
      </c>
      <c r="C776" t="s">
        <v>11</v>
      </c>
      <c r="D776">
        <v>70</v>
      </c>
      <c r="E776">
        <v>17</v>
      </c>
      <c r="F776">
        <v>86</v>
      </c>
      <c r="G776">
        <v>2</v>
      </c>
      <c r="H776" t="s">
        <v>17</v>
      </c>
      <c r="I776">
        <v>78</v>
      </c>
      <c r="J776" t="b">
        <v>0</v>
      </c>
    </row>
    <row r="777" spans="1:10" x14ac:dyDescent="0.3">
      <c r="A777">
        <v>776</v>
      </c>
      <c r="B777" t="s">
        <v>762</v>
      </c>
      <c r="C777" t="s">
        <v>11</v>
      </c>
      <c r="D777">
        <v>78</v>
      </c>
      <c r="E777">
        <v>12</v>
      </c>
      <c r="F777">
        <v>77</v>
      </c>
      <c r="G777">
        <v>1</v>
      </c>
      <c r="H777" t="s">
        <v>17</v>
      </c>
      <c r="I777">
        <v>78</v>
      </c>
      <c r="J777" t="b">
        <v>0</v>
      </c>
    </row>
    <row r="778" spans="1:10" x14ac:dyDescent="0.3">
      <c r="A778">
        <v>777</v>
      </c>
      <c r="B778" t="s">
        <v>763</v>
      </c>
      <c r="C778" t="s">
        <v>14</v>
      </c>
      <c r="D778">
        <v>70</v>
      </c>
      <c r="E778">
        <v>25</v>
      </c>
      <c r="F778">
        <v>60</v>
      </c>
      <c r="G778">
        <v>1</v>
      </c>
      <c r="H778" t="s">
        <v>17</v>
      </c>
      <c r="I778">
        <v>80</v>
      </c>
      <c r="J778" t="b">
        <v>0</v>
      </c>
    </row>
    <row r="779" spans="1:10" x14ac:dyDescent="0.3">
      <c r="A779">
        <v>778</v>
      </c>
      <c r="B779" t="s">
        <v>764</v>
      </c>
      <c r="C779" t="s">
        <v>11</v>
      </c>
      <c r="D779">
        <v>85</v>
      </c>
      <c r="E779">
        <v>22</v>
      </c>
      <c r="F779">
        <v>82</v>
      </c>
      <c r="G779">
        <v>2</v>
      </c>
      <c r="H779" t="s">
        <v>17</v>
      </c>
      <c r="I779">
        <v>87</v>
      </c>
      <c r="J779" t="b">
        <v>1</v>
      </c>
    </row>
    <row r="780" spans="1:10" x14ac:dyDescent="0.3">
      <c r="A780">
        <v>779</v>
      </c>
      <c r="B780" t="s">
        <v>765</v>
      </c>
      <c r="C780" t="s">
        <v>11</v>
      </c>
      <c r="D780">
        <v>91</v>
      </c>
      <c r="E780">
        <v>12</v>
      </c>
      <c r="F780">
        <v>90</v>
      </c>
      <c r="G780">
        <v>1</v>
      </c>
      <c r="H780" t="s">
        <v>17</v>
      </c>
      <c r="I780">
        <v>80</v>
      </c>
      <c r="J780" t="b">
        <v>1</v>
      </c>
    </row>
    <row r="781" spans="1:10" x14ac:dyDescent="0.3">
      <c r="A781">
        <v>780</v>
      </c>
      <c r="B781" t="s">
        <v>766</v>
      </c>
      <c r="C781" t="s">
        <v>14</v>
      </c>
      <c r="D781">
        <v>92</v>
      </c>
      <c r="E781">
        <v>25</v>
      </c>
      <c r="F781">
        <v>86</v>
      </c>
      <c r="G781">
        <v>1</v>
      </c>
      <c r="H781" t="s">
        <v>12</v>
      </c>
      <c r="I781">
        <v>80.030208333333334</v>
      </c>
      <c r="J781" t="b">
        <v>1</v>
      </c>
    </row>
    <row r="782" spans="1:10" x14ac:dyDescent="0.3">
      <c r="A782">
        <v>781</v>
      </c>
      <c r="B782" t="s">
        <v>767</v>
      </c>
      <c r="C782" t="s">
        <v>11</v>
      </c>
      <c r="D782">
        <v>95</v>
      </c>
      <c r="E782">
        <v>17.630526315789474</v>
      </c>
      <c r="F782">
        <v>65</v>
      </c>
      <c r="G782">
        <v>0</v>
      </c>
      <c r="H782" t="s">
        <v>12</v>
      </c>
      <c r="I782">
        <v>72</v>
      </c>
      <c r="J782" t="b">
        <v>1</v>
      </c>
    </row>
    <row r="783" spans="1:10" x14ac:dyDescent="0.3">
      <c r="A783">
        <v>782</v>
      </c>
      <c r="B783" t="s">
        <v>768</v>
      </c>
      <c r="C783" t="s">
        <v>11</v>
      </c>
      <c r="D783">
        <v>82</v>
      </c>
      <c r="E783">
        <v>10</v>
      </c>
      <c r="F783">
        <v>82</v>
      </c>
      <c r="G783">
        <v>0</v>
      </c>
      <c r="H783" t="s">
        <v>12</v>
      </c>
      <c r="I783">
        <v>85</v>
      </c>
      <c r="J783" t="b">
        <v>0</v>
      </c>
    </row>
    <row r="784" spans="1:10" x14ac:dyDescent="0.3">
      <c r="A784">
        <v>783</v>
      </c>
      <c r="B784" t="s">
        <v>769</v>
      </c>
      <c r="C784" t="s">
        <v>11</v>
      </c>
      <c r="D784">
        <v>85</v>
      </c>
      <c r="E784">
        <v>22</v>
      </c>
      <c r="F784">
        <v>88</v>
      </c>
      <c r="G784">
        <v>0</v>
      </c>
      <c r="H784" t="s">
        <v>12</v>
      </c>
      <c r="I784">
        <v>80</v>
      </c>
      <c r="J784" t="b">
        <v>0</v>
      </c>
    </row>
    <row r="785" spans="1:10" x14ac:dyDescent="0.3">
      <c r="A785">
        <v>784</v>
      </c>
      <c r="B785" t="s">
        <v>977</v>
      </c>
      <c r="C785" t="s">
        <v>14</v>
      </c>
      <c r="D785">
        <v>95</v>
      </c>
      <c r="E785">
        <v>18</v>
      </c>
      <c r="F785">
        <v>60</v>
      </c>
      <c r="G785">
        <v>2</v>
      </c>
      <c r="H785" t="s">
        <v>12</v>
      </c>
      <c r="I785">
        <v>92</v>
      </c>
      <c r="J785" t="b">
        <v>1</v>
      </c>
    </row>
    <row r="786" spans="1:10" x14ac:dyDescent="0.3">
      <c r="A786">
        <v>785</v>
      </c>
      <c r="B786" t="s">
        <v>770</v>
      </c>
      <c r="C786" t="s">
        <v>14</v>
      </c>
      <c r="D786">
        <v>90</v>
      </c>
      <c r="E786">
        <v>18</v>
      </c>
      <c r="F786">
        <v>78</v>
      </c>
      <c r="G786">
        <v>1</v>
      </c>
      <c r="H786" t="s">
        <v>15</v>
      </c>
      <c r="I786">
        <v>72</v>
      </c>
      <c r="J786" t="b">
        <v>1</v>
      </c>
    </row>
    <row r="787" spans="1:10" x14ac:dyDescent="0.3">
      <c r="A787">
        <v>786</v>
      </c>
      <c r="B787" t="s">
        <v>771</v>
      </c>
      <c r="C787" t="s">
        <v>11</v>
      </c>
      <c r="D787">
        <v>85</v>
      </c>
      <c r="E787">
        <v>18</v>
      </c>
      <c r="F787">
        <v>70</v>
      </c>
      <c r="G787">
        <v>3</v>
      </c>
      <c r="H787" t="s">
        <v>17</v>
      </c>
      <c r="I787">
        <v>87</v>
      </c>
      <c r="J787" t="b">
        <v>1</v>
      </c>
    </row>
    <row r="788" spans="1:10" x14ac:dyDescent="0.3">
      <c r="A788">
        <v>787</v>
      </c>
      <c r="B788" t="s">
        <v>772</v>
      </c>
      <c r="C788" t="s">
        <v>14</v>
      </c>
      <c r="D788">
        <v>85</v>
      </c>
      <c r="E788">
        <v>20</v>
      </c>
      <c r="F788">
        <v>70</v>
      </c>
      <c r="G788">
        <v>3</v>
      </c>
      <c r="H788" t="s">
        <v>12</v>
      </c>
      <c r="I788">
        <v>90</v>
      </c>
      <c r="J788" t="b">
        <v>1</v>
      </c>
    </row>
    <row r="789" spans="1:10" x14ac:dyDescent="0.3">
      <c r="A789">
        <v>788</v>
      </c>
      <c r="B789" t="s">
        <v>773</v>
      </c>
      <c r="C789" t="s">
        <v>14</v>
      </c>
      <c r="D789">
        <v>82</v>
      </c>
      <c r="E789">
        <v>17</v>
      </c>
      <c r="F789">
        <v>78</v>
      </c>
      <c r="G789">
        <v>1</v>
      </c>
      <c r="H789" t="s">
        <v>15</v>
      </c>
      <c r="I789">
        <v>88</v>
      </c>
      <c r="J789" t="b">
        <v>1</v>
      </c>
    </row>
    <row r="790" spans="1:10" x14ac:dyDescent="0.3">
      <c r="A790">
        <v>789</v>
      </c>
      <c r="B790" t="s">
        <v>774</v>
      </c>
      <c r="C790" t="s">
        <v>14</v>
      </c>
      <c r="D790">
        <v>88</v>
      </c>
      <c r="E790">
        <v>22</v>
      </c>
      <c r="F790">
        <v>77.598759048603924</v>
      </c>
      <c r="G790">
        <v>1</v>
      </c>
      <c r="H790" t="s">
        <v>15</v>
      </c>
      <c r="I790">
        <v>92</v>
      </c>
      <c r="J790" t="b">
        <v>0</v>
      </c>
    </row>
    <row r="791" spans="1:10" x14ac:dyDescent="0.3">
      <c r="A791">
        <v>790</v>
      </c>
      <c r="B791" t="s">
        <v>775</v>
      </c>
      <c r="C791" t="s">
        <v>11</v>
      </c>
      <c r="D791">
        <v>82</v>
      </c>
      <c r="E791">
        <v>22</v>
      </c>
      <c r="F791">
        <v>85</v>
      </c>
      <c r="G791">
        <v>2</v>
      </c>
      <c r="H791" t="s">
        <v>12</v>
      </c>
      <c r="I791">
        <v>62</v>
      </c>
      <c r="J791" t="b">
        <v>0</v>
      </c>
    </row>
    <row r="792" spans="1:10" x14ac:dyDescent="0.3">
      <c r="A792">
        <v>791</v>
      </c>
      <c r="B792" t="s">
        <v>776</v>
      </c>
      <c r="C792" t="s">
        <v>11</v>
      </c>
      <c r="D792">
        <v>91</v>
      </c>
      <c r="E792">
        <v>12</v>
      </c>
      <c r="F792">
        <v>88</v>
      </c>
      <c r="G792">
        <v>1</v>
      </c>
      <c r="H792" t="s">
        <v>17</v>
      </c>
      <c r="I792">
        <v>85</v>
      </c>
      <c r="J792" t="b">
        <v>0</v>
      </c>
    </row>
    <row r="793" spans="1:10" x14ac:dyDescent="0.3">
      <c r="A793">
        <v>792</v>
      </c>
      <c r="B793" t="s">
        <v>777</v>
      </c>
      <c r="C793" t="s">
        <v>11</v>
      </c>
      <c r="D793">
        <v>95</v>
      </c>
      <c r="E793">
        <v>30</v>
      </c>
      <c r="F793">
        <v>90</v>
      </c>
      <c r="G793">
        <v>1</v>
      </c>
      <c r="H793" t="s">
        <v>17</v>
      </c>
      <c r="I793">
        <v>90</v>
      </c>
      <c r="J793" t="b">
        <v>1</v>
      </c>
    </row>
    <row r="794" spans="1:10" x14ac:dyDescent="0.3">
      <c r="A794">
        <v>793</v>
      </c>
      <c r="B794" t="s">
        <v>778</v>
      </c>
      <c r="C794" t="s">
        <v>14</v>
      </c>
      <c r="D794">
        <v>85</v>
      </c>
      <c r="E794">
        <v>15</v>
      </c>
      <c r="F794">
        <v>65</v>
      </c>
      <c r="G794">
        <v>0</v>
      </c>
      <c r="H794" t="s">
        <v>17</v>
      </c>
      <c r="I794">
        <v>78</v>
      </c>
      <c r="J794" t="b">
        <v>1</v>
      </c>
    </row>
    <row r="795" spans="1:10" x14ac:dyDescent="0.3">
      <c r="A795">
        <v>794</v>
      </c>
      <c r="B795" t="s">
        <v>779</v>
      </c>
      <c r="C795" t="s">
        <v>11</v>
      </c>
      <c r="D795">
        <v>85</v>
      </c>
      <c r="E795">
        <v>20</v>
      </c>
      <c r="F795">
        <v>88</v>
      </c>
      <c r="G795">
        <v>0</v>
      </c>
      <c r="H795" t="s">
        <v>17</v>
      </c>
      <c r="I795">
        <v>90</v>
      </c>
      <c r="J795" t="b">
        <v>1</v>
      </c>
    </row>
    <row r="796" spans="1:10" x14ac:dyDescent="0.3">
      <c r="A796">
        <v>795</v>
      </c>
      <c r="B796" t="s">
        <v>780</v>
      </c>
      <c r="C796" t="s">
        <v>14</v>
      </c>
      <c r="D796">
        <v>95</v>
      </c>
      <c r="E796">
        <v>25</v>
      </c>
      <c r="F796">
        <v>77</v>
      </c>
      <c r="G796">
        <v>1</v>
      </c>
      <c r="H796" t="s">
        <v>12</v>
      </c>
      <c r="I796">
        <v>80</v>
      </c>
      <c r="J796" t="b">
        <v>0</v>
      </c>
    </row>
    <row r="797" spans="1:10" x14ac:dyDescent="0.3">
      <c r="A797">
        <v>796</v>
      </c>
      <c r="B797" t="s">
        <v>781</v>
      </c>
      <c r="C797" t="s">
        <v>977</v>
      </c>
      <c r="D797">
        <v>91</v>
      </c>
      <c r="E797">
        <v>18</v>
      </c>
      <c r="F797">
        <v>90</v>
      </c>
      <c r="G797">
        <v>3</v>
      </c>
      <c r="H797" t="s">
        <v>15</v>
      </c>
      <c r="I797">
        <v>90</v>
      </c>
      <c r="J797" t="b">
        <v>1</v>
      </c>
    </row>
    <row r="798" spans="1:10" x14ac:dyDescent="0.3">
      <c r="A798">
        <v>797</v>
      </c>
      <c r="B798" t="s">
        <v>782</v>
      </c>
      <c r="C798" t="s">
        <v>11</v>
      </c>
      <c r="D798">
        <v>70</v>
      </c>
      <c r="E798">
        <v>20</v>
      </c>
      <c r="F798">
        <v>77.598759048603924</v>
      </c>
      <c r="G798">
        <v>3</v>
      </c>
      <c r="H798" t="s">
        <v>17</v>
      </c>
      <c r="I798">
        <v>78</v>
      </c>
      <c r="J798" t="b">
        <v>1</v>
      </c>
    </row>
    <row r="799" spans="1:10" x14ac:dyDescent="0.3">
      <c r="A799">
        <v>798</v>
      </c>
      <c r="B799" t="s">
        <v>783</v>
      </c>
      <c r="C799" t="s">
        <v>11</v>
      </c>
      <c r="D799">
        <v>90</v>
      </c>
      <c r="E799">
        <v>10</v>
      </c>
      <c r="F799">
        <v>82</v>
      </c>
      <c r="G799">
        <v>3</v>
      </c>
      <c r="H799" t="s">
        <v>12</v>
      </c>
      <c r="I799">
        <v>72</v>
      </c>
      <c r="J799" t="b">
        <v>1</v>
      </c>
    </row>
    <row r="800" spans="1:10" x14ac:dyDescent="0.3">
      <c r="A800">
        <v>799</v>
      </c>
      <c r="B800" t="s">
        <v>784</v>
      </c>
      <c r="C800" t="s">
        <v>14</v>
      </c>
      <c r="D800">
        <v>82</v>
      </c>
      <c r="E800">
        <v>17</v>
      </c>
      <c r="F800">
        <v>78</v>
      </c>
      <c r="G800">
        <v>1</v>
      </c>
      <c r="H800" t="s">
        <v>17</v>
      </c>
      <c r="I800">
        <v>80</v>
      </c>
      <c r="J800" t="b">
        <v>0</v>
      </c>
    </row>
    <row r="801" spans="1:10" x14ac:dyDescent="0.3">
      <c r="A801">
        <v>800</v>
      </c>
      <c r="B801" t="s">
        <v>785</v>
      </c>
      <c r="C801" t="s">
        <v>14</v>
      </c>
      <c r="D801">
        <v>90</v>
      </c>
      <c r="E801">
        <v>12</v>
      </c>
      <c r="F801">
        <v>77</v>
      </c>
      <c r="G801">
        <v>1</v>
      </c>
      <c r="H801" t="s">
        <v>15</v>
      </c>
      <c r="I801">
        <v>72</v>
      </c>
      <c r="J801" t="b">
        <v>1</v>
      </c>
    </row>
    <row r="802" spans="1:10" x14ac:dyDescent="0.3">
      <c r="A802">
        <v>801</v>
      </c>
      <c r="B802" t="s">
        <v>786</v>
      </c>
      <c r="C802" t="s">
        <v>14</v>
      </c>
      <c r="D802">
        <v>85.510416666666671</v>
      </c>
      <c r="E802">
        <v>12</v>
      </c>
      <c r="F802">
        <v>77</v>
      </c>
      <c r="G802">
        <v>1</v>
      </c>
      <c r="H802" t="s">
        <v>12</v>
      </c>
      <c r="I802">
        <v>62</v>
      </c>
      <c r="J802" t="b">
        <v>1</v>
      </c>
    </row>
    <row r="803" spans="1:10" x14ac:dyDescent="0.3">
      <c r="A803">
        <v>802</v>
      </c>
      <c r="B803" t="s">
        <v>787</v>
      </c>
      <c r="C803" t="s">
        <v>14</v>
      </c>
      <c r="D803">
        <v>90</v>
      </c>
      <c r="E803">
        <v>25</v>
      </c>
      <c r="F803">
        <v>90</v>
      </c>
      <c r="G803">
        <v>0</v>
      </c>
      <c r="H803" t="s">
        <v>15</v>
      </c>
      <c r="I803">
        <v>85</v>
      </c>
      <c r="J803" t="b">
        <v>1</v>
      </c>
    </row>
    <row r="804" spans="1:10" x14ac:dyDescent="0.3">
      <c r="A804">
        <v>803</v>
      </c>
      <c r="B804" t="s">
        <v>788</v>
      </c>
      <c r="C804" t="s">
        <v>14</v>
      </c>
      <c r="D804">
        <v>70</v>
      </c>
      <c r="E804">
        <v>15</v>
      </c>
      <c r="F804">
        <v>86</v>
      </c>
      <c r="G804">
        <v>1</v>
      </c>
      <c r="H804" t="s">
        <v>15</v>
      </c>
      <c r="I804">
        <v>92</v>
      </c>
      <c r="J804" t="b">
        <v>0</v>
      </c>
    </row>
    <row r="805" spans="1:10" x14ac:dyDescent="0.3">
      <c r="A805">
        <v>804</v>
      </c>
      <c r="B805" t="s">
        <v>789</v>
      </c>
      <c r="C805" t="s">
        <v>14</v>
      </c>
      <c r="D805">
        <v>85.510416666666671</v>
      </c>
      <c r="E805">
        <v>17.630526315789474</v>
      </c>
      <c r="F805">
        <v>85</v>
      </c>
      <c r="G805">
        <v>3</v>
      </c>
      <c r="H805" t="s">
        <v>17</v>
      </c>
      <c r="I805">
        <v>78</v>
      </c>
      <c r="J805" t="b">
        <v>0</v>
      </c>
    </row>
    <row r="806" spans="1:10" x14ac:dyDescent="0.3">
      <c r="A806">
        <v>805</v>
      </c>
      <c r="B806" t="s">
        <v>790</v>
      </c>
      <c r="C806" t="s">
        <v>11</v>
      </c>
      <c r="D806">
        <v>85</v>
      </c>
      <c r="E806">
        <v>15</v>
      </c>
      <c r="F806">
        <v>60</v>
      </c>
      <c r="G806">
        <v>1</v>
      </c>
      <c r="H806" t="s">
        <v>17</v>
      </c>
      <c r="I806">
        <v>87</v>
      </c>
      <c r="J806" t="b">
        <v>0</v>
      </c>
    </row>
    <row r="807" spans="1:10" x14ac:dyDescent="0.3">
      <c r="A807">
        <v>806</v>
      </c>
      <c r="B807" t="s">
        <v>791</v>
      </c>
      <c r="C807" t="s">
        <v>14</v>
      </c>
      <c r="D807">
        <v>91</v>
      </c>
      <c r="E807">
        <v>8</v>
      </c>
      <c r="F807">
        <v>85</v>
      </c>
      <c r="G807">
        <v>2</v>
      </c>
      <c r="H807" t="s">
        <v>17</v>
      </c>
      <c r="I807">
        <v>80</v>
      </c>
      <c r="J807" t="b">
        <v>0</v>
      </c>
    </row>
    <row r="808" spans="1:10" x14ac:dyDescent="0.3">
      <c r="A808">
        <v>807</v>
      </c>
      <c r="B808" t="s">
        <v>792</v>
      </c>
      <c r="C808" t="s">
        <v>11</v>
      </c>
      <c r="D808">
        <v>91</v>
      </c>
      <c r="E808">
        <v>8</v>
      </c>
      <c r="F808">
        <v>90</v>
      </c>
      <c r="G808">
        <v>3</v>
      </c>
      <c r="H808" t="s">
        <v>17</v>
      </c>
      <c r="I808">
        <v>88</v>
      </c>
      <c r="J808" t="b">
        <v>0</v>
      </c>
    </row>
    <row r="809" spans="1:10" x14ac:dyDescent="0.3">
      <c r="A809">
        <v>808</v>
      </c>
      <c r="B809" t="s">
        <v>793</v>
      </c>
      <c r="C809" t="s">
        <v>11</v>
      </c>
      <c r="D809">
        <v>95</v>
      </c>
      <c r="E809">
        <v>15</v>
      </c>
      <c r="F809">
        <v>77</v>
      </c>
      <c r="G809">
        <v>2</v>
      </c>
      <c r="H809" t="s">
        <v>15</v>
      </c>
      <c r="I809">
        <v>88</v>
      </c>
      <c r="J809" t="b">
        <v>1</v>
      </c>
    </row>
    <row r="810" spans="1:10" x14ac:dyDescent="0.3">
      <c r="A810">
        <v>809</v>
      </c>
      <c r="B810" t="s">
        <v>794</v>
      </c>
      <c r="C810" t="s">
        <v>11</v>
      </c>
      <c r="D810">
        <v>91</v>
      </c>
      <c r="E810">
        <v>10</v>
      </c>
      <c r="F810">
        <v>70</v>
      </c>
      <c r="G810">
        <v>2</v>
      </c>
      <c r="H810" t="s">
        <v>15</v>
      </c>
      <c r="I810">
        <v>62</v>
      </c>
      <c r="J810" t="b">
        <v>0</v>
      </c>
    </row>
    <row r="811" spans="1:10" x14ac:dyDescent="0.3">
      <c r="A811">
        <v>810</v>
      </c>
      <c r="B811" t="s">
        <v>795</v>
      </c>
      <c r="C811" t="s">
        <v>11</v>
      </c>
      <c r="D811">
        <v>85.510416666666671</v>
      </c>
      <c r="E811">
        <v>15</v>
      </c>
      <c r="F811">
        <v>78</v>
      </c>
      <c r="G811">
        <v>0</v>
      </c>
      <c r="H811" t="s">
        <v>15</v>
      </c>
      <c r="I811">
        <v>88</v>
      </c>
      <c r="J811" t="b">
        <v>1</v>
      </c>
    </row>
    <row r="812" spans="1:10" x14ac:dyDescent="0.3">
      <c r="A812">
        <v>811</v>
      </c>
      <c r="B812" t="s">
        <v>796</v>
      </c>
      <c r="C812" t="s">
        <v>11</v>
      </c>
      <c r="D812">
        <v>78</v>
      </c>
      <c r="E812">
        <v>17</v>
      </c>
      <c r="F812">
        <v>82</v>
      </c>
      <c r="G812">
        <v>3</v>
      </c>
      <c r="H812" t="s">
        <v>15</v>
      </c>
      <c r="I812">
        <v>85</v>
      </c>
      <c r="J812" t="b">
        <v>1</v>
      </c>
    </row>
    <row r="813" spans="1:10" x14ac:dyDescent="0.3">
      <c r="A813">
        <v>812</v>
      </c>
      <c r="B813" t="s">
        <v>797</v>
      </c>
      <c r="C813" t="s">
        <v>11</v>
      </c>
      <c r="D813">
        <v>82</v>
      </c>
      <c r="E813">
        <v>12</v>
      </c>
      <c r="F813">
        <v>78</v>
      </c>
      <c r="G813">
        <v>0</v>
      </c>
      <c r="H813" t="s">
        <v>15</v>
      </c>
      <c r="I813">
        <v>92</v>
      </c>
      <c r="J813" t="b">
        <v>1</v>
      </c>
    </row>
    <row r="814" spans="1:10" x14ac:dyDescent="0.3">
      <c r="A814">
        <v>813</v>
      </c>
      <c r="B814" t="s">
        <v>124</v>
      </c>
      <c r="C814" t="s">
        <v>977</v>
      </c>
      <c r="D814">
        <v>92</v>
      </c>
      <c r="E814">
        <v>17</v>
      </c>
      <c r="F814">
        <v>77</v>
      </c>
      <c r="G814">
        <v>3</v>
      </c>
      <c r="H814" t="s">
        <v>17</v>
      </c>
      <c r="I814">
        <v>90</v>
      </c>
      <c r="J814" t="b">
        <v>0</v>
      </c>
    </row>
    <row r="815" spans="1:10" x14ac:dyDescent="0.3">
      <c r="A815">
        <v>814</v>
      </c>
      <c r="B815" t="s">
        <v>798</v>
      </c>
      <c r="C815" t="s">
        <v>14</v>
      </c>
      <c r="D815">
        <v>95</v>
      </c>
      <c r="E815">
        <v>10</v>
      </c>
      <c r="F815">
        <v>85</v>
      </c>
      <c r="G815">
        <v>1</v>
      </c>
      <c r="H815" t="s">
        <v>12</v>
      </c>
      <c r="I815">
        <v>78</v>
      </c>
      <c r="J815" t="b">
        <v>1</v>
      </c>
    </row>
    <row r="816" spans="1:10" x14ac:dyDescent="0.3">
      <c r="A816">
        <v>815</v>
      </c>
      <c r="B816" t="s">
        <v>799</v>
      </c>
      <c r="C816" t="s">
        <v>14</v>
      </c>
      <c r="D816">
        <v>85.510416666666671</v>
      </c>
      <c r="E816">
        <v>25</v>
      </c>
      <c r="F816">
        <v>90</v>
      </c>
      <c r="G816">
        <v>1</v>
      </c>
      <c r="H816" t="s">
        <v>17</v>
      </c>
      <c r="I816">
        <v>90</v>
      </c>
      <c r="J816" t="b">
        <v>1</v>
      </c>
    </row>
    <row r="817" spans="1:10" x14ac:dyDescent="0.3">
      <c r="A817">
        <v>816</v>
      </c>
      <c r="B817" t="s">
        <v>800</v>
      </c>
      <c r="C817" t="s">
        <v>11</v>
      </c>
      <c r="D817">
        <v>85</v>
      </c>
      <c r="E817">
        <v>30</v>
      </c>
      <c r="F817">
        <v>78</v>
      </c>
      <c r="G817">
        <v>2</v>
      </c>
      <c r="H817" t="s">
        <v>15</v>
      </c>
      <c r="I817">
        <v>80</v>
      </c>
      <c r="J817" t="b">
        <v>0</v>
      </c>
    </row>
    <row r="818" spans="1:10" x14ac:dyDescent="0.3">
      <c r="A818">
        <v>817</v>
      </c>
      <c r="B818" t="s">
        <v>801</v>
      </c>
      <c r="C818" t="s">
        <v>11</v>
      </c>
      <c r="D818">
        <v>91</v>
      </c>
      <c r="E818">
        <v>30</v>
      </c>
      <c r="F818">
        <v>78</v>
      </c>
      <c r="G818">
        <v>1</v>
      </c>
      <c r="H818" t="s">
        <v>12</v>
      </c>
      <c r="I818">
        <v>92</v>
      </c>
      <c r="J818" t="b">
        <v>0</v>
      </c>
    </row>
    <row r="819" spans="1:10" x14ac:dyDescent="0.3">
      <c r="A819">
        <v>818</v>
      </c>
      <c r="B819" t="s">
        <v>802</v>
      </c>
      <c r="C819" t="s">
        <v>14</v>
      </c>
      <c r="D819">
        <v>82</v>
      </c>
      <c r="E819">
        <v>25</v>
      </c>
      <c r="F819">
        <v>65</v>
      </c>
      <c r="G819">
        <v>3</v>
      </c>
      <c r="H819" t="s">
        <v>12</v>
      </c>
      <c r="I819">
        <v>68</v>
      </c>
      <c r="J819" t="b">
        <v>1</v>
      </c>
    </row>
    <row r="820" spans="1:10" x14ac:dyDescent="0.3">
      <c r="A820">
        <v>819</v>
      </c>
      <c r="B820" t="s">
        <v>803</v>
      </c>
      <c r="C820" t="s">
        <v>14</v>
      </c>
      <c r="D820">
        <v>90</v>
      </c>
      <c r="E820">
        <v>30</v>
      </c>
      <c r="F820">
        <v>90</v>
      </c>
      <c r="G820">
        <v>2</v>
      </c>
      <c r="H820" t="s">
        <v>15</v>
      </c>
      <c r="I820">
        <v>92</v>
      </c>
      <c r="J820" t="b">
        <v>1</v>
      </c>
    </row>
    <row r="821" spans="1:10" x14ac:dyDescent="0.3">
      <c r="A821">
        <v>820</v>
      </c>
      <c r="B821" t="s">
        <v>804</v>
      </c>
      <c r="C821" t="s">
        <v>14</v>
      </c>
      <c r="D821">
        <v>90</v>
      </c>
      <c r="E821">
        <v>20</v>
      </c>
      <c r="F821">
        <v>65</v>
      </c>
      <c r="G821">
        <v>0</v>
      </c>
      <c r="H821" t="s">
        <v>12</v>
      </c>
      <c r="I821">
        <v>92</v>
      </c>
      <c r="J821" t="b">
        <v>0</v>
      </c>
    </row>
    <row r="822" spans="1:10" x14ac:dyDescent="0.3">
      <c r="A822">
        <v>821</v>
      </c>
      <c r="B822" t="s">
        <v>805</v>
      </c>
      <c r="C822" t="s">
        <v>14</v>
      </c>
      <c r="D822">
        <v>92</v>
      </c>
      <c r="E822">
        <v>17.630526315789474</v>
      </c>
      <c r="F822">
        <v>86</v>
      </c>
      <c r="G822">
        <v>3</v>
      </c>
      <c r="H822" t="s">
        <v>12</v>
      </c>
      <c r="I822">
        <v>72</v>
      </c>
      <c r="J822" t="b">
        <v>0</v>
      </c>
    </row>
    <row r="823" spans="1:10" x14ac:dyDescent="0.3">
      <c r="A823">
        <v>822</v>
      </c>
      <c r="B823" t="s">
        <v>806</v>
      </c>
      <c r="C823" t="s">
        <v>11</v>
      </c>
      <c r="D823">
        <v>88</v>
      </c>
      <c r="E823">
        <v>10</v>
      </c>
      <c r="F823">
        <v>70</v>
      </c>
      <c r="G823">
        <v>3</v>
      </c>
      <c r="H823" t="s">
        <v>15</v>
      </c>
      <c r="I823">
        <v>92</v>
      </c>
      <c r="J823" t="b">
        <v>0</v>
      </c>
    </row>
    <row r="824" spans="1:10" x14ac:dyDescent="0.3">
      <c r="A824">
        <v>823</v>
      </c>
      <c r="B824" t="s">
        <v>807</v>
      </c>
      <c r="C824" t="s">
        <v>11</v>
      </c>
      <c r="D824">
        <v>82</v>
      </c>
      <c r="E824">
        <v>8</v>
      </c>
      <c r="F824">
        <v>70</v>
      </c>
      <c r="G824">
        <v>1</v>
      </c>
      <c r="H824" t="s">
        <v>15</v>
      </c>
      <c r="I824">
        <v>72</v>
      </c>
      <c r="J824" t="b">
        <v>0</v>
      </c>
    </row>
    <row r="825" spans="1:10" x14ac:dyDescent="0.3">
      <c r="A825">
        <v>824</v>
      </c>
      <c r="B825" t="s">
        <v>808</v>
      </c>
      <c r="C825" t="s">
        <v>14</v>
      </c>
      <c r="D825">
        <v>85</v>
      </c>
      <c r="E825">
        <v>17</v>
      </c>
      <c r="F825">
        <v>82</v>
      </c>
      <c r="G825">
        <v>3</v>
      </c>
      <c r="H825" t="s">
        <v>15</v>
      </c>
      <c r="I825">
        <v>88</v>
      </c>
      <c r="J825" t="b">
        <v>1</v>
      </c>
    </row>
    <row r="826" spans="1:10" x14ac:dyDescent="0.3">
      <c r="A826">
        <v>825</v>
      </c>
      <c r="B826" t="s">
        <v>809</v>
      </c>
      <c r="C826" t="s">
        <v>14</v>
      </c>
      <c r="D826">
        <v>92</v>
      </c>
      <c r="E826">
        <v>8</v>
      </c>
      <c r="F826">
        <v>90</v>
      </c>
      <c r="G826">
        <v>2</v>
      </c>
      <c r="H826" t="s">
        <v>15</v>
      </c>
      <c r="I826">
        <v>62</v>
      </c>
      <c r="J826" t="b">
        <v>0</v>
      </c>
    </row>
    <row r="827" spans="1:10" x14ac:dyDescent="0.3">
      <c r="A827">
        <v>826</v>
      </c>
      <c r="B827" t="s">
        <v>810</v>
      </c>
      <c r="C827" t="s">
        <v>977</v>
      </c>
      <c r="D827">
        <v>90</v>
      </c>
      <c r="E827">
        <v>18</v>
      </c>
      <c r="F827">
        <v>77</v>
      </c>
      <c r="G827">
        <v>2</v>
      </c>
      <c r="H827" t="s">
        <v>15</v>
      </c>
      <c r="I827">
        <v>92</v>
      </c>
      <c r="J827" t="b">
        <v>0</v>
      </c>
    </row>
    <row r="828" spans="1:10" x14ac:dyDescent="0.3">
      <c r="A828">
        <v>827</v>
      </c>
      <c r="B828" t="s">
        <v>811</v>
      </c>
      <c r="C828" t="s">
        <v>14</v>
      </c>
      <c r="D828">
        <v>85</v>
      </c>
      <c r="E828">
        <v>8</v>
      </c>
      <c r="F828">
        <v>60</v>
      </c>
      <c r="G828">
        <v>1</v>
      </c>
      <c r="H828" t="s">
        <v>15</v>
      </c>
      <c r="I828">
        <v>90</v>
      </c>
      <c r="J828" t="b">
        <v>1</v>
      </c>
    </row>
    <row r="829" spans="1:10" x14ac:dyDescent="0.3">
      <c r="A829">
        <v>828</v>
      </c>
      <c r="B829" t="s">
        <v>812</v>
      </c>
      <c r="C829" t="s">
        <v>11</v>
      </c>
      <c r="D829">
        <v>88</v>
      </c>
      <c r="E829">
        <v>20</v>
      </c>
      <c r="F829">
        <v>88</v>
      </c>
      <c r="G829">
        <v>2</v>
      </c>
      <c r="H829" t="s">
        <v>12</v>
      </c>
      <c r="I829">
        <v>72</v>
      </c>
      <c r="J829" t="b">
        <v>1</v>
      </c>
    </row>
    <row r="830" spans="1:10" x14ac:dyDescent="0.3">
      <c r="A830">
        <v>829</v>
      </c>
      <c r="B830" t="s">
        <v>813</v>
      </c>
      <c r="C830" t="s">
        <v>11</v>
      </c>
      <c r="D830">
        <v>90</v>
      </c>
      <c r="E830">
        <v>20</v>
      </c>
      <c r="F830">
        <v>85</v>
      </c>
      <c r="G830">
        <v>1</v>
      </c>
      <c r="H830" t="s">
        <v>12</v>
      </c>
      <c r="I830">
        <v>72</v>
      </c>
      <c r="J830" t="b">
        <v>1</v>
      </c>
    </row>
    <row r="831" spans="1:10" x14ac:dyDescent="0.3">
      <c r="A831">
        <v>830</v>
      </c>
      <c r="B831" t="s">
        <v>814</v>
      </c>
      <c r="C831" t="s">
        <v>14</v>
      </c>
      <c r="D831">
        <v>88</v>
      </c>
      <c r="E831">
        <v>25</v>
      </c>
      <c r="F831">
        <v>86</v>
      </c>
      <c r="G831">
        <v>0</v>
      </c>
      <c r="H831" t="s">
        <v>17</v>
      </c>
      <c r="I831">
        <v>72</v>
      </c>
      <c r="J831" t="b">
        <v>0</v>
      </c>
    </row>
    <row r="832" spans="1:10" x14ac:dyDescent="0.3">
      <c r="A832">
        <v>831</v>
      </c>
      <c r="B832" t="s">
        <v>815</v>
      </c>
      <c r="C832" t="s">
        <v>14</v>
      </c>
      <c r="D832">
        <v>70</v>
      </c>
      <c r="E832">
        <v>8</v>
      </c>
      <c r="F832">
        <v>86</v>
      </c>
      <c r="G832">
        <v>1</v>
      </c>
      <c r="H832" t="s">
        <v>15</v>
      </c>
      <c r="I832">
        <v>72</v>
      </c>
      <c r="J832" t="b">
        <v>0</v>
      </c>
    </row>
    <row r="833" spans="1:10" x14ac:dyDescent="0.3">
      <c r="A833">
        <v>832</v>
      </c>
      <c r="B833" t="s">
        <v>816</v>
      </c>
      <c r="C833" t="s">
        <v>11</v>
      </c>
      <c r="D833">
        <v>92</v>
      </c>
      <c r="E833">
        <v>17</v>
      </c>
      <c r="F833">
        <v>90</v>
      </c>
      <c r="G833">
        <v>2</v>
      </c>
      <c r="H833" t="s">
        <v>17</v>
      </c>
      <c r="I833">
        <v>72</v>
      </c>
      <c r="J833" t="b">
        <v>0</v>
      </c>
    </row>
    <row r="834" spans="1:10" x14ac:dyDescent="0.3">
      <c r="A834">
        <v>833</v>
      </c>
      <c r="B834" t="s">
        <v>817</v>
      </c>
      <c r="C834" t="s">
        <v>11</v>
      </c>
      <c r="D834">
        <v>95</v>
      </c>
      <c r="E834">
        <v>25</v>
      </c>
      <c r="F834">
        <v>60</v>
      </c>
      <c r="G834">
        <v>0</v>
      </c>
      <c r="H834" t="s">
        <v>12</v>
      </c>
      <c r="I834">
        <v>78</v>
      </c>
      <c r="J834" t="b">
        <v>1</v>
      </c>
    </row>
    <row r="835" spans="1:10" x14ac:dyDescent="0.3">
      <c r="A835">
        <v>834</v>
      </c>
      <c r="B835" t="s">
        <v>818</v>
      </c>
      <c r="C835" t="s">
        <v>11</v>
      </c>
      <c r="D835">
        <v>91</v>
      </c>
      <c r="E835">
        <v>10</v>
      </c>
      <c r="F835">
        <v>82</v>
      </c>
      <c r="G835">
        <v>1</v>
      </c>
      <c r="H835" t="s">
        <v>15</v>
      </c>
      <c r="I835">
        <v>90</v>
      </c>
      <c r="J835" t="b">
        <v>0</v>
      </c>
    </row>
    <row r="836" spans="1:10" x14ac:dyDescent="0.3">
      <c r="A836">
        <v>835</v>
      </c>
      <c r="B836" t="s">
        <v>819</v>
      </c>
      <c r="C836" t="s">
        <v>14</v>
      </c>
      <c r="D836">
        <v>95</v>
      </c>
      <c r="E836">
        <v>22</v>
      </c>
      <c r="F836">
        <v>78</v>
      </c>
      <c r="G836">
        <v>3</v>
      </c>
      <c r="H836" t="s">
        <v>12</v>
      </c>
      <c r="I836">
        <v>68</v>
      </c>
      <c r="J836" t="b">
        <v>0</v>
      </c>
    </row>
    <row r="837" spans="1:10" x14ac:dyDescent="0.3">
      <c r="A837">
        <v>836</v>
      </c>
      <c r="B837" t="s">
        <v>820</v>
      </c>
      <c r="C837" t="s">
        <v>11</v>
      </c>
      <c r="D837">
        <v>70</v>
      </c>
      <c r="E837">
        <v>20</v>
      </c>
      <c r="F837">
        <v>70</v>
      </c>
      <c r="G837">
        <v>0</v>
      </c>
      <c r="H837" t="s">
        <v>12</v>
      </c>
      <c r="I837">
        <v>78</v>
      </c>
      <c r="J837" t="b">
        <v>0</v>
      </c>
    </row>
    <row r="838" spans="1:10" x14ac:dyDescent="0.3">
      <c r="A838">
        <v>837</v>
      </c>
      <c r="B838" t="s">
        <v>821</v>
      </c>
      <c r="C838" t="s">
        <v>11</v>
      </c>
      <c r="D838">
        <v>85.510416666666671</v>
      </c>
      <c r="E838">
        <v>20</v>
      </c>
      <c r="F838">
        <v>70</v>
      </c>
      <c r="G838">
        <v>0</v>
      </c>
      <c r="H838" t="s">
        <v>12</v>
      </c>
      <c r="I838">
        <v>88</v>
      </c>
      <c r="J838" t="b">
        <v>1</v>
      </c>
    </row>
    <row r="839" spans="1:10" x14ac:dyDescent="0.3">
      <c r="A839">
        <v>838</v>
      </c>
      <c r="B839" t="s">
        <v>822</v>
      </c>
      <c r="C839" t="s">
        <v>14</v>
      </c>
      <c r="D839">
        <v>88</v>
      </c>
      <c r="E839">
        <v>25</v>
      </c>
      <c r="F839">
        <v>90</v>
      </c>
      <c r="G839">
        <v>2</v>
      </c>
      <c r="H839" t="s">
        <v>17</v>
      </c>
      <c r="I839">
        <v>72</v>
      </c>
      <c r="J839" t="b">
        <v>0</v>
      </c>
    </row>
    <row r="840" spans="1:10" x14ac:dyDescent="0.3">
      <c r="A840">
        <v>839</v>
      </c>
      <c r="B840" t="s">
        <v>823</v>
      </c>
      <c r="C840" t="s">
        <v>11</v>
      </c>
      <c r="D840">
        <v>78</v>
      </c>
      <c r="E840">
        <v>30</v>
      </c>
      <c r="F840">
        <v>60</v>
      </c>
      <c r="G840">
        <v>0</v>
      </c>
      <c r="H840" t="s">
        <v>12</v>
      </c>
      <c r="I840">
        <v>87</v>
      </c>
      <c r="J840" t="b">
        <v>0</v>
      </c>
    </row>
    <row r="841" spans="1:10" x14ac:dyDescent="0.3">
      <c r="A841">
        <v>840</v>
      </c>
      <c r="B841" t="s">
        <v>824</v>
      </c>
      <c r="C841" t="s">
        <v>14</v>
      </c>
      <c r="D841">
        <v>85.510416666666671</v>
      </c>
      <c r="E841">
        <v>10</v>
      </c>
      <c r="F841">
        <v>90</v>
      </c>
      <c r="G841">
        <v>2</v>
      </c>
      <c r="H841" t="s">
        <v>15</v>
      </c>
      <c r="I841">
        <v>78</v>
      </c>
      <c r="J841" t="b">
        <v>0</v>
      </c>
    </row>
    <row r="842" spans="1:10" x14ac:dyDescent="0.3">
      <c r="A842">
        <v>841</v>
      </c>
      <c r="B842" t="s">
        <v>825</v>
      </c>
      <c r="C842" t="s">
        <v>977</v>
      </c>
      <c r="D842">
        <v>88</v>
      </c>
      <c r="E842">
        <v>25</v>
      </c>
      <c r="F842">
        <v>78</v>
      </c>
      <c r="G842">
        <v>0</v>
      </c>
      <c r="H842" t="s">
        <v>15</v>
      </c>
      <c r="I842">
        <v>87</v>
      </c>
      <c r="J842" t="b">
        <v>1</v>
      </c>
    </row>
    <row r="843" spans="1:10" x14ac:dyDescent="0.3">
      <c r="A843">
        <v>842</v>
      </c>
      <c r="B843" t="s">
        <v>826</v>
      </c>
      <c r="C843" t="s">
        <v>14</v>
      </c>
      <c r="D843">
        <v>91</v>
      </c>
      <c r="E843">
        <v>17</v>
      </c>
      <c r="F843">
        <v>77</v>
      </c>
      <c r="G843">
        <v>1</v>
      </c>
      <c r="H843" t="s">
        <v>17</v>
      </c>
      <c r="I843">
        <v>80</v>
      </c>
      <c r="J843" t="b">
        <v>0</v>
      </c>
    </row>
    <row r="844" spans="1:10" x14ac:dyDescent="0.3">
      <c r="A844">
        <v>843</v>
      </c>
      <c r="B844" t="s">
        <v>827</v>
      </c>
      <c r="C844" t="s">
        <v>14</v>
      </c>
      <c r="D844">
        <v>70</v>
      </c>
      <c r="E844">
        <v>22</v>
      </c>
      <c r="F844">
        <v>65</v>
      </c>
      <c r="G844">
        <v>0</v>
      </c>
      <c r="H844" t="s">
        <v>12</v>
      </c>
      <c r="I844">
        <v>68</v>
      </c>
      <c r="J844" t="b">
        <v>0</v>
      </c>
    </row>
    <row r="845" spans="1:10" x14ac:dyDescent="0.3">
      <c r="A845">
        <v>844</v>
      </c>
      <c r="B845" t="s">
        <v>828</v>
      </c>
      <c r="C845" t="s">
        <v>14</v>
      </c>
      <c r="D845">
        <v>78</v>
      </c>
      <c r="E845">
        <v>22</v>
      </c>
      <c r="F845">
        <v>85</v>
      </c>
      <c r="G845">
        <v>0</v>
      </c>
      <c r="H845" t="s">
        <v>17</v>
      </c>
      <c r="I845">
        <v>80</v>
      </c>
      <c r="J845" t="b">
        <v>0</v>
      </c>
    </row>
    <row r="846" spans="1:10" x14ac:dyDescent="0.3">
      <c r="A846">
        <v>845</v>
      </c>
      <c r="B846" t="s">
        <v>829</v>
      </c>
      <c r="C846" t="s">
        <v>14</v>
      </c>
      <c r="D846">
        <v>90</v>
      </c>
      <c r="E846">
        <v>25</v>
      </c>
      <c r="F846">
        <v>77</v>
      </c>
      <c r="G846">
        <v>0</v>
      </c>
      <c r="H846" t="s">
        <v>17</v>
      </c>
      <c r="I846">
        <v>87</v>
      </c>
      <c r="J846" t="b">
        <v>1</v>
      </c>
    </row>
    <row r="847" spans="1:10" x14ac:dyDescent="0.3">
      <c r="A847">
        <v>846</v>
      </c>
      <c r="B847" t="s">
        <v>830</v>
      </c>
      <c r="C847" t="s">
        <v>14</v>
      </c>
      <c r="D847">
        <v>70</v>
      </c>
      <c r="E847">
        <v>17</v>
      </c>
      <c r="F847">
        <v>65</v>
      </c>
      <c r="G847">
        <v>2</v>
      </c>
      <c r="H847" t="s">
        <v>12</v>
      </c>
      <c r="I847">
        <v>72</v>
      </c>
      <c r="J847" t="b">
        <v>1</v>
      </c>
    </row>
    <row r="848" spans="1:10" x14ac:dyDescent="0.3">
      <c r="A848">
        <v>847</v>
      </c>
      <c r="B848" t="s">
        <v>831</v>
      </c>
      <c r="C848" t="s">
        <v>14</v>
      </c>
      <c r="D848">
        <v>95</v>
      </c>
      <c r="E848">
        <v>8</v>
      </c>
      <c r="F848">
        <v>90</v>
      </c>
      <c r="G848">
        <v>0</v>
      </c>
      <c r="H848" t="s">
        <v>12</v>
      </c>
      <c r="I848">
        <v>80</v>
      </c>
      <c r="J848" t="b">
        <v>1</v>
      </c>
    </row>
    <row r="849" spans="1:10" x14ac:dyDescent="0.3">
      <c r="A849">
        <v>848</v>
      </c>
      <c r="B849" t="s">
        <v>832</v>
      </c>
      <c r="C849" t="s">
        <v>14</v>
      </c>
      <c r="D849">
        <v>85</v>
      </c>
      <c r="E849">
        <v>17</v>
      </c>
      <c r="F849">
        <v>85</v>
      </c>
      <c r="G849">
        <v>2</v>
      </c>
      <c r="H849" t="s">
        <v>17</v>
      </c>
      <c r="I849">
        <v>92</v>
      </c>
      <c r="J849" t="b">
        <v>1</v>
      </c>
    </row>
    <row r="850" spans="1:10" x14ac:dyDescent="0.3">
      <c r="A850">
        <v>849</v>
      </c>
      <c r="B850" t="s">
        <v>977</v>
      </c>
      <c r="C850" t="s">
        <v>14</v>
      </c>
      <c r="D850">
        <v>78</v>
      </c>
      <c r="E850">
        <v>17.630526315789474</v>
      </c>
      <c r="F850">
        <v>78</v>
      </c>
      <c r="G850">
        <v>3</v>
      </c>
      <c r="H850" t="s">
        <v>12</v>
      </c>
      <c r="I850">
        <v>68</v>
      </c>
      <c r="J850" t="b">
        <v>0</v>
      </c>
    </row>
    <row r="851" spans="1:10" x14ac:dyDescent="0.3">
      <c r="A851">
        <v>850</v>
      </c>
      <c r="B851" t="s">
        <v>833</v>
      </c>
      <c r="C851" t="s">
        <v>11</v>
      </c>
      <c r="D851">
        <v>85</v>
      </c>
      <c r="E851">
        <v>18</v>
      </c>
      <c r="F851">
        <v>65</v>
      </c>
      <c r="G851">
        <v>1</v>
      </c>
      <c r="H851" t="s">
        <v>15</v>
      </c>
      <c r="I851">
        <v>68</v>
      </c>
      <c r="J851" t="b">
        <v>1</v>
      </c>
    </row>
    <row r="852" spans="1:10" x14ac:dyDescent="0.3">
      <c r="A852">
        <v>851</v>
      </c>
      <c r="B852" t="s">
        <v>834</v>
      </c>
      <c r="C852" t="s">
        <v>11</v>
      </c>
      <c r="D852">
        <v>82</v>
      </c>
      <c r="E852">
        <v>20</v>
      </c>
      <c r="F852">
        <v>60</v>
      </c>
      <c r="G852">
        <v>2</v>
      </c>
      <c r="H852" t="s">
        <v>15</v>
      </c>
      <c r="I852">
        <v>80</v>
      </c>
      <c r="J852" t="b">
        <v>0</v>
      </c>
    </row>
    <row r="853" spans="1:10" x14ac:dyDescent="0.3">
      <c r="A853">
        <v>852</v>
      </c>
      <c r="B853" t="s">
        <v>835</v>
      </c>
      <c r="C853" t="s">
        <v>11</v>
      </c>
      <c r="D853">
        <v>95</v>
      </c>
      <c r="E853">
        <v>25</v>
      </c>
      <c r="F853">
        <v>90</v>
      </c>
      <c r="G853">
        <v>2</v>
      </c>
      <c r="H853" t="s">
        <v>12</v>
      </c>
      <c r="I853">
        <v>62</v>
      </c>
      <c r="J853" t="b">
        <v>0</v>
      </c>
    </row>
    <row r="854" spans="1:10" x14ac:dyDescent="0.3">
      <c r="A854">
        <v>853</v>
      </c>
      <c r="B854" t="s">
        <v>836</v>
      </c>
      <c r="C854" t="s">
        <v>11</v>
      </c>
      <c r="D854">
        <v>92</v>
      </c>
      <c r="E854">
        <v>20</v>
      </c>
      <c r="F854">
        <v>65</v>
      </c>
      <c r="G854">
        <v>0</v>
      </c>
      <c r="H854" t="s">
        <v>12</v>
      </c>
      <c r="I854">
        <v>62</v>
      </c>
      <c r="J854" t="b">
        <v>0</v>
      </c>
    </row>
    <row r="855" spans="1:10" x14ac:dyDescent="0.3">
      <c r="A855">
        <v>854</v>
      </c>
      <c r="B855" t="s">
        <v>837</v>
      </c>
      <c r="C855" t="s">
        <v>11</v>
      </c>
      <c r="D855">
        <v>82</v>
      </c>
      <c r="E855">
        <v>8</v>
      </c>
      <c r="F855">
        <v>60</v>
      </c>
      <c r="G855">
        <v>2</v>
      </c>
      <c r="H855" t="s">
        <v>12</v>
      </c>
      <c r="I855">
        <v>92</v>
      </c>
      <c r="J855" t="b">
        <v>1</v>
      </c>
    </row>
    <row r="856" spans="1:10" x14ac:dyDescent="0.3">
      <c r="A856">
        <v>855</v>
      </c>
      <c r="B856" t="s">
        <v>838</v>
      </c>
      <c r="C856" t="s">
        <v>14</v>
      </c>
      <c r="D856">
        <v>95</v>
      </c>
      <c r="E856">
        <v>15</v>
      </c>
      <c r="F856">
        <v>60</v>
      </c>
      <c r="G856">
        <v>3</v>
      </c>
      <c r="H856" t="s">
        <v>15</v>
      </c>
      <c r="I856">
        <v>92</v>
      </c>
      <c r="J856" t="b">
        <v>0</v>
      </c>
    </row>
    <row r="857" spans="1:10" x14ac:dyDescent="0.3">
      <c r="A857">
        <v>856</v>
      </c>
      <c r="B857" t="s">
        <v>839</v>
      </c>
      <c r="C857" t="s">
        <v>11</v>
      </c>
      <c r="D857">
        <v>92</v>
      </c>
      <c r="E857">
        <v>8</v>
      </c>
      <c r="F857">
        <v>82</v>
      </c>
      <c r="G857">
        <v>3</v>
      </c>
      <c r="H857" t="s">
        <v>15</v>
      </c>
      <c r="I857">
        <v>87</v>
      </c>
      <c r="J857" t="b">
        <v>1</v>
      </c>
    </row>
    <row r="858" spans="1:10" x14ac:dyDescent="0.3">
      <c r="A858">
        <v>857</v>
      </c>
      <c r="B858" t="s">
        <v>840</v>
      </c>
      <c r="C858" t="s">
        <v>11</v>
      </c>
      <c r="D858">
        <v>91</v>
      </c>
      <c r="E858">
        <v>30</v>
      </c>
      <c r="F858">
        <v>60</v>
      </c>
      <c r="G858">
        <v>0</v>
      </c>
      <c r="H858" t="s">
        <v>15</v>
      </c>
      <c r="I858">
        <v>68</v>
      </c>
      <c r="J858" t="b">
        <v>0</v>
      </c>
    </row>
    <row r="859" spans="1:10" x14ac:dyDescent="0.3">
      <c r="A859">
        <v>858</v>
      </c>
      <c r="B859" t="s">
        <v>841</v>
      </c>
      <c r="C859" t="s">
        <v>977</v>
      </c>
      <c r="D859">
        <v>95</v>
      </c>
      <c r="E859">
        <v>17.630526315789474</v>
      </c>
      <c r="F859">
        <v>86</v>
      </c>
      <c r="G859">
        <v>3</v>
      </c>
      <c r="H859" t="s">
        <v>15</v>
      </c>
      <c r="I859">
        <v>62</v>
      </c>
      <c r="J859" t="b">
        <v>1</v>
      </c>
    </row>
    <row r="860" spans="1:10" x14ac:dyDescent="0.3">
      <c r="A860">
        <v>859</v>
      </c>
      <c r="B860" t="s">
        <v>842</v>
      </c>
      <c r="C860" t="s">
        <v>11</v>
      </c>
      <c r="D860">
        <v>85.510416666666671</v>
      </c>
      <c r="E860">
        <v>15</v>
      </c>
      <c r="F860">
        <v>86</v>
      </c>
      <c r="G860">
        <v>1</v>
      </c>
      <c r="H860" t="s">
        <v>15</v>
      </c>
      <c r="I860">
        <v>92</v>
      </c>
      <c r="J860" t="b">
        <v>1</v>
      </c>
    </row>
    <row r="861" spans="1:10" x14ac:dyDescent="0.3">
      <c r="A861">
        <v>860</v>
      </c>
      <c r="B861" t="s">
        <v>843</v>
      </c>
      <c r="C861" t="s">
        <v>11</v>
      </c>
      <c r="D861">
        <v>78</v>
      </c>
      <c r="E861">
        <v>30</v>
      </c>
      <c r="F861">
        <v>77</v>
      </c>
      <c r="G861">
        <v>2</v>
      </c>
      <c r="H861" t="s">
        <v>12</v>
      </c>
      <c r="I861">
        <v>68</v>
      </c>
      <c r="J861" t="b">
        <v>1</v>
      </c>
    </row>
    <row r="862" spans="1:10" x14ac:dyDescent="0.3">
      <c r="A862">
        <v>861</v>
      </c>
      <c r="B862" t="s">
        <v>844</v>
      </c>
      <c r="C862" t="s">
        <v>14</v>
      </c>
      <c r="D862">
        <v>85.510416666666671</v>
      </c>
      <c r="E862">
        <v>10</v>
      </c>
      <c r="F862">
        <v>77.598759048603924</v>
      </c>
      <c r="G862">
        <v>1</v>
      </c>
      <c r="H862" t="s">
        <v>17</v>
      </c>
      <c r="I862">
        <v>80</v>
      </c>
      <c r="J862" t="b">
        <v>0</v>
      </c>
    </row>
    <row r="863" spans="1:10" x14ac:dyDescent="0.3">
      <c r="A863">
        <v>862</v>
      </c>
      <c r="B863" t="s">
        <v>845</v>
      </c>
      <c r="C863" t="s">
        <v>11</v>
      </c>
      <c r="D863">
        <v>95</v>
      </c>
      <c r="E863">
        <v>30</v>
      </c>
      <c r="F863">
        <v>90</v>
      </c>
      <c r="G863">
        <v>3</v>
      </c>
      <c r="H863" t="s">
        <v>17</v>
      </c>
      <c r="I863">
        <v>80</v>
      </c>
      <c r="J863" t="b">
        <v>1</v>
      </c>
    </row>
    <row r="864" spans="1:10" x14ac:dyDescent="0.3">
      <c r="A864">
        <v>863</v>
      </c>
      <c r="B864" t="s">
        <v>846</v>
      </c>
      <c r="C864" t="s">
        <v>14</v>
      </c>
      <c r="D864">
        <v>82</v>
      </c>
      <c r="E864">
        <v>30</v>
      </c>
      <c r="F864">
        <v>65</v>
      </c>
      <c r="G864">
        <v>1</v>
      </c>
      <c r="H864" t="s">
        <v>17</v>
      </c>
      <c r="I864">
        <v>80</v>
      </c>
      <c r="J864" t="b">
        <v>1</v>
      </c>
    </row>
    <row r="865" spans="1:10" x14ac:dyDescent="0.3">
      <c r="A865">
        <v>864</v>
      </c>
      <c r="B865" t="s">
        <v>847</v>
      </c>
      <c r="C865" t="s">
        <v>11</v>
      </c>
      <c r="D865">
        <v>78</v>
      </c>
      <c r="E865">
        <v>17.630526315789474</v>
      </c>
      <c r="F865">
        <v>65</v>
      </c>
      <c r="G865">
        <v>2</v>
      </c>
      <c r="H865" t="s">
        <v>12</v>
      </c>
      <c r="I865">
        <v>88</v>
      </c>
      <c r="J865" t="b">
        <v>1</v>
      </c>
    </row>
    <row r="866" spans="1:10" x14ac:dyDescent="0.3">
      <c r="A866">
        <v>865</v>
      </c>
      <c r="B866" t="s">
        <v>848</v>
      </c>
      <c r="C866" t="s">
        <v>11</v>
      </c>
      <c r="D866">
        <v>70</v>
      </c>
      <c r="E866">
        <v>17</v>
      </c>
      <c r="F866">
        <v>82</v>
      </c>
      <c r="G866">
        <v>1</v>
      </c>
      <c r="H866" t="s">
        <v>17</v>
      </c>
      <c r="I866">
        <v>92</v>
      </c>
      <c r="J866" t="b">
        <v>1</v>
      </c>
    </row>
    <row r="867" spans="1:10" x14ac:dyDescent="0.3">
      <c r="A867">
        <v>866</v>
      </c>
      <c r="B867" t="s">
        <v>977</v>
      </c>
      <c r="C867" t="s">
        <v>14</v>
      </c>
      <c r="D867">
        <v>91</v>
      </c>
      <c r="E867">
        <v>17</v>
      </c>
      <c r="F867">
        <v>90</v>
      </c>
      <c r="G867">
        <v>2</v>
      </c>
      <c r="H867" t="s">
        <v>15</v>
      </c>
      <c r="I867">
        <v>87</v>
      </c>
      <c r="J867" t="b">
        <v>0</v>
      </c>
    </row>
    <row r="868" spans="1:10" x14ac:dyDescent="0.3">
      <c r="A868">
        <v>867</v>
      </c>
      <c r="B868" t="s">
        <v>849</v>
      </c>
      <c r="C868" t="s">
        <v>11</v>
      </c>
      <c r="D868">
        <v>85</v>
      </c>
      <c r="E868">
        <v>17</v>
      </c>
      <c r="F868">
        <v>60</v>
      </c>
      <c r="G868">
        <v>2</v>
      </c>
      <c r="H868" t="s">
        <v>17</v>
      </c>
      <c r="I868">
        <v>62</v>
      </c>
      <c r="J868" t="b">
        <v>0</v>
      </c>
    </row>
    <row r="869" spans="1:10" x14ac:dyDescent="0.3">
      <c r="A869">
        <v>868</v>
      </c>
      <c r="B869" t="s">
        <v>850</v>
      </c>
      <c r="C869" t="s">
        <v>14</v>
      </c>
      <c r="D869">
        <v>70</v>
      </c>
      <c r="E869">
        <v>20</v>
      </c>
      <c r="F869">
        <v>82</v>
      </c>
      <c r="G869">
        <v>3</v>
      </c>
      <c r="H869" t="s">
        <v>17</v>
      </c>
      <c r="I869">
        <v>68</v>
      </c>
      <c r="J869" t="b">
        <v>0</v>
      </c>
    </row>
    <row r="870" spans="1:10" x14ac:dyDescent="0.3">
      <c r="A870">
        <v>869</v>
      </c>
      <c r="B870" t="s">
        <v>851</v>
      </c>
      <c r="C870" t="s">
        <v>14</v>
      </c>
      <c r="D870">
        <v>88</v>
      </c>
      <c r="E870">
        <v>17</v>
      </c>
      <c r="F870">
        <v>82</v>
      </c>
      <c r="G870">
        <v>0</v>
      </c>
      <c r="H870" t="s">
        <v>17</v>
      </c>
      <c r="I870">
        <v>88</v>
      </c>
      <c r="J870" t="b">
        <v>1</v>
      </c>
    </row>
    <row r="871" spans="1:10" x14ac:dyDescent="0.3">
      <c r="A871">
        <v>870</v>
      </c>
      <c r="B871" t="s">
        <v>852</v>
      </c>
      <c r="C871" t="s">
        <v>11</v>
      </c>
      <c r="D871">
        <v>78</v>
      </c>
      <c r="E871">
        <v>25</v>
      </c>
      <c r="F871">
        <v>78</v>
      </c>
      <c r="G871">
        <v>1</v>
      </c>
      <c r="H871" t="s">
        <v>17</v>
      </c>
      <c r="I871">
        <v>90</v>
      </c>
      <c r="J871" t="b">
        <v>0</v>
      </c>
    </row>
    <row r="872" spans="1:10" x14ac:dyDescent="0.3">
      <c r="A872">
        <v>871</v>
      </c>
      <c r="B872" t="s">
        <v>853</v>
      </c>
      <c r="C872" t="s">
        <v>14</v>
      </c>
      <c r="D872">
        <v>85</v>
      </c>
      <c r="E872">
        <v>18</v>
      </c>
      <c r="F872">
        <v>86</v>
      </c>
      <c r="G872">
        <v>2</v>
      </c>
      <c r="H872" t="s">
        <v>15</v>
      </c>
      <c r="I872">
        <v>80</v>
      </c>
      <c r="J872" t="b">
        <v>0</v>
      </c>
    </row>
    <row r="873" spans="1:10" x14ac:dyDescent="0.3">
      <c r="A873">
        <v>872</v>
      </c>
      <c r="B873" t="s">
        <v>854</v>
      </c>
      <c r="C873" t="s">
        <v>11</v>
      </c>
      <c r="D873">
        <v>70</v>
      </c>
      <c r="E873">
        <v>18</v>
      </c>
      <c r="F873">
        <v>88</v>
      </c>
      <c r="G873">
        <v>2</v>
      </c>
      <c r="H873" t="s">
        <v>17</v>
      </c>
      <c r="I873">
        <v>78</v>
      </c>
      <c r="J873" t="b">
        <v>1</v>
      </c>
    </row>
    <row r="874" spans="1:10" x14ac:dyDescent="0.3">
      <c r="A874">
        <v>873</v>
      </c>
      <c r="B874" t="s">
        <v>855</v>
      </c>
      <c r="C874" t="s">
        <v>977</v>
      </c>
      <c r="D874">
        <v>92</v>
      </c>
      <c r="E874">
        <v>25</v>
      </c>
      <c r="F874">
        <v>77</v>
      </c>
      <c r="G874">
        <v>1</v>
      </c>
      <c r="H874" t="s">
        <v>15</v>
      </c>
      <c r="I874">
        <v>80</v>
      </c>
      <c r="J874" t="b">
        <v>1</v>
      </c>
    </row>
    <row r="875" spans="1:10" x14ac:dyDescent="0.3">
      <c r="A875">
        <v>874</v>
      </c>
      <c r="B875" t="s">
        <v>856</v>
      </c>
      <c r="C875" t="s">
        <v>14</v>
      </c>
      <c r="D875">
        <v>78</v>
      </c>
      <c r="E875">
        <v>18</v>
      </c>
      <c r="F875">
        <v>90</v>
      </c>
      <c r="G875">
        <v>3</v>
      </c>
      <c r="H875" t="s">
        <v>17</v>
      </c>
      <c r="I875">
        <v>68</v>
      </c>
      <c r="J875" t="b">
        <v>1</v>
      </c>
    </row>
    <row r="876" spans="1:10" x14ac:dyDescent="0.3">
      <c r="A876">
        <v>875</v>
      </c>
      <c r="B876" t="s">
        <v>857</v>
      </c>
      <c r="C876" t="s">
        <v>14</v>
      </c>
      <c r="D876">
        <v>91</v>
      </c>
      <c r="E876">
        <v>20</v>
      </c>
      <c r="F876">
        <v>70</v>
      </c>
      <c r="G876">
        <v>3</v>
      </c>
      <c r="H876" t="s">
        <v>15</v>
      </c>
      <c r="I876">
        <v>68</v>
      </c>
      <c r="J876" t="b">
        <v>0</v>
      </c>
    </row>
    <row r="877" spans="1:10" x14ac:dyDescent="0.3">
      <c r="A877">
        <v>876</v>
      </c>
      <c r="B877" t="s">
        <v>858</v>
      </c>
      <c r="C877" t="s">
        <v>14</v>
      </c>
      <c r="D877">
        <v>91</v>
      </c>
      <c r="E877">
        <v>18</v>
      </c>
      <c r="F877">
        <v>60</v>
      </c>
      <c r="G877">
        <v>2</v>
      </c>
      <c r="H877" t="s">
        <v>12</v>
      </c>
      <c r="I877">
        <v>80.030208333333334</v>
      </c>
      <c r="J877" t="b">
        <v>1</v>
      </c>
    </row>
    <row r="878" spans="1:10" x14ac:dyDescent="0.3">
      <c r="A878">
        <v>877</v>
      </c>
      <c r="B878" t="s">
        <v>859</v>
      </c>
      <c r="C878" t="s">
        <v>977</v>
      </c>
      <c r="D878">
        <v>70</v>
      </c>
      <c r="E878">
        <v>18</v>
      </c>
      <c r="F878">
        <v>78</v>
      </c>
      <c r="G878">
        <v>0</v>
      </c>
      <c r="H878" t="s">
        <v>15</v>
      </c>
      <c r="I878">
        <v>80</v>
      </c>
      <c r="J878" t="b">
        <v>0</v>
      </c>
    </row>
    <row r="879" spans="1:10" x14ac:dyDescent="0.3">
      <c r="A879">
        <v>878</v>
      </c>
      <c r="B879" t="s">
        <v>860</v>
      </c>
      <c r="C879" t="s">
        <v>977</v>
      </c>
      <c r="D879">
        <v>88</v>
      </c>
      <c r="E879">
        <v>8</v>
      </c>
      <c r="F879">
        <v>65</v>
      </c>
      <c r="G879">
        <v>0</v>
      </c>
      <c r="H879" t="s">
        <v>15</v>
      </c>
      <c r="I879">
        <v>68</v>
      </c>
      <c r="J879" t="b">
        <v>0</v>
      </c>
    </row>
    <row r="880" spans="1:10" x14ac:dyDescent="0.3">
      <c r="A880">
        <v>879</v>
      </c>
      <c r="B880" t="s">
        <v>861</v>
      </c>
      <c r="C880" t="s">
        <v>11</v>
      </c>
      <c r="D880">
        <v>85</v>
      </c>
      <c r="E880">
        <v>22</v>
      </c>
      <c r="F880">
        <v>90</v>
      </c>
      <c r="G880">
        <v>0</v>
      </c>
      <c r="H880" t="s">
        <v>12</v>
      </c>
      <c r="I880">
        <v>80</v>
      </c>
      <c r="J880" t="b">
        <v>1</v>
      </c>
    </row>
    <row r="881" spans="1:10" x14ac:dyDescent="0.3">
      <c r="A881">
        <v>880</v>
      </c>
      <c r="B881" t="s">
        <v>862</v>
      </c>
      <c r="C881" t="s">
        <v>14</v>
      </c>
      <c r="D881">
        <v>85</v>
      </c>
      <c r="E881">
        <v>22</v>
      </c>
      <c r="F881">
        <v>85</v>
      </c>
      <c r="G881">
        <v>0</v>
      </c>
      <c r="H881" t="s">
        <v>12</v>
      </c>
      <c r="I881">
        <v>85</v>
      </c>
      <c r="J881" t="b">
        <v>0</v>
      </c>
    </row>
    <row r="882" spans="1:10" x14ac:dyDescent="0.3">
      <c r="A882">
        <v>881</v>
      </c>
      <c r="B882" t="s">
        <v>863</v>
      </c>
      <c r="C882" t="s">
        <v>14</v>
      </c>
      <c r="D882">
        <v>85</v>
      </c>
      <c r="E882">
        <v>22</v>
      </c>
      <c r="F882">
        <v>90</v>
      </c>
      <c r="G882">
        <v>1</v>
      </c>
      <c r="H882" t="s">
        <v>15</v>
      </c>
      <c r="I882">
        <v>87</v>
      </c>
      <c r="J882" t="b">
        <v>1</v>
      </c>
    </row>
    <row r="883" spans="1:10" x14ac:dyDescent="0.3">
      <c r="A883">
        <v>882</v>
      </c>
      <c r="B883" t="s">
        <v>864</v>
      </c>
      <c r="C883" t="s">
        <v>11</v>
      </c>
      <c r="D883">
        <v>92</v>
      </c>
      <c r="E883">
        <v>12</v>
      </c>
      <c r="F883">
        <v>78</v>
      </c>
      <c r="G883">
        <v>0</v>
      </c>
      <c r="H883" t="s">
        <v>17</v>
      </c>
      <c r="I883">
        <v>72</v>
      </c>
      <c r="J883" t="b">
        <v>0</v>
      </c>
    </row>
    <row r="884" spans="1:10" x14ac:dyDescent="0.3">
      <c r="A884">
        <v>883</v>
      </c>
      <c r="B884" t="s">
        <v>865</v>
      </c>
      <c r="C884" t="s">
        <v>14</v>
      </c>
      <c r="D884">
        <v>95</v>
      </c>
      <c r="E884">
        <v>22</v>
      </c>
      <c r="F884">
        <v>60</v>
      </c>
      <c r="G884">
        <v>1</v>
      </c>
      <c r="H884" t="s">
        <v>15</v>
      </c>
      <c r="I884">
        <v>90</v>
      </c>
      <c r="J884" t="b">
        <v>0</v>
      </c>
    </row>
    <row r="885" spans="1:10" x14ac:dyDescent="0.3">
      <c r="A885">
        <v>884</v>
      </c>
      <c r="B885" t="s">
        <v>866</v>
      </c>
      <c r="C885" t="s">
        <v>14</v>
      </c>
      <c r="D885">
        <v>91</v>
      </c>
      <c r="E885">
        <v>15</v>
      </c>
      <c r="F885">
        <v>88</v>
      </c>
      <c r="G885">
        <v>1</v>
      </c>
      <c r="H885" t="s">
        <v>12</v>
      </c>
      <c r="I885">
        <v>80</v>
      </c>
      <c r="J885" t="b">
        <v>0</v>
      </c>
    </row>
    <row r="886" spans="1:10" x14ac:dyDescent="0.3">
      <c r="A886">
        <v>885</v>
      </c>
      <c r="B886" t="s">
        <v>867</v>
      </c>
      <c r="C886" t="s">
        <v>11</v>
      </c>
      <c r="D886">
        <v>91</v>
      </c>
      <c r="E886">
        <v>20</v>
      </c>
      <c r="F886">
        <v>70</v>
      </c>
      <c r="G886">
        <v>2</v>
      </c>
      <c r="H886" t="s">
        <v>17</v>
      </c>
      <c r="I886">
        <v>92</v>
      </c>
      <c r="J886" t="b">
        <v>0</v>
      </c>
    </row>
    <row r="887" spans="1:10" x14ac:dyDescent="0.3">
      <c r="A887">
        <v>886</v>
      </c>
      <c r="B887" t="s">
        <v>868</v>
      </c>
      <c r="C887" t="s">
        <v>14</v>
      </c>
      <c r="D887">
        <v>92</v>
      </c>
      <c r="E887">
        <v>15</v>
      </c>
      <c r="F887">
        <v>88</v>
      </c>
      <c r="G887">
        <v>1</v>
      </c>
      <c r="H887" t="s">
        <v>17</v>
      </c>
      <c r="I887">
        <v>90</v>
      </c>
      <c r="J887" t="b">
        <v>0</v>
      </c>
    </row>
    <row r="888" spans="1:10" x14ac:dyDescent="0.3">
      <c r="A888">
        <v>887</v>
      </c>
      <c r="B888" t="s">
        <v>869</v>
      </c>
      <c r="C888" t="s">
        <v>11</v>
      </c>
      <c r="D888">
        <v>91</v>
      </c>
      <c r="E888">
        <v>17</v>
      </c>
      <c r="F888">
        <v>60</v>
      </c>
      <c r="G888">
        <v>3</v>
      </c>
      <c r="H888" t="s">
        <v>12</v>
      </c>
      <c r="I888">
        <v>90</v>
      </c>
      <c r="J888" t="b">
        <v>1</v>
      </c>
    </row>
    <row r="889" spans="1:10" x14ac:dyDescent="0.3">
      <c r="A889">
        <v>888</v>
      </c>
      <c r="B889" t="s">
        <v>870</v>
      </c>
      <c r="C889" t="s">
        <v>14</v>
      </c>
      <c r="D889">
        <v>91</v>
      </c>
      <c r="E889">
        <v>25</v>
      </c>
      <c r="F889">
        <v>65</v>
      </c>
      <c r="G889">
        <v>1</v>
      </c>
      <c r="H889" t="s">
        <v>17</v>
      </c>
      <c r="I889">
        <v>80.030208333333334</v>
      </c>
      <c r="J889" t="b">
        <v>1</v>
      </c>
    </row>
    <row r="890" spans="1:10" x14ac:dyDescent="0.3">
      <c r="A890">
        <v>889</v>
      </c>
      <c r="B890" t="s">
        <v>871</v>
      </c>
      <c r="C890" t="s">
        <v>14</v>
      </c>
      <c r="D890">
        <v>78</v>
      </c>
      <c r="E890">
        <v>17</v>
      </c>
      <c r="F890">
        <v>85</v>
      </c>
      <c r="G890">
        <v>1</v>
      </c>
      <c r="H890" t="s">
        <v>17</v>
      </c>
      <c r="I890">
        <v>72</v>
      </c>
      <c r="J890" t="b">
        <v>1</v>
      </c>
    </row>
    <row r="891" spans="1:10" x14ac:dyDescent="0.3">
      <c r="A891">
        <v>890</v>
      </c>
      <c r="B891" t="s">
        <v>872</v>
      </c>
      <c r="C891" t="s">
        <v>11</v>
      </c>
      <c r="D891">
        <v>70</v>
      </c>
      <c r="E891">
        <v>15</v>
      </c>
      <c r="F891">
        <v>65</v>
      </c>
      <c r="G891">
        <v>1</v>
      </c>
      <c r="H891" t="s">
        <v>15</v>
      </c>
      <c r="I891">
        <v>85</v>
      </c>
      <c r="J891" t="b">
        <v>0</v>
      </c>
    </row>
    <row r="892" spans="1:10" x14ac:dyDescent="0.3">
      <c r="A892">
        <v>891</v>
      </c>
      <c r="B892" t="s">
        <v>873</v>
      </c>
      <c r="C892" t="s">
        <v>11</v>
      </c>
      <c r="D892">
        <v>82</v>
      </c>
      <c r="E892">
        <v>17</v>
      </c>
      <c r="F892">
        <v>85</v>
      </c>
      <c r="G892">
        <v>1</v>
      </c>
      <c r="H892" t="s">
        <v>12</v>
      </c>
      <c r="I892">
        <v>88</v>
      </c>
      <c r="J892" t="b">
        <v>1</v>
      </c>
    </row>
    <row r="893" spans="1:10" x14ac:dyDescent="0.3">
      <c r="A893">
        <v>892</v>
      </c>
      <c r="B893" t="s">
        <v>874</v>
      </c>
      <c r="C893" t="s">
        <v>14</v>
      </c>
      <c r="D893">
        <v>70</v>
      </c>
      <c r="E893">
        <v>12</v>
      </c>
      <c r="F893">
        <v>60</v>
      </c>
      <c r="G893">
        <v>3</v>
      </c>
      <c r="H893" t="s">
        <v>12</v>
      </c>
      <c r="I893">
        <v>85</v>
      </c>
      <c r="J893" t="b">
        <v>1</v>
      </c>
    </row>
    <row r="894" spans="1:10" x14ac:dyDescent="0.3">
      <c r="A894">
        <v>893</v>
      </c>
      <c r="B894" t="s">
        <v>875</v>
      </c>
      <c r="C894" t="s">
        <v>14</v>
      </c>
      <c r="D894">
        <v>91</v>
      </c>
      <c r="E894">
        <v>25</v>
      </c>
      <c r="F894">
        <v>85</v>
      </c>
      <c r="G894">
        <v>3</v>
      </c>
      <c r="H894" t="s">
        <v>15</v>
      </c>
      <c r="I894">
        <v>68</v>
      </c>
      <c r="J894" t="b">
        <v>1</v>
      </c>
    </row>
    <row r="895" spans="1:10" x14ac:dyDescent="0.3">
      <c r="A895">
        <v>894</v>
      </c>
      <c r="B895" t="s">
        <v>876</v>
      </c>
      <c r="C895" t="s">
        <v>11</v>
      </c>
      <c r="D895">
        <v>91</v>
      </c>
      <c r="E895">
        <v>12</v>
      </c>
      <c r="F895">
        <v>90</v>
      </c>
      <c r="G895">
        <v>0</v>
      </c>
      <c r="H895" t="s">
        <v>15</v>
      </c>
      <c r="I895">
        <v>90</v>
      </c>
      <c r="J895" t="b">
        <v>1</v>
      </c>
    </row>
    <row r="896" spans="1:10" x14ac:dyDescent="0.3">
      <c r="A896">
        <v>895</v>
      </c>
      <c r="B896" t="s">
        <v>877</v>
      </c>
      <c r="C896" t="s">
        <v>11</v>
      </c>
      <c r="D896">
        <v>90</v>
      </c>
      <c r="E896">
        <v>8</v>
      </c>
      <c r="F896">
        <v>78</v>
      </c>
      <c r="G896">
        <v>2</v>
      </c>
      <c r="H896" t="s">
        <v>15</v>
      </c>
      <c r="I896">
        <v>90</v>
      </c>
      <c r="J896" t="b">
        <v>1</v>
      </c>
    </row>
    <row r="897" spans="1:10" x14ac:dyDescent="0.3">
      <c r="A897">
        <v>896</v>
      </c>
      <c r="B897" t="s">
        <v>878</v>
      </c>
      <c r="C897" t="s">
        <v>14</v>
      </c>
      <c r="D897">
        <v>78</v>
      </c>
      <c r="E897">
        <v>22</v>
      </c>
      <c r="F897">
        <v>82</v>
      </c>
      <c r="G897">
        <v>0</v>
      </c>
      <c r="H897" t="s">
        <v>17</v>
      </c>
      <c r="I897">
        <v>80</v>
      </c>
      <c r="J897" t="b">
        <v>1</v>
      </c>
    </row>
    <row r="898" spans="1:10" x14ac:dyDescent="0.3">
      <c r="A898">
        <v>897</v>
      </c>
      <c r="B898" t="s">
        <v>879</v>
      </c>
      <c r="C898" t="s">
        <v>14</v>
      </c>
      <c r="D898">
        <v>92</v>
      </c>
      <c r="E898">
        <v>17</v>
      </c>
      <c r="F898">
        <v>82</v>
      </c>
      <c r="G898">
        <v>0</v>
      </c>
      <c r="H898" t="s">
        <v>12</v>
      </c>
      <c r="I898">
        <v>90</v>
      </c>
      <c r="J898" t="b">
        <v>1</v>
      </c>
    </row>
    <row r="899" spans="1:10" x14ac:dyDescent="0.3">
      <c r="A899">
        <v>898</v>
      </c>
      <c r="B899" t="s">
        <v>880</v>
      </c>
      <c r="C899" t="s">
        <v>11</v>
      </c>
      <c r="D899">
        <v>78</v>
      </c>
      <c r="E899">
        <v>17</v>
      </c>
      <c r="F899">
        <v>60</v>
      </c>
      <c r="G899">
        <v>2</v>
      </c>
      <c r="H899" t="s">
        <v>17</v>
      </c>
      <c r="I899">
        <v>68</v>
      </c>
      <c r="J899" t="b">
        <v>0</v>
      </c>
    </row>
    <row r="900" spans="1:10" x14ac:dyDescent="0.3">
      <c r="A900">
        <v>899</v>
      </c>
      <c r="B900" t="s">
        <v>881</v>
      </c>
      <c r="C900" t="s">
        <v>14</v>
      </c>
      <c r="D900">
        <v>85</v>
      </c>
      <c r="E900">
        <v>30</v>
      </c>
      <c r="F900">
        <v>60</v>
      </c>
      <c r="G900">
        <v>0</v>
      </c>
      <c r="H900" t="s">
        <v>12</v>
      </c>
      <c r="I900">
        <v>72</v>
      </c>
      <c r="J900" t="b">
        <v>1</v>
      </c>
    </row>
    <row r="901" spans="1:10" x14ac:dyDescent="0.3">
      <c r="A901">
        <v>900</v>
      </c>
      <c r="B901" t="s">
        <v>882</v>
      </c>
      <c r="C901" t="s">
        <v>14</v>
      </c>
      <c r="D901">
        <v>90</v>
      </c>
      <c r="E901">
        <v>10</v>
      </c>
      <c r="F901">
        <v>88</v>
      </c>
      <c r="G901">
        <v>3</v>
      </c>
      <c r="H901" t="s">
        <v>12</v>
      </c>
      <c r="I901">
        <v>85</v>
      </c>
      <c r="J901" t="b">
        <v>1</v>
      </c>
    </row>
    <row r="902" spans="1:10" x14ac:dyDescent="0.3">
      <c r="A902">
        <v>901</v>
      </c>
      <c r="B902" t="s">
        <v>883</v>
      </c>
      <c r="C902" t="s">
        <v>14</v>
      </c>
      <c r="D902">
        <v>85.510416666666671</v>
      </c>
      <c r="E902">
        <v>10</v>
      </c>
      <c r="F902">
        <v>90</v>
      </c>
      <c r="G902">
        <v>3</v>
      </c>
      <c r="H902" t="s">
        <v>17</v>
      </c>
      <c r="I902">
        <v>92</v>
      </c>
      <c r="J902" t="b">
        <v>0</v>
      </c>
    </row>
    <row r="903" spans="1:10" x14ac:dyDescent="0.3">
      <c r="A903">
        <v>902</v>
      </c>
      <c r="B903" t="s">
        <v>884</v>
      </c>
      <c r="C903" t="s">
        <v>11</v>
      </c>
      <c r="D903">
        <v>70</v>
      </c>
      <c r="E903">
        <v>8</v>
      </c>
      <c r="F903">
        <v>65</v>
      </c>
      <c r="G903">
        <v>1</v>
      </c>
      <c r="H903" t="s">
        <v>12</v>
      </c>
      <c r="I903">
        <v>90</v>
      </c>
      <c r="J903" t="b">
        <v>1</v>
      </c>
    </row>
    <row r="904" spans="1:10" x14ac:dyDescent="0.3">
      <c r="A904">
        <v>903</v>
      </c>
      <c r="B904" t="s">
        <v>885</v>
      </c>
      <c r="C904" t="s">
        <v>14</v>
      </c>
      <c r="D904">
        <v>91</v>
      </c>
      <c r="E904">
        <v>8</v>
      </c>
      <c r="F904">
        <v>65</v>
      </c>
      <c r="G904">
        <v>0</v>
      </c>
      <c r="H904" t="s">
        <v>12</v>
      </c>
      <c r="I904">
        <v>80</v>
      </c>
      <c r="J904" t="b">
        <v>0</v>
      </c>
    </row>
    <row r="905" spans="1:10" x14ac:dyDescent="0.3">
      <c r="A905">
        <v>904</v>
      </c>
      <c r="B905" t="s">
        <v>886</v>
      </c>
      <c r="C905" t="s">
        <v>11</v>
      </c>
      <c r="D905">
        <v>70</v>
      </c>
      <c r="E905">
        <v>20</v>
      </c>
      <c r="F905">
        <v>77</v>
      </c>
      <c r="G905">
        <v>0</v>
      </c>
      <c r="H905" t="s">
        <v>15</v>
      </c>
      <c r="I905">
        <v>78</v>
      </c>
      <c r="J905" t="b">
        <v>1</v>
      </c>
    </row>
    <row r="906" spans="1:10" x14ac:dyDescent="0.3">
      <c r="A906">
        <v>905</v>
      </c>
      <c r="B906" t="s">
        <v>887</v>
      </c>
      <c r="C906" t="s">
        <v>11</v>
      </c>
      <c r="D906">
        <v>85</v>
      </c>
      <c r="E906">
        <v>12</v>
      </c>
      <c r="F906">
        <v>90</v>
      </c>
      <c r="G906">
        <v>1</v>
      </c>
      <c r="H906" t="s">
        <v>17</v>
      </c>
      <c r="I906">
        <v>88</v>
      </c>
      <c r="J906" t="b">
        <v>0</v>
      </c>
    </row>
    <row r="907" spans="1:10" x14ac:dyDescent="0.3">
      <c r="A907">
        <v>906</v>
      </c>
      <c r="B907" t="s">
        <v>888</v>
      </c>
      <c r="C907" t="s">
        <v>11</v>
      </c>
      <c r="D907">
        <v>70</v>
      </c>
      <c r="E907">
        <v>17</v>
      </c>
      <c r="F907">
        <v>60</v>
      </c>
      <c r="G907">
        <v>2</v>
      </c>
      <c r="H907" t="s">
        <v>17</v>
      </c>
      <c r="I907">
        <v>68</v>
      </c>
      <c r="J907" t="b">
        <v>1</v>
      </c>
    </row>
    <row r="908" spans="1:10" x14ac:dyDescent="0.3">
      <c r="A908">
        <v>907</v>
      </c>
      <c r="B908" t="s">
        <v>889</v>
      </c>
      <c r="C908" t="s">
        <v>11</v>
      </c>
      <c r="D908">
        <v>70</v>
      </c>
      <c r="E908">
        <v>12</v>
      </c>
      <c r="F908">
        <v>70</v>
      </c>
      <c r="G908">
        <v>2</v>
      </c>
      <c r="H908" t="s">
        <v>15</v>
      </c>
      <c r="I908">
        <v>87</v>
      </c>
      <c r="J908" t="b">
        <v>1</v>
      </c>
    </row>
    <row r="909" spans="1:10" x14ac:dyDescent="0.3">
      <c r="A909">
        <v>908</v>
      </c>
      <c r="B909" t="s">
        <v>890</v>
      </c>
      <c r="C909" t="s">
        <v>11</v>
      </c>
      <c r="D909">
        <v>78</v>
      </c>
      <c r="E909">
        <v>22</v>
      </c>
      <c r="F909">
        <v>65</v>
      </c>
      <c r="G909">
        <v>1</v>
      </c>
      <c r="H909" t="s">
        <v>17</v>
      </c>
      <c r="I909">
        <v>78</v>
      </c>
      <c r="J909" t="b">
        <v>1</v>
      </c>
    </row>
    <row r="910" spans="1:10" x14ac:dyDescent="0.3">
      <c r="A910">
        <v>909</v>
      </c>
      <c r="B910" t="s">
        <v>891</v>
      </c>
      <c r="C910" t="s">
        <v>11</v>
      </c>
      <c r="D910">
        <v>78</v>
      </c>
      <c r="E910">
        <v>20</v>
      </c>
      <c r="F910">
        <v>70</v>
      </c>
      <c r="G910">
        <v>2</v>
      </c>
      <c r="H910" t="s">
        <v>12</v>
      </c>
      <c r="I910">
        <v>87</v>
      </c>
      <c r="J910" t="b">
        <v>0</v>
      </c>
    </row>
    <row r="911" spans="1:10" x14ac:dyDescent="0.3">
      <c r="A911">
        <v>910</v>
      </c>
      <c r="B911" t="s">
        <v>892</v>
      </c>
      <c r="C911" t="s">
        <v>11</v>
      </c>
      <c r="D911">
        <v>70</v>
      </c>
      <c r="E911">
        <v>15</v>
      </c>
      <c r="F911">
        <v>90</v>
      </c>
      <c r="G911">
        <v>2</v>
      </c>
      <c r="H911" t="s">
        <v>12</v>
      </c>
      <c r="I911">
        <v>72</v>
      </c>
      <c r="J911" t="b">
        <v>0</v>
      </c>
    </row>
    <row r="912" spans="1:10" x14ac:dyDescent="0.3">
      <c r="A912">
        <v>911</v>
      </c>
      <c r="B912" t="s">
        <v>893</v>
      </c>
      <c r="C912" t="s">
        <v>14</v>
      </c>
      <c r="D912">
        <v>95</v>
      </c>
      <c r="E912">
        <v>12</v>
      </c>
      <c r="F912">
        <v>88</v>
      </c>
      <c r="G912">
        <v>3</v>
      </c>
      <c r="H912" t="s">
        <v>17</v>
      </c>
      <c r="I912">
        <v>72</v>
      </c>
      <c r="J912" t="b">
        <v>1</v>
      </c>
    </row>
    <row r="913" spans="1:10" x14ac:dyDescent="0.3">
      <c r="A913">
        <v>912</v>
      </c>
      <c r="B913" t="s">
        <v>894</v>
      </c>
      <c r="C913" t="s">
        <v>11</v>
      </c>
      <c r="D913">
        <v>92</v>
      </c>
      <c r="E913">
        <v>10</v>
      </c>
      <c r="F913">
        <v>82</v>
      </c>
      <c r="G913">
        <v>3</v>
      </c>
      <c r="H913" t="s">
        <v>12</v>
      </c>
      <c r="I913">
        <v>88</v>
      </c>
      <c r="J913" t="b">
        <v>0</v>
      </c>
    </row>
    <row r="914" spans="1:10" x14ac:dyDescent="0.3">
      <c r="A914">
        <v>913</v>
      </c>
      <c r="B914" t="s">
        <v>895</v>
      </c>
      <c r="C914" t="s">
        <v>11</v>
      </c>
      <c r="D914">
        <v>91</v>
      </c>
      <c r="E914">
        <v>8</v>
      </c>
      <c r="F914">
        <v>85</v>
      </c>
      <c r="G914">
        <v>2</v>
      </c>
      <c r="H914" t="s">
        <v>15</v>
      </c>
      <c r="I914">
        <v>85</v>
      </c>
      <c r="J914" t="b">
        <v>0</v>
      </c>
    </row>
    <row r="915" spans="1:10" x14ac:dyDescent="0.3">
      <c r="A915">
        <v>914</v>
      </c>
      <c r="B915" t="s">
        <v>896</v>
      </c>
      <c r="C915" t="s">
        <v>11</v>
      </c>
      <c r="D915">
        <v>88</v>
      </c>
      <c r="E915">
        <v>8</v>
      </c>
      <c r="F915">
        <v>65</v>
      </c>
      <c r="G915">
        <v>2</v>
      </c>
      <c r="H915" t="s">
        <v>12</v>
      </c>
      <c r="I915">
        <v>87</v>
      </c>
      <c r="J915" t="b">
        <v>1</v>
      </c>
    </row>
    <row r="916" spans="1:10" x14ac:dyDescent="0.3">
      <c r="A916">
        <v>915</v>
      </c>
      <c r="B916" t="s">
        <v>897</v>
      </c>
      <c r="C916" t="s">
        <v>11</v>
      </c>
      <c r="D916">
        <v>70</v>
      </c>
      <c r="E916">
        <v>10</v>
      </c>
      <c r="F916">
        <v>88</v>
      </c>
      <c r="G916">
        <v>0</v>
      </c>
      <c r="H916" t="s">
        <v>15</v>
      </c>
      <c r="I916">
        <v>80</v>
      </c>
      <c r="J916" t="b">
        <v>1</v>
      </c>
    </row>
    <row r="917" spans="1:10" x14ac:dyDescent="0.3">
      <c r="A917">
        <v>916</v>
      </c>
      <c r="B917" t="s">
        <v>898</v>
      </c>
      <c r="C917" t="s">
        <v>11</v>
      </c>
      <c r="D917">
        <v>82</v>
      </c>
      <c r="E917">
        <v>20</v>
      </c>
      <c r="F917">
        <v>70</v>
      </c>
      <c r="G917">
        <v>0</v>
      </c>
      <c r="H917" t="s">
        <v>12</v>
      </c>
      <c r="I917">
        <v>90</v>
      </c>
      <c r="J917" t="b">
        <v>0</v>
      </c>
    </row>
    <row r="918" spans="1:10" x14ac:dyDescent="0.3">
      <c r="A918">
        <v>917</v>
      </c>
      <c r="B918" t="s">
        <v>899</v>
      </c>
      <c r="C918" t="s">
        <v>11</v>
      </c>
      <c r="D918">
        <v>92</v>
      </c>
      <c r="E918">
        <v>18</v>
      </c>
      <c r="F918">
        <v>78</v>
      </c>
      <c r="G918">
        <v>1</v>
      </c>
      <c r="H918" t="s">
        <v>15</v>
      </c>
      <c r="I918">
        <v>92</v>
      </c>
      <c r="J918" t="b">
        <v>1</v>
      </c>
    </row>
    <row r="919" spans="1:10" x14ac:dyDescent="0.3">
      <c r="A919">
        <v>918</v>
      </c>
      <c r="B919" t="s">
        <v>900</v>
      </c>
      <c r="C919" t="s">
        <v>14</v>
      </c>
      <c r="D919">
        <v>91</v>
      </c>
      <c r="E919">
        <v>17</v>
      </c>
      <c r="F919">
        <v>85</v>
      </c>
      <c r="G919">
        <v>2</v>
      </c>
      <c r="H919" t="s">
        <v>15</v>
      </c>
      <c r="I919">
        <v>88</v>
      </c>
      <c r="J919" t="b">
        <v>0</v>
      </c>
    </row>
    <row r="920" spans="1:10" x14ac:dyDescent="0.3">
      <c r="A920">
        <v>919</v>
      </c>
      <c r="B920" t="s">
        <v>901</v>
      </c>
      <c r="C920" t="s">
        <v>11</v>
      </c>
      <c r="D920">
        <v>78</v>
      </c>
      <c r="E920">
        <v>30</v>
      </c>
      <c r="F920">
        <v>60</v>
      </c>
      <c r="G920">
        <v>0</v>
      </c>
      <c r="H920" t="s">
        <v>15</v>
      </c>
      <c r="I920">
        <v>72</v>
      </c>
      <c r="J920" t="b">
        <v>0</v>
      </c>
    </row>
    <row r="921" spans="1:10" x14ac:dyDescent="0.3">
      <c r="A921">
        <v>920</v>
      </c>
      <c r="B921" t="s">
        <v>902</v>
      </c>
      <c r="C921" t="s">
        <v>14</v>
      </c>
      <c r="D921">
        <v>85</v>
      </c>
      <c r="E921">
        <v>12</v>
      </c>
      <c r="F921">
        <v>77.598759048603924</v>
      </c>
      <c r="G921">
        <v>0</v>
      </c>
      <c r="H921" t="s">
        <v>12</v>
      </c>
      <c r="I921">
        <v>62</v>
      </c>
      <c r="J921" t="b">
        <v>1</v>
      </c>
    </row>
    <row r="922" spans="1:10" x14ac:dyDescent="0.3">
      <c r="A922">
        <v>921</v>
      </c>
      <c r="B922" t="s">
        <v>903</v>
      </c>
      <c r="C922" t="s">
        <v>11</v>
      </c>
      <c r="D922">
        <v>91</v>
      </c>
      <c r="E922">
        <v>8</v>
      </c>
      <c r="F922">
        <v>77</v>
      </c>
      <c r="G922">
        <v>0</v>
      </c>
      <c r="H922" t="s">
        <v>15</v>
      </c>
      <c r="I922">
        <v>80.030208333333334</v>
      </c>
      <c r="J922" t="b">
        <v>0</v>
      </c>
    </row>
    <row r="923" spans="1:10" x14ac:dyDescent="0.3">
      <c r="A923">
        <v>922</v>
      </c>
      <c r="B923" t="s">
        <v>904</v>
      </c>
      <c r="C923" t="s">
        <v>14</v>
      </c>
      <c r="D923">
        <v>85.510416666666671</v>
      </c>
      <c r="E923">
        <v>25</v>
      </c>
      <c r="F923">
        <v>82</v>
      </c>
      <c r="G923">
        <v>2</v>
      </c>
      <c r="H923" t="s">
        <v>15</v>
      </c>
      <c r="I923">
        <v>62</v>
      </c>
      <c r="J923" t="b">
        <v>1</v>
      </c>
    </row>
    <row r="924" spans="1:10" x14ac:dyDescent="0.3">
      <c r="A924">
        <v>923</v>
      </c>
      <c r="B924" t="s">
        <v>905</v>
      </c>
      <c r="C924" t="s">
        <v>11</v>
      </c>
      <c r="D924">
        <v>90</v>
      </c>
      <c r="E924">
        <v>10</v>
      </c>
      <c r="F924">
        <v>86</v>
      </c>
      <c r="G924">
        <v>1</v>
      </c>
      <c r="H924" t="s">
        <v>12</v>
      </c>
      <c r="I924">
        <v>85</v>
      </c>
      <c r="J924" t="b">
        <v>1</v>
      </c>
    </row>
    <row r="925" spans="1:10" x14ac:dyDescent="0.3">
      <c r="A925">
        <v>924</v>
      </c>
      <c r="B925" t="s">
        <v>906</v>
      </c>
      <c r="C925" t="s">
        <v>11</v>
      </c>
      <c r="D925">
        <v>85</v>
      </c>
      <c r="E925">
        <v>17</v>
      </c>
      <c r="F925">
        <v>70</v>
      </c>
      <c r="G925">
        <v>2</v>
      </c>
      <c r="H925" t="s">
        <v>17</v>
      </c>
      <c r="I925">
        <v>87</v>
      </c>
      <c r="J925" t="b">
        <v>1</v>
      </c>
    </row>
    <row r="926" spans="1:10" x14ac:dyDescent="0.3">
      <c r="A926">
        <v>925</v>
      </c>
      <c r="B926" t="s">
        <v>907</v>
      </c>
      <c r="C926" t="s">
        <v>14</v>
      </c>
      <c r="D926">
        <v>85.510416666666671</v>
      </c>
      <c r="E926">
        <v>30</v>
      </c>
      <c r="F926">
        <v>90</v>
      </c>
      <c r="G926">
        <v>2</v>
      </c>
      <c r="H926" t="s">
        <v>17</v>
      </c>
      <c r="I926">
        <v>88</v>
      </c>
      <c r="J926" t="b">
        <v>1</v>
      </c>
    </row>
    <row r="927" spans="1:10" x14ac:dyDescent="0.3">
      <c r="A927">
        <v>926</v>
      </c>
      <c r="B927" t="s">
        <v>908</v>
      </c>
      <c r="C927" t="s">
        <v>11</v>
      </c>
      <c r="D927">
        <v>78</v>
      </c>
      <c r="E927">
        <v>17.630526315789474</v>
      </c>
      <c r="F927">
        <v>88</v>
      </c>
      <c r="G927">
        <v>0</v>
      </c>
      <c r="H927" t="s">
        <v>12</v>
      </c>
      <c r="I927">
        <v>90</v>
      </c>
      <c r="J927" t="b">
        <v>0</v>
      </c>
    </row>
    <row r="928" spans="1:10" x14ac:dyDescent="0.3">
      <c r="A928">
        <v>927</v>
      </c>
      <c r="B928" t="s">
        <v>909</v>
      </c>
      <c r="C928" t="s">
        <v>11</v>
      </c>
      <c r="D928">
        <v>95</v>
      </c>
      <c r="E928">
        <v>20</v>
      </c>
      <c r="F928">
        <v>88</v>
      </c>
      <c r="G928">
        <v>3</v>
      </c>
      <c r="H928" t="s">
        <v>17</v>
      </c>
      <c r="I928">
        <v>87</v>
      </c>
      <c r="J928" t="b">
        <v>0</v>
      </c>
    </row>
    <row r="929" spans="1:10" x14ac:dyDescent="0.3">
      <c r="A929">
        <v>928</v>
      </c>
      <c r="B929" t="s">
        <v>910</v>
      </c>
      <c r="C929" t="s">
        <v>11</v>
      </c>
      <c r="D929">
        <v>85</v>
      </c>
      <c r="E929">
        <v>22</v>
      </c>
      <c r="F929">
        <v>60</v>
      </c>
      <c r="G929">
        <v>3</v>
      </c>
      <c r="H929" t="s">
        <v>15</v>
      </c>
      <c r="I929">
        <v>72</v>
      </c>
      <c r="J929" t="b">
        <v>0</v>
      </c>
    </row>
    <row r="930" spans="1:10" x14ac:dyDescent="0.3">
      <c r="A930">
        <v>929</v>
      </c>
      <c r="B930" t="s">
        <v>911</v>
      </c>
      <c r="C930" t="s">
        <v>11</v>
      </c>
      <c r="D930">
        <v>95</v>
      </c>
      <c r="E930">
        <v>15</v>
      </c>
      <c r="F930">
        <v>86</v>
      </c>
      <c r="G930">
        <v>1</v>
      </c>
      <c r="H930" t="s">
        <v>15</v>
      </c>
      <c r="I930">
        <v>85</v>
      </c>
      <c r="J930" t="b">
        <v>0</v>
      </c>
    </row>
    <row r="931" spans="1:10" x14ac:dyDescent="0.3">
      <c r="A931">
        <v>930</v>
      </c>
      <c r="B931" t="s">
        <v>912</v>
      </c>
      <c r="C931" t="s">
        <v>977</v>
      </c>
      <c r="D931">
        <v>95</v>
      </c>
      <c r="E931">
        <v>15</v>
      </c>
      <c r="F931">
        <v>85</v>
      </c>
      <c r="G931">
        <v>0</v>
      </c>
      <c r="H931" t="s">
        <v>15</v>
      </c>
      <c r="I931">
        <v>92</v>
      </c>
      <c r="J931" t="b">
        <v>1</v>
      </c>
    </row>
    <row r="932" spans="1:10" x14ac:dyDescent="0.3">
      <c r="A932">
        <v>931</v>
      </c>
      <c r="B932" t="s">
        <v>913</v>
      </c>
      <c r="C932" t="s">
        <v>11</v>
      </c>
      <c r="D932">
        <v>85.510416666666671</v>
      </c>
      <c r="E932">
        <v>15</v>
      </c>
      <c r="F932">
        <v>65</v>
      </c>
      <c r="G932">
        <v>2</v>
      </c>
      <c r="H932" t="s">
        <v>12</v>
      </c>
      <c r="I932">
        <v>78</v>
      </c>
      <c r="J932" t="b">
        <v>0</v>
      </c>
    </row>
    <row r="933" spans="1:10" x14ac:dyDescent="0.3">
      <c r="A933">
        <v>932</v>
      </c>
      <c r="B933" t="s">
        <v>914</v>
      </c>
      <c r="C933" t="s">
        <v>11</v>
      </c>
      <c r="D933">
        <v>85.510416666666671</v>
      </c>
      <c r="E933">
        <v>18</v>
      </c>
      <c r="F933">
        <v>85</v>
      </c>
      <c r="G933">
        <v>1</v>
      </c>
      <c r="H933" t="s">
        <v>17</v>
      </c>
      <c r="I933">
        <v>78</v>
      </c>
      <c r="J933" t="b">
        <v>0</v>
      </c>
    </row>
    <row r="934" spans="1:10" x14ac:dyDescent="0.3">
      <c r="A934">
        <v>933</v>
      </c>
      <c r="B934" t="s">
        <v>915</v>
      </c>
      <c r="C934" t="s">
        <v>14</v>
      </c>
      <c r="D934">
        <v>92</v>
      </c>
      <c r="E934">
        <v>20</v>
      </c>
      <c r="F934">
        <v>90</v>
      </c>
      <c r="G934">
        <v>2</v>
      </c>
      <c r="H934" t="s">
        <v>12</v>
      </c>
      <c r="I934">
        <v>68</v>
      </c>
      <c r="J934" t="b">
        <v>0</v>
      </c>
    </row>
    <row r="935" spans="1:10" x14ac:dyDescent="0.3">
      <c r="A935">
        <v>934</v>
      </c>
      <c r="B935" t="s">
        <v>916</v>
      </c>
      <c r="C935" t="s">
        <v>11</v>
      </c>
      <c r="D935">
        <v>92</v>
      </c>
      <c r="E935">
        <v>17</v>
      </c>
      <c r="F935">
        <v>82</v>
      </c>
      <c r="G935">
        <v>2</v>
      </c>
      <c r="H935" t="s">
        <v>15</v>
      </c>
      <c r="I935">
        <v>78</v>
      </c>
      <c r="J935" t="b">
        <v>1</v>
      </c>
    </row>
    <row r="936" spans="1:10" x14ac:dyDescent="0.3">
      <c r="A936">
        <v>935</v>
      </c>
      <c r="B936" t="s">
        <v>917</v>
      </c>
      <c r="C936" t="s">
        <v>14</v>
      </c>
      <c r="D936">
        <v>82</v>
      </c>
      <c r="E936">
        <v>8</v>
      </c>
      <c r="F936">
        <v>65</v>
      </c>
      <c r="G936">
        <v>1</v>
      </c>
      <c r="H936" t="s">
        <v>12</v>
      </c>
      <c r="I936">
        <v>80</v>
      </c>
      <c r="J936" t="b">
        <v>1</v>
      </c>
    </row>
    <row r="937" spans="1:10" x14ac:dyDescent="0.3">
      <c r="A937">
        <v>936</v>
      </c>
      <c r="B937" t="s">
        <v>918</v>
      </c>
      <c r="C937" t="s">
        <v>977</v>
      </c>
      <c r="D937">
        <v>95</v>
      </c>
      <c r="E937">
        <v>8</v>
      </c>
      <c r="F937">
        <v>86</v>
      </c>
      <c r="G937">
        <v>1</v>
      </c>
      <c r="H937" t="s">
        <v>15</v>
      </c>
      <c r="I937">
        <v>78</v>
      </c>
      <c r="J937" t="b">
        <v>1</v>
      </c>
    </row>
    <row r="938" spans="1:10" x14ac:dyDescent="0.3">
      <c r="A938">
        <v>937</v>
      </c>
      <c r="B938" t="s">
        <v>919</v>
      </c>
      <c r="C938" t="s">
        <v>11</v>
      </c>
      <c r="D938">
        <v>91</v>
      </c>
      <c r="E938">
        <v>10</v>
      </c>
      <c r="F938">
        <v>70</v>
      </c>
      <c r="G938">
        <v>0</v>
      </c>
      <c r="H938" t="s">
        <v>12</v>
      </c>
      <c r="I938">
        <v>85</v>
      </c>
      <c r="J938" t="b">
        <v>1</v>
      </c>
    </row>
    <row r="939" spans="1:10" x14ac:dyDescent="0.3">
      <c r="A939">
        <v>938</v>
      </c>
      <c r="B939" t="s">
        <v>920</v>
      </c>
      <c r="C939" t="s">
        <v>11</v>
      </c>
      <c r="D939">
        <v>85</v>
      </c>
      <c r="E939">
        <v>20</v>
      </c>
      <c r="F939">
        <v>70</v>
      </c>
      <c r="G939">
        <v>3</v>
      </c>
      <c r="H939" t="s">
        <v>12</v>
      </c>
      <c r="I939">
        <v>92</v>
      </c>
      <c r="J939" t="b">
        <v>1</v>
      </c>
    </row>
    <row r="940" spans="1:10" x14ac:dyDescent="0.3">
      <c r="A940">
        <v>939</v>
      </c>
      <c r="B940" t="s">
        <v>921</v>
      </c>
      <c r="C940" t="s">
        <v>11</v>
      </c>
      <c r="D940">
        <v>78</v>
      </c>
      <c r="E940">
        <v>17.630526315789474</v>
      </c>
      <c r="F940">
        <v>78</v>
      </c>
      <c r="G940">
        <v>2</v>
      </c>
      <c r="H940" t="s">
        <v>12</v>
      </c>
      <c r="I940">
        <v>68</v>
      </c>
      <c r="J940" t="b">
        <v>1</v>
      </c>
    </row>
    <row r="941" spans="1:10" x14ac:dyDescent="0.3">
      <c r="A941">
        <v>940</v>
      </c>
      <c r="B941" t="s">
        <v>922</v>
      </c>
      <c r="C941" t="s">
        <v>11</v>
      </c>
      <c r="D941">
        <v>70</v>
      </c>
      <c r="E941">
        <v>8</v>
      </c>
      <c r="F941">
        <v>70</v>
      </c>
      <c r="G941">
        <v>2</v>
      </c>
      <c r="H941" t="s">
        <v>17</v>
      </c>
      <c r="I941">
        <v>92</v>
      </c>
      <c r="J941" t="b">
        <v>0</v>
      </c>
    </row>
    <row r="942" spans="1:10" x14ac:dyDescent="0.3">
      <c r="A942">
        <v>941</v>
      </c>
      <c r="B942" t="s">
        <v>923</v>
      </c>
      <c r="C942" t="s">
        <v>14</v>
      </c>
      <c r="D942">
        <v>85</v>
      </c>
      <c r="E942">
        <v>18</v>
      </c>
      <c r="F942">
        <v>85</v>
      </c>
      <c r="G942">
        <v>2</v>
      </c>
      <c r="H942" t="s">
        <v>15</v>
      </c>
      <c r="I942">
        <v>85</v>
      </c>
      <c r="J942" t="b">
        <v>0</v>
      </c>
    </row>
    <row r="943" spans="1:10" x14ac:dyDescent="0.3">
      <c r="A943">
        <v>942</v>
      </c>
      <c r="B943" t="s">
        <v>924</v>
      </c>
      <c r="C943" t="s">
        <v>14</v>
      </c>
      <c r="D943">
        <v>85</v>
      </c>
      <c r="E943">
        <v>10</v>
      </c>
      <c r="F943">
        <v>78</v>
      </c>
      <c r="G943">
        <v>1</v>
      </c>
      <c r="H943" t="s">
        <v>12</v>
      </c>
      <c r="I943">
        <v>90</v>
      </c>
      <c r="J943" t="b">
        <v>0</v>
      </c>
    </row>
    <row r="944" spans="1:10" x14ac:dyDescent="0.3">
      <c r="A944">
        <v>943</v>
      </c>
      <c r="B944" t="s">
        <v>925</v>
      </c>
      <c r="C944" t="s">
        <v>14</v>
      </c>
      <c r="D944">
        <v>78</v>
      </c>
      <c r="E944">
        <v>18</v>
      </c>
      <c r="F944">
        <v>77.598759048603924</v>
      </c>
      <c r="G944">
        <v>1</v>
      </c>
      <c r="H944" t="s">
        <v>15</v>
      </c>
      <c r="I944">
        <v>85</v>
      </c>
      <c r="J944" t="b">
        <v>1</v>
      </c>
    </row>
    <row r="945" spans="1:10" x14ac:dyDescent="0.3">
      <c r="A945">
        <v>944</v>
      </c>
      <c r="B945" t="s">
        <v>926</v>
      </c>
      <c r="C945" t="s">
        <v>14</v>
      </c>
      <c r="D945">
        <v>95</v>
      </c>
      <c r="E945">
        <v>30</v>
      </c>
      <c r="F945">
        <v>86</v>
      </c>
      <c r="G945">
        <v>2</v>
      </c>
      <c r="H945" t="s">
        <v>17</v>
      </c>
      <c r="I945">
        <v>90</v>
      </c>
      <c r="J945" t="b">
        <v>1</v>
      </c>
    </row>
    <row r="946" spans="1:10" x14ac:dyDescent="0.3">
      <c r="A946">
        <v>945</v>
      </c>
      <c r="B946" t="s">
        <v>927</v>
      </c>
      <c r="C946" t="s">
        <v>11</v>
      </c>
      <c r="D946">
        <v>90</v>
      </c>
      <c r="E946">
        <v>10</v>
      </c>
      <c r="F946">
        <v>86</v>
      </c>
      <c r="G946">
        <v>2</v>
      </c>
      <c r="H946" t="s">
        <v>12</v>
      </c>
      <c r="I946">
        <v>88</v>
      </c>
      <c r="J946" t="b">
        <v>1</v>
      </c>
    </row>
    <row r="947" spans="1:10" x14ac:dyDescent="0.3">
      <c r="A947">
        <v>946</v>
      </c>
      <c r="B947" t="s">
        <v>928</v>
      </c>
      <c r="C947" t="s">
        <v>14</v>
      </c>
      <c r="D947">
        <v>90</v>
      </c>
      <c r="E947">
        <v>20</v>
      </c>
      <c r="F947">
        <v>70</v>
      </c>
      <c r="G947">
        <v>3</v>
      </c>
      <c r="H947" t="s">
        <v>15</v>
      </c>
      <c r="I947">
        <v>85</v>
      </c>
      <c r="J947" t="b">
        <v>1</v>
      </c>
    </row>
    <row r="948" spans="1:10" x14ac:dyDescent="0.3">
      <c r="A948">
        <v>947</v>
      </c>
      <c r="B948" t="s">
        <v>929</v>
      </c>
      <c r="C948" t="s">
        <v>11</v>
      </c>
      <c r="D948">
        <v>85</v>
      </c>
      <c r="E948">
        <v>10</v>
      </c>
      <c r="F948">
        <v>90</v>
      </c>
      <c r="G948">
        <v>0</v>
      </c>
      <c r="H948" t="s">
        <v>17</v>
      </c>
      <c r="I948">
        <v>85</v>
      </c>
      <c r="J948" t="b">
        <v>0</v>
      </c>
    </row>
    <row r="949" spans="1:10" x14ac:dyDescent="0.3">
      <c r="A949">
        <v>948</v>
      </c>
      <c r="B949" t="s">
        <v>977</v>
      </c>
      <c r="C949" t="s">
        <v>14</v>
      </c>
      <c r="D949">
        <v>90</v>
      </c>
      <c r="E949">
        <v>8</v>
      </c>
      <c r="F949">
        <v>85</v>
      </c>
      <c r="G949">
        <v>1</v>
      </c>
      <c r="H949" t="s">
        <v>15</v>
      </c>
      <c r="I949">
        <v>72</v>
      </c>
      <c r="J949" t="b">
        <v>1</v>
      </c>
    </row>
    <row r="950" spans="1:10" x14ac:dyDescent="0.3">
      <c r="A950">
        <v>949</v>
      </c>
      <c r="B950" t="s">
        <v>977</v>
      </c>
      <c r="C950" t="s">
        <v>14</v>
      </c>
      <c r="D950">
        <v>78</v>
      </c>
      <c r="E950">
        <v>18</v>
      </c>
      <c r="F950">
        <v>78</v>
      </c>
      <c r="G950">
        <v>3</v>
      </c>
      <c r="H950" t="s">
        <v>12</v>
      </c>
      <c r="I950">
        <v>80.030208333333334</v>
      </c>
      <c r="J950" t="b">
        <v>0</v>
      </c>
    </row>
    <row r="951" spans="1:10" x14ac:dyDescent="0.3">
      <c r="A951">
        <v>950</v>
      </c>
      <c r="B951" t="s">
        <v>930</v>
      </c>
      <c r="C951" t="s">
        <v>977</v>
      </c>
      <c r="D951">
        <v>78</v>
      </c>
      <c r="E951">
        <v>17</v>
      </c>
      <c r="F951">
        <v>70</v>
      </c>
      <c r="G951">
        <v>1</v>
      </c>
      <c r="H951" t="s">
        <v>17</v>
      </c>
      <c r="I951">
        <v>62</v>
      </c>
      <c r="J951" t="b">
        <v>1</v>
      </c>
    </row>
    <row r="952" spans="1:10" x14ac:dyDescent="0.3">
      <c r="A952">
        <v>951</v>
      </c>
      <c r="B952" t="s">
        <v>929</v>
      </c>
      <c r="C952" t="s">
        <v>11</v>
      </c>
      <c r="D952">
        <v>78</v>
      </c>
      <c r="E952">
        <v>22</v>
      </c>
      <c r="F952">
        <v>90</v>
      </c>
      <c r="G952">
        <v>3</v>
      </c>
      <c r="H952" t="s">
        <v>17</v>
      </c>
      <c r="I952">
        <v>80</v>
      </c>
      <c r="J952" t="b">
        <v>0</v>
      </c>
    </row>
    <row r="953" spans="1:10" x14ac:dyDescent="0.3">
      <c r="A953">
        <v>952</v>
      </c>
      <c r="B953" t="s">
        <v>931</v>
      </c>
      <c r="C953" t="s">
        <v>14</v>
      </c>
      <c r="D953">
        <v>88</v>
      </c>
      <c r="E953">
        <v>25</v>
      </c>
      <c r="F953">
        <v>82</v>
      </c>
      <c r="G953">
        <v>2</v>
      </c>
      <c r="H953" t="s">
        <v>17</v>
      </c>
      <c r="I953">
        <v>87</v>
      </c>
      <c r="J953" t="b">
        <v>1</v>
      </c>
    </row>
    <row r="954" spans="1:10" x14ac:dyDescent="0.3">
      <c r="A954">
        <v>953</v>
      </c>
      <c r="B954" t="s">
        <v>932</v>
      </c>
      <c r="C954" t="s">
        <v>11</v>
      </c>
      <c r="D954">
        <v>78</v>
      </c>
      <c r="E954">
        <v>18</v>
      </c>
      <c r="F954">
        <v>65</v>
      </c>
      <c r="G954">
        <v>2</v>
      </c>
      <c r="H954" t="s">
        <v>12</v>
      </c>
      <c r="I954">
        <v>92</v>
      </c>
      <c r="J954" t="b">
        <v>1</v>
      </c>
    </row>
    <row r="955" spans="1:10" x14ac:dyDescent="0.3">
      <c r="A955">
        <v>954</v>
      </c>
      <c r="B955" t="s">
        <v>933</v>
      </c>
      <c r="C955" t="s">
        <v>14</v>
      </c>
      <c r="D955">
        <v>91</v>
      </c>
      <c r="E955">
        <v>30</v>
      </c>
      <c r="F955">
        <v>88</v>
      </c>
      <c r="G955">
        <v>2</v>
      </c>
      <c r="H955" t="s">
        <v>17</v>
      </c>
      <c r="I955">
        <v>72</v>
      </c>
      <c r="J955" t="b">
        <v>0</v>
      </c>
    </row>
    <row r="956" spans="1:10" x14ac:dyDescent="0.3">
      <c r="A956">
        <v>955</v>
      </c>
      <c r="B956" t="s">
        <v>934</v>
      </c>
      <c r="C956" t="s">
        <v>977</v>
      </c>
      <c r="D956">
        <v>85</v>
      </c>
      <c r="E956">
        <v>17.630526315789474</v>
      </c>
      <c r="F956">
        <v>88</v>
      </c>
      <c r="G956">
        <v>3</v>
      </c>
      <c r="H956" t="s">
        <v>17</v>
      </c>
      <c r="I956">
        <v>85</v>
      </c>
      <c r="J956" t="b">
        <v>1</v>
      </c>
    </row>
    <row r="957" spans="1:10" x14ac:dyDescent="0.3">
      <c r="A957">
        <v>956</v>
      </c>
      <c r="B957" t="s">
        <v>935</v>
      </c>
      <c r="C957" t="s">
        <v>14</v>
      </c>
      <c r="D957">
        <v>91</v>
      </c>
      <c r="E957">
        <v>12</v>
      </c>
      <c r="F957">
        <v>90</v>
      </c>
      <c r="G957">
        <v>1</v>
      </c>
      <c r="H957" t="s">
        <v>12</v>
      </c>
      <c r="I957">
        <v>90</v>
      </c>
      <c r="J957" t="b">
        <v>0</v>
      </c>
    </row>
    <row r="958" spans="1:10" x14ac:dyDescent="0.3">
      <c r="A958">
        <v>957</v>
      </c>
      <c r="B958" t="s">
        <v>936</v>
      </c>
      <c r="C958" t="s">
        <v>14</v>
      </c>
      <c r="D958">
        <v>92</v>
      </c>
      <c r="E958">
        <v>8</v>
      </c>
      <c r="F958">
        <v>88</v>
      </c>
      <c r="G958">
        <v>0</v>
      </c>
      <c r="H958" t="s">
        <v>15</v>
      </c>
      <c r="I958">
        <v>87</v>
      </c>
      <c r="J958" t="b">
        <v>1</v>
      </c>
    </row>
    <row r="959" spans="1:10" x14ac:dyDescent="0.3">
      <c r="A959">
        <v>958</v>
      </c>
      <c r="B959" t="s">
        <v>937</v>
      </c>
      <c r="C959" t="s">
        <v>11</v>
      </c>
      <c r="D959">
        <v>91</v>
      </c>
      <c r="E959">
        <v>17</v>
      </c>
      <c r="F959">
        <v>65</v>
      </c>
      <c r="G959">
        <v>1</v>
      </c>
      <c r="H959" t="s">
        <v>12</v>
      </c>
      <c r="I959">
        <v>85</v>
      </c>
      <c r="J959" t="b">
        <v>0</v>
      </c>
    </row>
    <row r="960" spans="1:10" x14ac:dyDescent="0.3">
      <c r="A960">
        <v>959</v>
      </c>
      <c r="B960" t="s">
        <v>938</v>
      </c>
      <c r="C960" t="s">
        <v>11</v>
      </c>
      <c r="D960">
        <v>78</v>
      </c>
      <c r="E960">
        <v>20</v>
      </c>
      <c r="F960">
        <v>60</v>
      </c>
      <c r="G960">
        <v>3</v>
      </c>
      <c r="H960" t="s">
        <v>15</v>
      </c>
      <c r="I960">
        <v>62</v>
      </c>
      <c r="J960" t="b">
        <v>1</v>
      </c>
    </row>
    <row r="961" spans="1:10" x14ac:dyDescent="0.3">
      <c r="A961">
        <v>960</v>
      </c>
      <c r="B961" t="s">
        <v>939</v>
      </c>
      <c r="C961" t="s">
        <v>11</v>
      </c>
      <c r="D961">
        <v>70</v>
      </c>
      <c r="E961">
        <v>8</v>
      </c>
      <c r="F961">
        <v>78</v>
      </c>
      <c r="G961">
        <v>2</v>
      </c>
      <c r="H961" t="s">
        <v>12</v>
      </c>
      <c r="I961">
        <v>80</v>
      </c>
      <c r="J961" t="b">
        <v>1</v>
      </c>
    </row>
    <row r="962" spans="1:10" x14ac:dyDescent="0.3">
      <c r="A962">
        <v>961</v>
      </c>
      <c r="B962" t="s">
        <v>977</v>
      </c>
      <c r="C962" t="s">
        <v>11</v>
      </c>
      <c r="D962">
        <v>91</v>
      </c>
      <c r="E962">
        <v>15</v>
      </c>
      <c r="F962">
        <v>78</v>
      </c>
      <c r="G962">
        <v>2</v>
      </c>
      <c r="H962" t="s">
        <v>17</v>
      </c>
      <c r="I962">
        <v>90</v>
      </c>
      <c r="J962" t="b">
        <v>1</v>
      </c>
    </row>
    <row r="963" spans="1:10" x14ac:dyDescent="0.3">
      <c r="A963">
        <v>962</v>
      </c>
      <c r="B963" t="s">
        <v>940</v>
      </c>
      <c r="C963" t="s">
        <v>14</v>
      </c>
      <c r="D963">
        <v>91</v>
      </c>
      <c r="E963">
        <v>17.630526315789474</v>
      </c>
      <c r="F963">
        <v>65</v>
      </c>
      <c r="G963">
        <v>2</v>
      </c>
      <c r="H963" t="s">
        <v>15</v>
      </c>
      <c r="I963">
        <v>78</v>
      </c>
      <c r="J963" t="b">
        <v>0</v>
      </c>
    </row>
    <row r="964" spans="1:10" x14ac:dyDescent="0.3">
      <c r="A964">
        <v>963</v>
      </c>
      <c r="B964" t="s">
        <v>941</v>
      </c>
      <c r="C964" t="s">
        <v>11</v>
      </c>
      <c r="D964">
        <v>85.510416666666671</v>
      </c>
      <c r="E964">
        <v>15</v>
      </c>
      <c r="F964">
        <v>85</v>
      </c>
      <c r="G964">
        <v>2</v>
      </c>
      <c r="H964" t="s">
        <v>15</v>
      </c>
      <c r="I964">
        <v>80.030208333333334</v>
      </c>
      <c r="J964" t="b">
        <v>1</v>
      </c>
    </row>
    <row r="965" spans="1:10" x14ac:dyDescent="0.3">
      <c r="A965">
        <v>964</v>
      </c>
      <c r="B965" t="s">
        <v>248</v>
      </c>
      <c r="C965" t="s">
        <v>11</v>
      </c>
      <c r="D965">
        <v>85</v>
      </c>
      <c r="E965">
        <v>25</v>
      </c>
      <c r="F965">
        <v>60</v>
      </c>
      <c r="G965">
        <v>0</v>
      </c>
      <c r="H965" t="s">
        <v>12</v>
      </c>
      <c r="I965">
        <v>90</v>
      </c>
      <c r="J965" t="b">
        <v>0</v>
      </c>
    </row>
    <row r="966" spans="1:10" x14ac:dyDescent="0.3">
      <c r="A966">
        <v>965</v>
      </c>
      <c r="B966" t="s">
        <v>942</v>
      </c>
      <c r="C966" t="s">
        <v>14</v>
      </c>
      <c r="D966">
        <v>78</v>
      </c>
      <c r="E966">
        <v>20</v>
      </c>
      <c r="F966">
        <v>90</v>
      </c>
      <c r="G966">
        <v>2</v>
      </c>
      <c r="H966" t="s">
        <v>15</v>
      </c>
      <c r="I966">
        <v>90</v>
      </c>
      <c r="J966" t="b">
        <v>1</v>
      </c>
    </row>
    <row r="967" spans="1:10" x14ac:dyDescent="0.3">
      <c r="A967">
        <v>966</v>
      </c>
      <c r="B967" t="s">
        <v>943</v>
      </c>
      <c r="C967" t="s">
        <v>11</v>
      </c>
      <c r="D967">
        <v>85</v>
      </c>
      <c r="E967">
        <v>22</v>
      </c>
      <c r="F967">
        <v>65</v>
      </c>
      <c r="G967">
        <v>0</v>
      </c>
      <c r="H967" t="s">
        <v>15</v>
      </c>
      <c r="I967">
        <v>72</v>
      </c>
      <c r="J967" t="b">
        <v>0</v>
      </c>
    </row>
    <row r="968" spans="1:10" x14ac:dyDescent="0.3">
      <c r="A968">
        <v>967</v>
      </c>
      <c r="B968" t="s">
        <v>944</v>
      </c>
      <c r="C968" t="s">
        <v>14</v>
      </c>
      <c r="D968">
        <v>91</v>
      </c>
      <c r="E968">
        <v>18</v>
      </c>
      <c r="F968">
        <v>88</v>
      </c>
      <c r="G968">
        <v>2</v>
      </c>
      <c r="H968" t="s">
        <v>15</v>
      </c>
      <c r="I968">
        <v>78</v>
      </c>
      <c r="J968" t="b">
        <v>1</v>
      </c>
    </row>
    <row r="969" spans="1:10" x14ac:dyDescent="0.3">
      <c r="A969">
        <v>968</v>
      </c>
      <c r="B969" t="s">
        <v>945</v>
      </c>
      <c r="C969" t="s">
        <v>11</v>
      </c>
      <c r="D969">
        <v>78</v>
      </c>
      <c r="E969">
        <v>30</v>
      </c>
      <c r="F969">
        <v>65</v>
      </c>
      <c r="G969">
        <v>0</v>
      </c>
      <c r="H969" t="s">
        <v>15</v>
      </c>
      <c r="I969">
        <v>78</v>
      </c>
      <c r="J969" t="b">
        <v>0</v>
      </c>
    </row>
    <row r="970" spans="1:10" x14ac:dyDescent="0.3">
      <c r="A970">
        <v>969</v>
      </c>
      <c r="B970" t="s">
        <v>946</v>
      </c>
      <c r="C970" t="s">
        <v>11</v>
      </c>
      <c r="D970">
        <v>90</v>
      </c>
      <c r="E970">
        <v>30</v>
      </c>
      <c r="F970">
        <v>65</v>
      </c>
      <c r="G970">
        <v>0</v>
      </c>
      <c r="H970" t="s">
        <v>15</v>
      </c>
      <c r="I970">
        <v>90</v>
      </c>
      <c r="J970" t="b">
        <v>0</v>
      </c>
    </row>
    <row r="971" spans="1:10" x14ac:dyDescent="0.3">
      <c r="A971">
        <v>970</v>
      </c>
      <c r="B971" t="s">
        <v>947</v>
      </c>
      <c r="C971" t="s">
        <v>14</v>
      </c>
      <c r="D971">
        <v>78</v>
      </c>
      <c r="E971">
        <v>25</v>
      </c>
      <c r="F971">
        <v>60</v>
      </c>
      <c r="G971">
        <v>0</v>
      </c>
      <c r="H971" t="s">
        <v>17</v>
      </c>
      <c r="I971">
        <v>78</v>
      </c>
      <c r="J971" t="b">
        <v>1</v>
      </c>
    </row>
    <row r="972" spans="1:10" x14ac:dyDescent="0.3">
      <c r="A972">
        <v>971</v>
      </c>
      <c r="B972" t="s">
        <v>948</v>
      </c>
      <c r="C972" t="s">
        <v>11</v>
      </c>
      <c r="D972">
        <v>91</v>
      </c>
      <c r="E972">
        <v>8</v>
      </c>
      <c r="F972">
        <v>70</v>
      </c>
      <c r="G972">
        <v>3</v>
      </c>
      <c r="H972" t="s">
        <v>17</v>
      </c>
      <c r="I972">
        <v>92</v>
      </c>
      <c r="J972" t="b">
        <v>0</v>
      </c>
    </row>
    <row r="973" spans="1:10" x14ac:dyDescent="0.3">
      <c r="A973">
        <v>972</v>
      </c>
      <c r="B973" t="s">
        <v>949</v>
      </c>
      <c r="C973" t="s">
        <v>11</v>
      </c>
      <c r="D973">
        <v>85</v>
      </c>
      <c r="E973">
        <v>17.630526315789474</v>
      </c>
      <c r="F973">
        <v>70</v>
      </c>
      <c r="G973">
        <v>1</v>
      </c>
      <c r="H973" t="s">
        <v>12</v>
      </c>
      <c r="I973">
        <v>87</v>
      </c>
      <c r="J973" t="b">
        <v>0</v>
      </c>
    </row>
    <row r="974" spans="1:10" x14ac:dyDescent="0.3">
      <c r="A974">
        <v>973</v>
      </c>
      <c r="B974" t="s">
        <v>950</v>
      </c>
      <c r="C974" t="s">
        <v>14</v>
      </c>
      <c r="D974">
        <v>85</v>
      </c>
      <c r="E974">
        <v>10</v>
      </c>
      <c r="F974">
        <v>70</v>
      </c>
      <c r="G974">
        <v>0</v>
      </c>
      <c r="H974" t="s">
        <v>12</v>
      </c>
      <c r="I974">
        <v>92</v>
      </c>
      <c r="J974" t="b">
        <v>1</v>
      </c>
    </row>
    <row r="975" spans="1:10" x14ac:dyDescent="0.3">
      <c r="A975">
        <v>974</v>
      </c>
      <c r="B975" t="s">
        <v>951</v>
      </c>
      <c r="C975" t="s">
        <v>977</v>
      </c>
      <c r="D975">
        <v>70</v>
      </c>
      <c r="E975">
        <v>15</v>
      </c>
      <c r="F975">
        <v>60</v>
      </c>
      <c r="G975">
        <v>1</v>
      </c>
      <c r="H975" t="s">
        <v>12</v>
      </c>
      <c r="I975">
        <v>87</v>
      </c>
      <c r="J975" t="b">
        <v>1</v>
      </c>
    </row>
    <row r="976" spans="1:10" x14ac:dyDescent="0.3">
      <c r="A976">
        <v>975</v>
      </c>
      <c r="B976" t="s">
        <v>952</v>
      </c>
      <c r="C976" t="s">
        <v>11</v>
      </c>
      <c r="D976">
        <v>78</v>
      </c>
      <c r="E976">
        <v>30</v>
      </c>
      <c r="F976">
        <v>65</v>
      </c>
      <c r="G976">
        <v>2</v>
      </c>
      <c r="H976" t="s">
        <v>12</v>
      </c>
      <c r="I976">
        <v>87</v>
      </c>
      <c r="J976" t="b">
        <v>1</v>
      </c>
    </row>
    <row r="977" spans="1:10" x14ac:dyDescent="0.3">
      <c r="A977">
        <v>976</v>
      </c>
      <c r="B977" t="s">
        <v>953</v>
      </c>
      <c r="C977" t="s">
        <v>14</v>
      </c>
      <c r="D977">
        <v>78</v>
      </c>
      <c r="E977">
        <v>12</v>
      </c>
      <c r="F977">
        <v>82</v>
      </c>
      <c r="G977">
        <v>1</v>
      </c>
      <c r="H977" t="s">
        <v>15</v>
      </c>
      <c r="I977">
        <v>90</v>
      </c>
      <c r="J977" t="b">
        <v>1</v>
      </c>
    </row>
    <row r="978" spans="1:10" x14ac:dyDescent="0.3">
      <c r="A978">
        <v>977</v>
      </c>
      <c r="B978" t="s">
        <v>954</v>
      </c>
      <c r="C978" t="s">
        <v>11</v>
      </c>
      <c r="D978">
        <v>78</v>
      </c>
      <c r="E978">
        <v>15</v>
      </c>
      <c r="F978">
        <v>78</v>
      </c>
      <c r="G978">
        <v>3</v>
      </c>
      <c r="H978" t="s">
        <v>12</v>
      </c>
      <c r="I978">
        <v>72</v>
      </c>
      <c r="J978" t="b">
        <v>0</v>
      </c>
    </row>
    <row r="979" spans="1:10" x14ac:dyDescent="0.3">
      <c r="A979">
        <v>978</v>
      </c>
      <c r="B979" t="s">
        <v>955</v>
      </c>
      <c r="C979" t="s">
        <v>14</v>
      </c>
      <c r="D979">
        <v>91</v>
      </c>
      <c r="E979">
        <v>12</v>
      </c>
      <c r="F979">
        <v>82</v>
      </c>
      <c r="G979">
        <v>3</v>
      </c>
      <c r="H979" t="s">
        <v>15</v>
      </c>
      <c r="I979">
        <v>68</v>
      </c>
      <c r="J979" t="b">
        <v>0</v>
      </c>
    </row>
    <row r="980" spans="1:10" x14ac:dyDescent="0.3">
      <c r="A980">
        <v>979</v>
      </c>
      <c r="B980" t="s">
        <v>956</v>
      </c>
      <c r="C980" t="s">
        <v>11</v>
      </c>
      <c r="D980">
        <v>70</v>
      </c>
      <c r="E980">
        <v>22</v>
      </c>
      <c r="F980">
        <v>78</v>
      </c>
      <c r="G980">
        <v>3</v>
      </c>
      <c r="H980" t="s">
        <v>15</v>
      </c>
      <c r="I980">
        <v>68</v>
      </c>
      <c r="J980" t="b">
        <v>1</v>
      </c>
    </row>
    <row r="981" spans="1:10" x14ac:dyDescent="0.3">
      <c r="A981">
        <v>980</v>
      </c>
      <c r="B981" t="s">
        <v>957</v>
      </c>
      <c r="C981" t="s">
        <v>14</v>
      </c>
      <c r="D981">
        <v>95</v>
      </c>
      <c r="E981">
        <v>8</v>
      </c>
      <c r="F981">
        <v>60</v>
      </c>
      <c r="G981">
        <v>0</v>
      </c>
      <c r="H981" t="s">
        <v>12</v>
      </c>
      <c r="I981">
        <v>90</v>
      </c>
      <c r="J981" t="b">
        <v>0</v>
      </c>
    </row>
    <row r="982" spans="1:10" x14ac:dyDescent="0.3">
      <c r="A982">
        <v>981</v>
      </c>
      <c r="B982" t="s">
        <v>958</v>
      </c>
      <c r="C982" t="s">
        <v>11</v>
      </c>
      <c r="D982">
        <v>90</v>
      </c>
      <c r="E982">
        <v>30</v>
      </c>
      <c r="F982">
        <v>86</v>
      </c>
      <c r="G982">
        <v>1</v>
      </c>
      <c r="H982" t="s">
        <v>12</v>
      </c>
      <c r="I982">
        <v>92</v>
      </c>
      <c r="J982" t="b">
        <v>1</v>
      </c>
    </row>
    <row r="983" spans="1:10" x14ac:dyDescent="0.3">
      <c r="A983">
        <v>982</v>
      </c>
      <c r="B983" t="s">
        <v>959</v>
      </c>
      <c r="C983" t="s">
        <v>11</v>
      </c>
      <c r="D983">
        <v>91</v>
      </c>
      <c r="E983">
        <v>15</v>
      </c>
      <c r="F983">
        <v>82</v>
      </c>
      <c r="G983">
        <v>3</v>
      </c>
      <c r="H983" t="s">
        <v>17</v>
      </c>
      <c r="I983">
        <v>92</v>
      </c>
      <c r="J983" t="b">
        <v>1</v>
      </c>
    </row>
    <row r="984" spans="1:10" x14ac:dyDescent="0.3">
      <c r="A984">
        <v>983</v>
      </c>
      <c r="B984" t="s">
        <v>960</v>
      </c>
      <c r="C984" t="s">
        <v>11</v>
      </c>
      <c r="D984">
        <v>91</v>
      </c>
      <c r="E984">
        <v>22</v>
      </c>
      <c r="F984">
        <v>78</v>
      </c>
      <c r="G984">
        <v>3</v>
      </c>
      <c r="H984" t="s">
        <v>12</v>
      </c>
      <c r="I984">
        <v>80</v>
      </c>
      <c r="J984" t="b">
        <v>0</v>
      </c>
    </row>
    <row r="985" spans="1:10" x14ac:dyDescent="0.3">
      <c r="A985">
        <v>984</v>
      </c>
      <c r="B985" t="s">
        <v>961</v>
      </c>
      <c r="C985" t="s">
        <v>14</v>
      </c>
      <c r="D985">
        <v>88</v>
      </c>
      <c r="E985">
        <v>8</v>
      </c>
      <c r="F985">
        <v>70</v>
      </c>
      <c r="G985">
        <v>3</v>
      </c>
      <c r="H985" t="s">
        <v>15</v>
      </c>
      <c r="I985">
        <v>62</v>
      </c>
      <c r="J985" t="b">
        <v>1</v>
      </c>
    </row>
    <row r="986" spans="1:10" x14ac:dyDescent="0.3">
      <c r="A986">
        <v>985</v>
      </c>
      <c r="B986" t="s">
        <v>962</v>
      </c>
      <c r="C986" t="s">
        <v>14</v>
      </c>
      <c r="D986">
        <v>82</v>
      </c>
      <c r="E986">
        <v>20</v>
      </c>
      <c r="F986">
        <v>70</v>
      </c>
      <c r="G986">
        <v>0</v>
      </c>
      <c r="H986" t="s">
        <v>12</v>
      </c>
      <c r="I986">
        <v>88</v>
      </c>
      <c r="J986" t="b">
        <v>1</v>
      </c>
    </row>
    <row r="987" spans="1:10" x14ac:dyDescent="0.3">
      <c r="A987">
        <v>986</v>
      </c>
      <c r="B987" t="s">
        <v>963</v>
      </c>
      <c r="C987" t="s">
        <v>11</v>
      </c>
      <c r="D987">
        <v>78</v>
      </c>
      <c r="E987">
        <v>17</v>
      </c>
      <c r="F987">
        <v>85</v>
      </c>
      <c r="G987">
        <v>2</v>
      </c>
      <c r="H987" t="s">
        <v>17</v>
      </c>
      <c r="I987">
        <v>92</v>
      </c>
      <c r="J987" t="b">
        <v>1</v>
      </c>
    </row>
    <row r="988" spans="1:10" x14ac:dyDescent="0.3">
      <c r="A988">
        <v>987</v>
      </c>
      <c r="B988" t="s">
        <v>964</v>
      </c>
      <c r="C988" t="s">
        <v>14</v>
      </c>
      <c r="D988">
        <v>85</v>
      </c>
      <c r="E988">
        <v>10</v>
      </c>
      <c r="F988">
        <v>88</v>
      </c>
      <c r="G988">
        <v>2</v>
      </c>
      <c r="H988" t="s">
        <v>15</v>
      </c>
      <c r="I988">
        <v>88</v>
      </c>
      <c r="J988" t="b">
        <v>1</v>
      </c>
    </row>
    <row r="989" spans="1:10" x14ac:dyDescent="0.3">
      <c r="A989">
        <v>988</v>
      </c>
      <c r="B989" t="s">
        <v>965</v>
      </c>
      <c r="C989" t="s">
        <v>11</v>
      </c>
      <c r="D989">
        <v>92</v>
      </c>
      <c r="E989">
        <v>22</v>
      </c>
      <c r="F989">
        <v>86</v>
      </c>
      <c r="G989">
        <v>2</v>
      </c>
      <c r="H989" t="s">
        <v>12</v>
      </c>
      <c r="I989">
        <v>88</v>
      </c>
      <c r="J989" t="b">
        <v>1</v>
      </c>
    </row>
    <row r="990" spans="1:10" x14ac:dyDescent="0.3">
      <c r="A990">
        <v>989</v>
      </c>
      <c r="B990" t="s">
        <v>966</v>
      </c>
      <c r="C990" t="s">
        <v>11</v>
      </c>
      <c r="D990">
        <v>88</v>
      </c>
      <c r="E990">
        <v>12</v>
      </c>
      <c r="F990">
        <v>85</v>
      </c>
      <c r="G990">
        <v>1</v>
      </c>
      <c r="H990" t="s">
        <v>12</v>
      </c>
      <c r="I990">
        <v>78</v>
      </c>
      <c r="J990" t="b">
        <v>1</v>
      </c>
    </row>
    <row r="991" spans="1:10" x14ac:dyDescent="0.3">
      <c r="A991">
        <v>990</v>
      </c>
      <c r="B991" t="s">
        <v>967</v>
      </c>
      <c r="C991" t="s">
        <v>14</v>
      </c>
      <c r="D991">
        <v>91</v>
      </c>
      <c r="E991">
        <v>30</v>
      </c>
      <c r="F991">
        <v>88</v>
      </c>
      <c r="G991">
        <v>2</v>
      </c>
      <c r="H991" t="s">
        <v>12</v>
      </c>
      <c r="I991">
        <v>68</v>
      </c>
      <c r="J991" t="b">
        <v>0</v>
      </c>
    </row>
    <row r="992" spans="1:10" x14ac:dyDescent="0.3">
      <c r="A992">
        <v>991</v>
      </c>
      <c r="B992" t="s">
        <v>968</v>
      </c>
      <c r="C992" t="s">
        <v>977</v>
      </c>
      <c r="D992">
        <v>85</v>
      </c>
      <c r="E992">
        <v>10</v>
      </c>
      <c r="F992">
        <v>85</v>
      </c>
      <c r="G992">
        <v>3</v>
      </c>
      <c r="H992" t="s">
        <v>15</v>
      </c>
      <c r="I992">
        <v>80</v>
      </c>
      <c r="J992" t="b">
        <v>0</v>
      </c>
    </row>
    <row r="993" spans="1:10" x14ac:dyDescent="0.3">
      <c r="A993">
        <v>992</v>
      </c>
      <c r="B993" t="s">
        <v>969</v>
      </c>
      <c r="C993" t="s">
        <v>11</v>
      </c>
      <c r="D993">
        <v>85</v>
      </c>
      <c r="E993">
        <v>30</v>
      </c>
      <c r="F993">
        <v>70</v>
      </c>
      <c r="G993">
        <v>3</v>
      </c>
      <c r="H993" t="s">
        <v>15</v>
      </c>
      <c r="I993">
        <v>90</v>
      </c>
      <c r="J993" t="b">
        <v>0</v>
      </c>
    </row>
    <row r="994" spans="1:10" x14ac:dyDescent="0.3">
      <c r="A994">
        <v>993</v>
      </c>
      <c r="B994" t="s">
        <v>970</v>
      </c>
      <c r="C994" t="s">
        <v>11</v>
      </c>
      <c r="D994">
        <v>91</v>
      </c>
      <c r="E994">
        <v>15</v>
      </c>
      <c r="F994">
        <v>90</v>
      </c>
      <c r="G994">
        <v>2</v>
      </c>
      <c r="H994" t="s">
        <v>12</v>
      </c>
      <c r="I994">
        <v>68</v>
      </c>
      <c r="J994" t="b">
        <v>0</v>
      </c>
    </row>
    <row r="995" spans="1:10" x14ac:dyDescent="0.3">
      <c r="A995">
        <v>994</v>
      </c>
      <c r="B995" t="s">
        <v>971</v>
      </c>
      <c r="C995" t="s">
        <v>14</v>
      </c>
      <c r="D995">
        <v>90</v>
      </c>
      <c r="E995">
        <v>25</v>
      </c>
      <c r="F995">
        <v>60</v>
      </c>
      <c r="G995">
        <v>1</v>
      </c>
      <c r="H995" t="s">
        <v>17</v>
      </c>
      <c r="I995">
        <v>87</v>
      </c>
      <c r="J995" t="b">
        <v>0</v>
      </c>
    </row>
    <row r="996" spans="1:10" x14ac:dyDescent="0.3">
      <c r="A996">
        <v>995</v>
      </c>
      <c r="B996" t="s">
        <v>972</v>
      </c>
      <c r="C996" t="s">
        <v>11</v>
      </c>
      <c r="D996">
        <v>78</v>
      </c>
      <c r="E996">
        <v>20</v>
      </c>
      <c r="F996">
        <v>60</v>
      </c>
      <c r="G996">
        <v>0</v>
      </c>
      <c r="H996" t="s">
        <v>12</v>
      </c>
      <c r="I996">
        <v>62</v>
      </c>
      <c r="J996" t="b">
        <v>0</v>
      </c>
    </row>
    <row r="997" spans="1:10" x14ac:dyDescent="0.3">
      <c r="A997">
        <v>996</v>
      </c>
      <c r="B997" t="s">
        <v>973</v>
      </c>
      <c r="C997" t="s">
        <v>11</v>
      </c>
      <c r="D997">
        <v>85</v>
      </c>
      <c r="E997">
        <v>20</v>
      </c>
      <c r="F997">
        <v>77.598759048603924</v>
      </c>
      <c r="G997">
        <v>1</v>
      </c>
      <c r="H997" t="s">
        <v>12</v>
      </c>
      <c r="I997">
        <v>72</v>
      </c>
      <c r="J997" t="b">
        <v>1</v>
      </c>
    </row>
    <row r="998" spans="1:10" x14ac:dyDescent="0.3">
      <c r="A998">
        <v>997</v>
      </c>
      <c r="B998" t="s">
        <v>974</v>
      </c>
      <c r="C998" t="s">
        <v>14</v>
      </c>
      <c r="D998">
        <v>91</v>
      </c>
      <c r="E998">
        <v>17.630526315789474</v>
      </c>
      <c r="F998">
        <v>86</v>
      </c>
      <c r="G998">
        <v>0</v>
      </c>
      <c r="H998" t="s">
        <v>12</v>
      </c>
      <c r="I998">
        <v>90</v>
      </c>
      <c r="J998" t="b">
        <v>1</v>
      </c>
    </row>
    <row r="999" spans="1:10" x14ac:dyDescent="0.3">
      <c r="A999">
        <v>998</v>
      </c>
      <c r="B999" t="s">
        <v>977</v>
      </c>
      <c r="C999" t="s">
        <v>11</v>
      </c>
      <c r="D999">
        <v>85</v>
      </c>
      <c r="E999">
        <v>8</v>
      </c>
      <c r="F999">
        <v>82</v>
      </c>
      <c r="G999">
        <v>2</v>
      </c>
      <c r="H999" t="s">
        <v>17</v>
      </c>
      <c r="I999">
        <v>68</v>
      </c>
      <c r="J999" t="b">
        <v>0</v>
      </c>
    </row>
    <row r="1000" spans="1:10" x14ac:dyDescent="0.3">
      <c r="A1000">
        <v>999</v>
      </c>
      <c r="B1000" t="s">
        <v>975</v>
      </c>
      <c r="C1000" t="s">
        <v>11</v>
      </c>
      <c r="D1000">
        <v>88</v>
      </c>
      <c r="E1000">
        <v>17</v>
      </c>
      <c r="F1000">
        <v>60</v>
      </c>
      <c r="G1000">
        <v>2</v>
      </c>
      <c r="H1000" t="s">
        <v>12</v>
      </c>
      <c r="I1000">
        <v>85</v>
      </c>
      <c r="J1000" t="b">
        <v>1</v>
      </c>
    </row>
    <row r="1001" spans="1:10" x14ac:dyDescent="0.3">
      <c r="A1001">
        <v>1000</v>
      </c>
      <c r="B1001" t="s">
        <v>976</v>
      </c>
      <c r="C1001" t="s">
        <v>14</v>
      </c>
      <c r="D1001">
        <v>88</v>
      </c>
      <c r="E1001">
        <v>10</v>
      </c>
      <c r="F1001">
        <v>90</v>
      </c>
      <c r="G1001">
        <v>1</v>
      </c>
      <c r="H1001" t="s">
        <v>15</v>
      </c>
      <c r="I1001">
        <v>80.030208333333334</v>
      </c>
      <c r="J1001" t="b">
        <v>1</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FA6A2-583A-4E2E-B03F-A35A78277D7C}">
  <dimension ref="A1:B11"/>
  <sheetViews>
    <sheetView workbookViewId="0">
      <selection activeCell="F21" sqref="F21"/>
    </sheetView>
  </sheetViews>
  <sheetFormatPr defaultRowHeight="14.4" x14ac:dyDescent="0.3"/>
  <cols>
    <col min="1" max="1" width="22.6640625" bestFit="1" customWidth="1"/>
  </cols>
  <sheetData>
    <row r="1" spans="1:2" x14ac:dyDescent="0.3">
      <c r="A1" s="11" t="s">
        <v>980</v>
      </c>
      <c r="B1" s="12" t="s">
        <v>981</v>
      </c>
    </row>
    <row r="2" spans="1:2" x14ac:dyDescent="0.3">
      <c r="A2" s="9" t="s">
        <v>982</v>
      </c>
      <c r="B2" s="8">
        <f>AVERAGE(student_performance_updated_100!I:I)</f>
        <v>80.03020833333332</v>
      </c>
    </row>
    <row r="3" spans="1:2" x14ac:dyDescent="0.3">
      <c r="A3" s="9" t="s">
        <v>983</v>
      </c>
      <c r="B3" s="8">
        <f>MAX(student_performance_updated_100!I:I)</f>
        <v>92</v>
      </c>
    </row>
    <row r="4" spans="1:2" x14ac:dyDescent="0.3">
      <c r="A4" s="9" t="s">
        <v>984</v>
      </c>
      <c r="B4" s="8">
        <f>MIN(student_performance_updated_100!I:I)</f>
        <v>62</v>
      </c>
    </row>
    <row r="5" spans="1:2" x14ac:dyDescent="0.3">
      <c r="A5" s="9" t="s">
        <v>985</v>
      </c>
      <c r="B5" s="8">
        <f>AVERAGE(student_performance_updated_100!F:F)</f>
        <v>77.598759048603924</v>
      </c>
    </row>
    <row r="6" spans="1:2" x14ac:dyDescent="0.3">
      <c r="A6" s="9" t="s">
        <v>986</v>
      </c>
      <c r="B6" s="8">
        <f>MAX(student_performance_updated_100!F:F)</f>
        <v>90</v>
      </c>
    </row>
    <row r="7" spans="1:2" x14ac:dyDescent="0.3">
      <c r="A7" s="9" t="s">
        <v>987</v>
      </c>
      <c r="B7" s="8">
        <f>MIN(student_performance_updated_100!F:F)</f>
        <v>60</v>
      </c>
    </row>
    <row r="8" spans="1:2" x14ac:dyDescent="0.3">
      <c r="A8" s="9" t="s">
        <v>988</v>
      </c>
      <c r="B8" s="8">
        <f>AVERAGE(student_performance_updated_100!D:D)</f>
        <v>85.510416666666714</v>
      </c>
    </row>
    <row r="9" spans="1:2" x14ac:dyDescent="0.3">
      <c r="A9" s="9" t="s">
        <v>989</v>
      </c>
      <c r="B9" s="8">
        <f>MAX(student_performance_updated_100!D:D)</f>
        <v>95</v>
      </c>
    </row>
    <row r="10" spans="1:2" x14ac:dyDescent="0.3">
      <c r="A10" s="9" t="s">
        <v>990</v>
      </c>
      <c r="B10" s="8">
        <f>MIN(student_performance_updated_100!D:D)</f>
        <v>70</v>
      </c>
    </row>
    <row r="11" spans="1:2" x14ac:dyDescent="0.3">
      <c r="A11" s="9" t="s">
        <v>991</v>
      </c>
      <c r="B11" s="8">
        <f>AVERAGE(student_performance_updated_100!E:E)</f>
        <v>17.630526315789478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59D8C-661D-427C-93C5-C11B3AFEA8FC}">
  <dimension ref="A3:I9"/>
  <sheetViews>
    <sheetView topLeftCell="A3" workbookViewId="0">
      <selection activeCell="E26" sqref="E26"/>
    </sheetView>
  </sheetViews>
  <sheetFormatPr defaultRowHeight="14.4" x14ac:dyDescent="0.3"/>
  <cols>
    <col min="1" max="1" width="12.44140625" bestFit="1" customWidth="1"/>
    <col min="2" max="2" width="15.5546875" bestFit="1" customWidth="1"/>
    <col min="3" max="3" width="22.33203125" bestFit="1" customWidth="1"/>
    <col min="4" max="4" width="14.6640625" bestFit="1" customWidth="1"/>
    <col min="5" max="5" width="22.33203125" bestFit="1" customWidth="1"/>
    <col min="6" max="6" width="14.6640625" bestFit="1" customWidth="1"/>
    <col min="7" max="7" width="22.33203125" bestFit="1" customWidth="1"/>
    <col min="8" max="8" width="19.21875" bestFit="1" customWidth="1"/>
    <col min="9" max="9" width="26.88671875" bestFit="1" customWidth="1"/>
  </cols>
  <sheetData>
    <row r="3" spans="1:9" x14ac:dyDescent="0.3">
      <c r="B3" s="10" t="s">
        <v>2</v>
      </c>
    </row>
    <row r="4" spans="1:9" x14ac:dyDescent="0.3">
      <c r="B4" t="s">
        <v>14</v>
      </c>
      <c r="D4" t="s">
        <v>11</v>
      </c>
      <c r="F4" t="s">
        <v>977</v>
      </c>
      <c r="H4" t="s">
        <v>1017</v>
      </c>
      <c r="I4" t="s">
        <v>1018</v>
      </c>
    </row>
    <row r="5" spans="1:9" x14ac:dyDescent="0.3">
      <c r="A5" s="1" t="s">
        <v>1004</v>
      </c>
      <c r="B5" t="s">
        <v>1013</v>
      </c>
      <c r="C5" t="s">
        <v>1019</v>
      </c>
      <c r="D5" t="s">
        <v>1013</v>
      </c>
      <c r="E5" t="s">
        <v>1019</v>
      </c>
      <c r="F5" t="s">
        <v>1013</v>
      </c>
      <c r="G5" t="s">
        <v>1019</v>
      </c>
    </row>
    <row r="6" spans="1:9" x14ac:dyDescent="0.3">
      <c r="A6" s="2" t="s">
        <v>1006</v>
      </c>
      <c r="B6">
        <v>279</v>
      </c>
      <c r="C6">
        <v>279</v>
      </c>
      <c r="D6">
        <v>301</v>
      </c>
      <c r="E6">
        <v>301</v>
      </c>
      <c r="F6">
        <v>30</v>
      </c>
      <c r="G6">
        <v>30</v>
      </c>
      <c r="H6">
        <v>610</v>
      </c>
      <c r="I6">
        <v>610</v>
      </c>
    </row>
    <row r="7" spans="1:9" x14ac:dyDescent="0.3">
      <c r="A7" s="2" t="s">
        <v>1011</v>
      </c>
      <c r="B7">
        <v>47</v>
      </c>
      <c r="C7">
        <v>47</v>
      </c>
      <c r="D7">
        <v>48</v>
      </c>
      <c r="E7">
        <v>48</v>
      </c>
      <c r="F7">
        <v>2</v>
      </c>
      <c r="G7">
        <v>2</v>
      </c>
      <c r="H7">
        <v>97</v>
      </c>
      <c r="I7">
        <v>97</v>
      </c>
    </row>
    <row r="8" spans="1:9" x14ac:dyDescent="0.3">
      <c r="A8" s="2" t="s">
        <v>1009</v>
      </c>
      <c r="B8">
        <v>125</v>
      </c>
      <c r="C8">
        <v>125</v>
      </c>
      <c r="D8">
        <v>152</v>
      </c>
      <c r="E8">
        <v>152</v>
      </c>
      <c r="F8">
        <v>16</v>
      </c>
      <c r="G8">
        <v>16</v>
      </c>
      <c r="H8">
        <v>293</v>
      </c>
      <c r="I8">
        <v>293</v>
      </c>
    </row>
    <row r="9" spans="1:9" x14ac:dyDescent="0.3">
      <c r="A9" s="2" t="s">
        <v>978</v>
      </c>
      <c r="B9">
        <v>451</v>
      </c>
      <c r="C9">
        <v>451</v>
      </c>
      <c r="D9">
        <v>501</v>
      </c>
      <c r="E9">
        <v>501</v>
      </c>
      <c r="F9">
        <v>48</v>
      </c>
      <c r="G9">
        <v>48</v>
      </c>
      <c r="H9">
        <v>1000</v>
      </c>
      <c r="I9">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ABD1B-DB1D-4863-9D23-68AEE8C6BF20}">
  <dimension ref="B1:I1001"/>
  <sheetViews>
    <sheetView topLeftCell="B1" workbookViewId="0">
      <selection activeCell="N14" sqref="N14"/>
    </sheetView>
  </sheetViews>
  <sheetFormatPr defaultRowHeight="14.4" x14ac:dyDescent="0.3"/>
  <cols>
    <col min="2" max="2" width="12.6640625" bestFit="1" customWidth="1"/>
    <col min="3" max="3" width="8.6640625" bestFit="1" customWidth="1"/>
    <col min="4" max="4" width="15.77734375" bestFit="1" customWidth="1"/>
    <col min="5" max="5" width="8.33203125" bestFit="1" customWidth="1"/>
    <col min="6" max="6" width="17" bestFit="1" customWidth="1"/>
    <col min="7" max="7" width="9.6640625" bestFit="1" customWidth="1"/>
    <col min="8" max="8" width="17.21875" bestFit="1" customWidth="1"/>
    <col min="9" max="9" width="9.33203125" bestFit="1" customWidth="1"/>
    <col min="12" max="12" width="14.6640625" bestFit="1" customWidth="1"/>
    <col min="13" max="13" width="15" bestFit="1" customWidth="1"/>
    <col min="14" max="14" width="4.88671875" bestFit="1" customWidth="1"/>
    <col min="15" max="15" width="8.44140625" bestFit="1" customWidth="1"/>
    <col min="16" max="16" width="10.21875" bestFit="1" customWidth="1"/>
  </cols>
  <sheetData>
    <row r="1" spans="2:9" x14ac:dyDescent="0.3">
      <c r="B1" t="s">
        <v>997</v>
      </c>
      <c r="C1" t="s">
        <v>996</v>
      </c>
      <c r="D1" t="s">
        <v>998</v>
      </c>
      <c r="E1" t="s">
        <v>995</v>
      </c>
      <c r="F1" t="s">
        <v>1001</v>
      </c>
      <c r="G1" t="s">
        <v>1004</v>
      </c>
      <c r="H1" t="s">
        <v>1014</v>
      </c>
      <c r="I1" t="s">
        <v>2</v>
      </c>
    </row>
    <row r="2" spans="2:9" x14ac:dyDescent="0.3">
      <c r="B2">
        <v>80</v>
      </c>
      <c r="C2" t="s">
        <v>1005</v>
      </c>
      <c r="D2">
        <v>78</v>
      </c>
      <c r="E2" t="s">
        <v>1005</v>
      </c>
      <c r="F2">
        <v>85</v>
      </c>
      <c r="G2" t="s">
        <v>1006</v>
      </c>
      <c r="H2" t="s">
        <v>1015</v>
      </c>
      <c r="I2" t="s">
        <v>11</v>
      </c>
    </row>
    <row r="3" spans="2:9" x14ac:dyDescent="0.3">
      <c r="B3">
        <v>87</v>
      </c>
      <c r="C3" t="s">
        <v>1007</v>
      </c>
      <c r="D3">
        <v>85</v>
      </c>
      <c r="E3" t="s">
        <v>1007</v>
      </c>
      <c r="F3">
        <v>90</v>
      </c>
      <c r="G3" t="s">
        <v>1006</v>
      </c>
      <c r="H3" t="s">
        <v>1015</v>
      </c>
      <c r="I3" t="s">
        <v>14</v>
      </c>
    </row>
    <row r="4" spans="2:9" x14ac:dyDescent="0.3">
      <c r="B4">
        <v>68</v>
      </c>
      <c r="C4" t="s">
        <v>1008</v>
      </c>
      <c r="D4">
        <v>65</v>
      </c>
      <c r="E4" t="s">
        <v>1008</v>
      </c>
      <c r="F4">
        <v>78</v>
      </c>
      <c r="G4" t="s">
        <v>1009</v>
      </c>
      <c r="H4" t="s">
        <v>1009</v>
      </c>
      <c r="I4" t="s">
        <v>11</v>
      </c>
    </row>
    <row r="5" spans="2:9" x14ac:dyDescent="0.3">
      <c r="B5">
        <v>92</v>
      </c>
      <c r="C5" t="s">
        <v>1010</v>
      </c>
      <c r="D5">
        <v>90</v>
      </c>
      <c r="E5" t="s">
        <v>1007</v>
      </c>
      <c r="F5">
        <v>92</v>
      </c>
      <c r="G5" t="s">
        <v>1011</v>
      </c>
      <c r="H5" t="s">
        <v>1015</v>
      </c>
      <c r="I5" t="s">
        <v>11</v>
      </c>
    </row>
    <row r="6" spans="2:9" x14ac:dyDescent="0.3">
      <c r="B6">
        <v>85</v>
      </c>
      <c r="C6" t="s">
        <v>1007</v>
      </c>
      <c r="D6">
        <v>82</v>
      </c>
      <c r="E6" t="s">
        <v>1007</v>
      </c>
      <c r="F6">
        <v>85.510416666666671</v>
      </c>
      <c r="G6" t="s">
        <v>1006</v>
      </c>
      <c r="H6" t="s">
        <v>1015</v>
      </c>
      <c r="I6" t="s">
        <v>14</v>
      </c>
    </row>
    <row r="7" spans="2:9" x14ac:dyDescent="0.3">
      <c r="B7">
        <v>80.030208333333334</v>
      </c>
      <c r="C7" t="s">
        <v>1007</v>
      </c>
      <c r="D7">
        <v>88</v>
      </c>
      <c r="E7" t="s">
        <v>1007</v>
      </c>
      <c r="F7">
        <v>95</v>
      </c>
      <c r="G7" t="s">
        <v>1006</v>
      </c>
      <c r="H7" t="s">
        <v>1015</v>
      </c>
      <c r="I7" t="s">
        <v>14</v>
      </c>
    </row>
    <row r="8" spans="2:9" x14ac:dyDescent="0.3">
      <c r="B8">
        <v>62</v>
      </c>
      <c r="C8" t="s">
        <v>1008</v>
      </c>
      <c r="D8">
        <v>60</v>
      </c>
      <c r="E8" t="s">
        <v>1012</v>
      </c>
      <c r="F8">
        <v>70</v>
      </c>
      <c r="G8" t="s">
        <v>1009</v>
      </c>
      <c r="H8" t="s">
        <v>1016</v>
      </c>
      <c r="I8" t="s">
        <v>11</v>
      </c>
    </row>
    <row r="9" spans="2:9" x14ac:dyDescent="0.3">
      <c r="B9">
        <v>78</v>
      </c>
      <c r="C9" t="s">
        <v>1005</v>
      </c>
      <c r="D9">
        <v>77</v>
      </c>
      <c r="E9" t="s">
        <v>1005</v>
      </c>
      <c r="F9">
        <v>85.510416666666671</v>
      </c>
      <c r="G9" t="s">
        <v>1006</v>
      </c>
      <c r="H9" t="s">
        <v>1015</v>
      </c>
      <c r="I9" t="s">
        <v>14</v>
      </c>
    </row>
    <row r="10" spans="2:9" x14ac:dyDescent="0.3">
      <c r="B10">
        <v>72</v>
      </c>
      <c r="C10" t="s">
        <v>1005</v>
      </c>
      <c r="D10">
        <v>70</v>
      </c>
      <c r="E10" t="s">
        <v>1008</v>
      </c>
      <c r="F10">
        <v>82</v>
      </c>
      <c r="G10" t="s">
        <v>1009</v>
      </c>
      <c r="H10" t="s">
        <v>1009</v>
      </c>
      <c r="I10" t="s">
        <v>11</v>
      </c>
    </row>
    <row r="11" spans="2:9" x14ac:dyDescent="0.3">
      <c r="B11">
        <v>88</v>
      </c>
      <c r="C11" t="s">
        <v>1007</v>
      </c>
      <c r="D11">
        <v>86</v>
      </c>
      <c r="E11" t="s">
        <v>1007</v>
      </c>
      <c r="F11">
        <v>91</v>
      </c>
      <c r="G11" t="s">
        <v>1006</v>
      </c>
      <c r="H11" t="s">
        <v>1015</v>
      </c>
      <c r="I11" t="s">
        <v>14</v>
      </c>
    </row>
    <row r="12" spans="2:9" x14ac:dyDescent="0.3">
      <c r="B12">
        <v>87</v>
      </c>
      <c r="C12" t="s">
        <v>1007</v>
      </c>
      <c r="D12">
        <v>90</v>
      </c>
      <c r="E12" t="s">
        <v>1007</v>
      </c>
      <c r="F12">
        <v>88</v>
      </c>
      <c r="G12" t="s">
        <v>1006</v>
      </c>
      <c r="H12" t="s">
        <v>1015</v>
      </c>
      <c r="I12" t="s">
        <v>11</v>
      </c>
    </row>
    <row r="13" spans="2:9" x14ac:dyDescent="0.3">
      <c r="B13">
        <v>88</v>
      </c>
      <c r="C13" t="s">
        <v>1007</v>
      </c>
      <c r="D13">
        <v>77.598759048603924</v>
      </c>
      <c r="E13" t="s">
        <v>1005</v>
      </c>
      <c r="F13">
        <v>85</v>
      </c>
      <c r="G13" t="s">
        <v>1006</v>
      </c>
      <c r="H13" t="s">
        <v>1015</v>
      </c>
      <c r="I13" t="s">
        <v>11</v>
      </c>
    </row>
    <row r="14" spans="2:9" x14ac:dyDescent="0.3">
      <c r="B14">
        <v>62</v>
      </c>
      <c r="C14" t="s">
        <v>1008</v>
      </c>
      <c r="D14">
        <v>78</v>
      </c>
      <c r="E14" t="s">
        <v>1005</v>
      </c>
      <c r="F14">
        <v>91</v>
      </c>
      <c r="G14" t="s">
        <v>1009</v>
      </c>
      <c r="H14" t="s">
        <v>1015</v>
      </c>
      <c r="I14" t="s">
        <v>14</v>
      </c>
    </row>
    <row r="15" spans="2:9" x14ac:dyDescent="0.3">
      <c r="B15">
        <v>88</v>
      </c>
      <c r="C15" t="s">
        <v>1007</v>
      </c>
      <c r="D15">
        <v>85</v>
      </c>
      <c r="E15" t="s">
        <v>1007</v>
      </c>
      <c r="F15">
        <v>90</v>
      </c>
      <c r="G15" t="s">
        <v>1006</v>
      </c>
      <c r="H15" t="s">
        <v>1015</v>
      </c>
      <c r="I15" t="s">
        <v>11</v>
      </c>
    </row>
    <row r="16" spans="2:9" x14ac:dyDescent="0.3">
      <c r="B16">
        <v>88</v>
      </c>
      <c r="C16" t="s">
        <v>1007</v>
      </c>
      <c r="D16">
        <v>70</v>
      </c>
      <c r="E16" t="s">
        <v>1008</v>
      </c>
      <c r="F16">
        <v>70</v>
      </c>
      <c r="G16" t="s">
        <v>1006</v>
      </c>
      <c r="H16" t="s">
        <v>1009</v>
      </c>
      <c r="I16" t="s">
        <v>11</v>
      </c>
    </row>
    <row r="17" spans="2:9" x14ac:dyDescent="0.3">
      <c r="B17">
        <v>62</v>
      </c>
      <c r="C17" t="s">
        <v>1008</v>
      </c>
      <c r="D17">
        <v>85</v>
      </c>
      <c r="E17" t="s">
        <v>1007</v>
      </c>
      <c r="F17">
        <v>85.510416666666671</v>
      </c>
      <c r="G17" t="s">
        <v>1009</v>
      </c>
      <c r="H17" t="s">
        <v>1015</v>
      </c>
      <c r="I17" t="s">
        <v>11</v>
      </c>
    </row>
    <row r="18" spans="2:9" x14ac:dyDescent="0.3">
      <c r="B18">
        <v>68</v>
      </c>
      <c r="C18" t="s">
        <v>1008</v>
      </c>
      <c r="D18">
        <v>82</v>
      </c>
      <c r="E18" t="s">
        <v>1007</v>
      </c>
      <c r="F18">
        <v>95</v>
      </c>
      <c r="G18" t="s">
        <v>1009</v>
      </c>
      <c r="H18" t="s">
        <v>1015</v>
      </c>
      <c r="I18" t="s">
        <v>977</v>
      </c>
    </row>
    <row r="19" spans="2:9" x14ac:dyDescent="0.3">
      <c r="B19">
        <v>92</v>
      </c>
      <c r="C19" t="s">
        <v>1010</v>
      </c>
      <c r="D19">
        <v>90</v>
      </c>
      <c r="E19" t="s">
        <v>1007</v>
      </c>
      <c r="F19">
        <v>88</v>
      </c>
      <c r="G19" t="s">
        <v>1011</v>
      </c>
      <c r="H19" t="s">
        <v>1015</v>
      </c>
      <c r="I19" t="s">
        <v>14</v>
      </c>
    </row>
    <row r="20" spans="2:9" x14ac:dyDescent="0.3">
      <c r="B20">
        <v>78</v>
      </c>
      <c r="C20" t="s">
        <v>1005</v>
      </c>
      <c r="D20">
        <v>88</v>
      </c>
      <c r="E20" t="s">
        <v>1007</v>
      </c>
      <c r="F20">
        <v>92</v>
      </c>
      <c r="G20" t="s">
        <v>1006</v>
      </c>
      <c r="H20" t="s">
        <v>1015</v>
      </c>
      <c r="I20" t="s">
        <v>11</v>
      </c>
    </row>
    <row r="21" spans="2:9" x14ac:dyDescent="0.3">
      <c r="B21">
        <v>88</v>
      </c>
      <c r="C21" t="s">
        <v>1007</v>
      </c>
      <c r="D21">
        <v>70</v>
      </c>
      <c r="E21" t="s">
        <v>1008</v>
      </c>
      <c r="F21">
        <v>78</v>
      </c>
      <c r="G21" t="s">
        <v>1006</v>
      </c>
      <c r="H21" t="s">
        <v>1009</v>
      </c>
      <c r="I21" t="s">
        <v>14</v>
      </c>
    </row>
    <row r="22" spans="2:9" x14ac:dyDescent="0.3">
      <c r="B22">
        <v>87</v>
      </c>
      <c r="C22" t="s">
        <v>1007</v>
      </c>
      <c r="D22">
        <v>77</v>
      </c>
      <c r="E22" t="s">
        <v>1005</v>
      </c>
      <c r="F22">
        <v>78</v>
      </c>
      <c r="G22" t="s">
        <v>1006</v>
      </c>
      <c r="H22" t="s">
        <v>1015</v>
      </c>
      <c r="I22" t="s">
        <v>11</v>
      </c>
    </row>
    <row r="23" spans="2:9" x14ac:dyDescent="0.3">
      <c r="B23">
        <v>72</v>
      </c>
      <c r="C23" t="s">
        <v>1005</v>
      </c>
      <c r="D23">
        <v>77</v>
      </c>
      <c r="E23" t="s">
        <v>1005</v>
      </c>
      <c r="F23">
        <v>70</v>
      </c>
      <c r="G23" t="s">
        <v>1009</v>
      </c>
      <c r="H23" t="s">
        <v>1015</v>
      </c>
      <c r="I23" t="s">
        <v>14</v>
      </c>
    </row>
    <row r="24" spans="2:9" x14ac:dyDescent="0.3">
      <c r="B24">
        <v>78</v>
      </c>
      <c r="C24" t="s">
        <v>1005</v>
      </c>
      <c r="D24">
        <v>82</v>
      </c>
      <c r="E24" t="s">
        <v>1007</v>
      </c>
      <c r="F24">
        <v>95</v>
      </c>
      <c r="G24" t="s">
        <v>1006</v>
      </c>
      <c r="H24" t="s">
        <v>1015</v>
      </c>
      <c r="I24" t="s">
        <v>14</v>
      </c>
    </row>
    <row r="25" spans="2:9" x14ac:dyDescent="0.3">
      <c r="B25">
        <v>80.030208333333334</v>
      </c>
      <c r="C25" t="s">
        <v>1007</v>
      </c>
      <c r="D25">
        <v>82</v>
      </c>
      <c r="E25" t="s">
        <v>1007</v>
      </c>
      <c r="F25">
        <v>82</v>
      </c>
      <c r="G25" t="s">
        <v>1006</v>
      </c>
      <c r="H25" t="s">
        <v>1015</v>
      </c>
      <c r="I25" t="s">
        <v>11</v>
      </c>
    </row>
    <row r="26" spans="2:9" x14ac:dyDescent="0.3">
      <c r="B26">
        <v>90</v>
      </c>
      <c r="C26" t="s">
        <v>1007</v>
      </c>
      <c r="D26">
        <v>77</v>
      </c>
      <c r="E26" t="s">
        <v>1005</v>
      </c>
      <c r="F26">
        <v>91</v>
      </c>
      <c r="G26" t="s">
        <v>1006</v>
      </c>
      <c r="H26" t="s">
        <v>1015</v>
      </c>
      <c r="I26" t="s">
        <v>11</v>
      </c>
    </row>
    <row r="27" spans="2:9" x14ac:dyDescent="0.3">
      <c r="B27">
        <v>72</v>
      </c>
      <c r="C27" t="s">
        <v>1005</v>
      </c>
      <c r="D27">
        <v>77.598759048603924</v>
      </c>
      <c r="E27" t="s">
        <v>1005</v>
      </c>
      <c r="F27">
        <v>91</v>
      </c>
      <c r="G27" t="s">
        <v>1009</v>
      </c>
      <c r="H27" t="s">
        <v>1015</v>
      </c>
      <c r="I27" t="s">
        <v>11</v>
      </c>
    </row>
    <row r="28" spans="2:9" x14ac:dyDescent="0.3">
      <c r="B28">
        <v>92</v>
      </c>
      <c r="C28" t="s">
        <v>1010</v>
      </c>
      <c r="D28">
        <v>60</v>
      </c>
      <c r="E28" t="s">
        <v>1012</v>
      </c>
      <c r="F28">
        <v>85.510416666666671</v>
      </c>
      <c r="G28" t="s">
        <v>1011</v>
      </c>
      <c r="H28" t="s">
        <v>1016</v>
      </c>
      <c r="I28" t="s">
        <v>14</v>
      </c>
    </row>
    <row r="29" spans="2:9" x14ac:dyDescent="0.3">
      <c r="B29">
        <v>80</v>
      </c>
      <c r="C29" t="s">
        <v>1005</v>
      </c>
      <c r="D29">
        <v>90</v>
      </c>
      <c r="E29" t="s">
        <v>1007</v>
      </c>
      <c r="F29">
        <v>90</v>
      </c>
      <c r="G29" t="s">
        <v>1006</v>
      </c>
      <c r="H29" t="s">
        <v>1015</v>
      </c>
      <c r="I29" t="s">
        <v>14</v>
      </c>
    </row>
    <row r="30" spans="2:9" x14ac:dyDescent="0.3">
      <c r="B30">
        <v>87</v>
      </c>
      <c r="C30" t="s">
        <v>1007</v>
      </c>
      <c r="D30">
        <v>77.598759048603924</v>
      </c>
      <c r="E30" t="s">
        <v>1005</v>
      </c>
      <c r="F30">
        <v>85</v>
      </c>
      <c r="G30" t="s">
        <v>1006</v>
      </c>
      <c r="H30" t="s">
        <v>1015</v>
      </c>
      <c r="I30" t="s">
        <v>11</v>
      </c>
    </row>
    <row r="31" spans="2:9" x14ac:dyDescent="0.3">
      <c r="B31">
        <v>62</v>
      </c>
      <c r="C31" t="s">
        <v>1008</v>
      </c>
      <c r="D31">
        <v>77</v>
      </c>
      <c r="E31" t="s">
        <v>1005</v>
      </c>
      <c r="F31">
        <v>91</v>
      </c>
      <c r="G31" t="s">
        <v>1009</v>
      </c>
      <c r="H31" t="s">
        <v>1015</v>
      </c>
      <c r="I31" t="s">
        <v>11</v>
      </c>
    </row>
    <row r="32" spans="2:9" x14ac:dyDescent="0.3">
      <c r="B32">
        <v>80.030208333333334</v>
      </c>
      <c r="C32" t="s">
        <v>1007</v>
      </c>
      <c r="D32">
        <v>78</v>
      </c>
      <c r="E32" t="s">
        <v>1005</v>
      </c>
      <c r="F32">
        <v>70</v>
      </c>
      <c r="G32" t="s">
        <v>1006</v>
      </c>
      <c r="H32" t="s">
        <v>1015</v>
      </c>
      <c r="I32" t="s">
        <v>14</v>
      </c>
    </row>
    <row r="33" spans="2:9" x14ac:dyDescent="0.3">
      <c r="B33">
        <v>85</v>
      </c>
      <c r="C33" t="s">
        <v>1007</v>
      </c>
      <c r="D33">
        <v>65</v>
      </c>
      <c r="E33" t="s">
        <v>1008</v>
      </c>
      <c r="F33">
        <v>82</v>
      </c>
      <c r="G33" t="s">
        <v>1006</v>
      </c>
      <c r="H33" t="s">
        <v>1009</v>
      </c>
      <c r="I33" t="s">
        <v>11</v>
      </c>
    </row>
    <row r="34" spans="2:9" x14ac:dyDescent="0.3">
      <c r="B34">
        <v>80.030208333333334</v>
      </c>
      <c r="C34" t="s">
        <v>1007</v>
      </c>
      <c r="D34">
        <v>85</v>
      </c>
      <c r="E34" t="s">
        <v>1007</v>
      </c>
      <c r="F34">
        <v>82</v>
      </c>
      <c r="G34" t="s">
        <v>1006</v>
      </c>
      <c r="H34" t="s">
        <v>1015</v>
      </c>
      <c r="I34" t="s">
        <v>11</v>
      </c>
    </row>
    <row r="35" spans="2:9" x14ac:dyDescent="0.3">
      <c r="B35">
        <v>85</v>
      </c>
      <c r="C35" t="s">
        <v>1007</v>
      </c>
      <c r="D35">
        <v>60</v>
      </c>
      <c r="E35" t="s">
        <v>1012</v>
      </c>
      <c r="F35">
        <v>85.510416666666671</v>
      </c>
      <c r="G35" t="s">
        <v>1006</v>
      </c>
      <c r="H35" t="s">
        <v>1016</v>
      </c>
      <c r="I35" t="s">
        <v>977</v>
      </c>
    </row>
    <row r="36" spans="2:9" x14ac:dyDescent="0.3">
      <c r="B36">
        <v>72</v>
      </c>
      <c r="C36" t="s">
        <v>1005</v>
      </c>
      <c r="D36">
        <v>78</v>
      </c>
      <c r="E36" t="s">
        <v>1005</v>
      </c>
      <c r="F36">
        <v>88</v>
      </c>
      <c r="G36" t="s">
        <v>1009</v>
      </c>
      <c r="H36" t="s">
        <v>1015</v>
      </c>
      <c r="I36" t="s">
        <v>11</v>
      </c>
    </row>
    <row r="37" spans="2:9" x14ac:dyDescent="0.3">
      <c r="B37">
        <v>87</v>
      </c>
      <c r="C37" t="s">
        <v>1007</v>
      </c>
      <c r="D37">
        <v>65</v>
      </c>
      <c r="E37" t="s">
        <v>1008</v>
      </c>
      <c r="F37">
        <v>82</v>
      </c>
      <c r="G37" t="s">
        <v>1006</v>
      </c>
      <c r="H37" t="s">
        <v>1009</v>
      </c>
      <c r="I37" t="s">
        <v>14</v>
      </c>
    </row>
    <row r="38" spans="2:9" x14ac:dyDescent="0.3">
      <c r="B38">
        <v>80</v>
      </c>
      <c r="C38" t="s">
        <v>1005</v>
      </c>
      <c r="D38">
        <v>90</v>
      </c>
      <c r="E38" t="s">
        <v>1007</v>
      </c>
      <c r="F38">
        <v>90</v>
      </c>
      <c r="G38" t="s">
        <v>1006</v>
      </c>
      <c r="H38" t="s">
        <v>1015</v>
      </c>
      <c r="I38" t="s">
        <v>14</v>
      </c>
    </row>
    <row r="39" spans="2:9" x14ac:dyDescent="0.3">
      <c r="B39">
        <v>85</v>
      </c>
      <c r="C39" t="s">
        <v>1007</v>
      </c>
      <c r="D39">
        <v>82</v>
      </c>
      <c r="E39" t="s">
        <v>1007</v>
      </c>
      <c r="F39">
        <v>95</v>
      </c>
      <c r="G39" t="s">
        <v>1006</v>
      </c>
      <c r="H39" t="s">
        <v>1015</v>
      </c>
      <c r="I39" t="s">
        <v>11</v>
      </c>
    </row>
    <row r="40" spans="2:9" x14ac:dyDescent="0.3">
      <c r="B40">
        <v>92</v>
      </c>
      <c r="C40" t="s">
        <v>1010</v>
      </c>
      <c r="D40">
        <v>85</v>
      </c>
      <c r="E40" t="s">
        <v>1007</v>
      </c>
      <c r="F40">
        <v>91</v>
      </c>
      <c r="G40" t="s">
        <v>1011</v>
      </c>
      <c r="H40" t="s">
        <v>1015</v>
      </c>
      <c r="I40" t="s">
        <v>14</v>
      </c>
    </row>
    <row r="41" spans="2:9" x14ac:dyDescent="0.3">
      <c r="B41">
        <v>85</v>
      </c>
      <c r="C41" t="s">
        <v>1007</v>
      </c>
      <c r="D41">
        <v>65</v>
      </c>
      <c r="E41" t="s">
        <v>1008</v>
      </c>
      <c r="F41">
        <v>95</v>
      </c>
      <c r="G41" t="s">
        <v>1006</v>
      </c>
      <c r="H41" t="s">
        <v>1009</v>
      </c>
      <c r="I41" t="s">
        <v>11</v>
      </c>
    </row>
    <row r="42" spans="2:9" x14ac:dyDescent="0.3">
      <c r="B42">
        <v>72</v>
      </c>
      <c r="C42" t="s">
        <v>1005</v>
      </c>
      <c r="D42">
        <v>85</v>
      </c>
      <c r="E42" t="s">
        <v>1007</v>
      </c>
      <c r="F42">
        <v>78</v>
      </c>
      <c r="G42" t="s">
        <v>1009</v>
      </c>
      <c r="H42" t="s">
        <v>1015</v>
      </c>
      <c r="I42" t="s">
        <v>11</v>
      </c>
    </row>
    <row r="43" spans="2:9" x14ac:dyDescent="0.3">
      <c r="B43">
        <v>87</v>
      </c>
      <c r="C43" t="s">
        <v>1007</v>
      </c>
      <c r="D43">
        <v>77</v>
      </c>
      <c r="E43" t="s">
        <v>1005</v>
      </c>
      <c r="F43">
        <v>88</v>
      </c>
      <c r="G43" t="s">
        <v>1006</v>
      </c>
      <c r="H43" t="s">
        <v>1015</v>
      </c>
      <c r="I43" t="s">
        <v>11</v>
      </c>
    </row>
    <row r="44" spans="2:9" x14ac:dyDescent="0.3">
      <c r="B44">
        <v>62</v>
      </c>
      <c r="C44" t="s">
        <v>1008</v>
      </c>
      <c r="D44">
        <v>65</v>
      </c>
      <c r="E44" t="s">
        <v>1008</v>
      </c>
      <c r="F44">
        <v>78</v>
      </c>
      <c r="G44" t="s">
        <v>1009</v>
      </c>
      <c r="H44" t="s">
        <v>1009</v>
      </c>
      <c r="I44" t="s">
        <v>14</v>
      </c>
    </row>
    <row r="45" spans="2:9" x14ac:dyDescent="0.3">
      <c r="B45">
        <v>68</v>
      </c>
      <c r="C45" t="s">
        <v>1008</v>
      </c>
      <c r="D45">
        <v>70</v>
      </c>
      <c r="E45" t="s">
        <v>1008</v>
      </c>
      <c r="F45">
        <v>95</v>
      </c>
      <c r="G45" t="s">
        <v>1009</v>
      </c>
      <c r="H45" t="s">
        <v>1009</v>
      </c>
      <c r="I45" t="s">
        <v>11</v>
      </c>
    </row>
    <row r="46" spans="2:9" x14ac:dyDescent="0.3">
      <c r="B46">
        <v>88</v>
      </c>
      <c r="C46" t="s">
        <v>1007</v>
      </c>
      <c r="D46">
        <v>88</v>
      </c>
      <c r="E46" t="s">
        <v>1007</v>
      </c>
      <c r="F46">
        <v>92</v>
      </c>
      <c r="G46" t="s">
        <v>1006</v>
      </c>
      <c r="H46" t="s">
        <v>1015</v>
      </c>
      <c r="I46" t="s">
        <v>11</v>
      </c>
    </row>
    <row r="47" spans="2:9" x14ac:dyDescent="0.3">
      <c r="B47">
        <v>92</v>
      </c>
      <c r="C47" t="s">
        <v>1010</v>
      </c>
      <c r="D47">
        <v>88</v>
      </c>
      <c r="E47" t="s">
        <v>1007</v>
      </c>
      <c r="F47">
        <v>85</v>
      </c>
      <c r="G47" t="s">
        <v>1011</v>
      </c>
      <c r="H47" t="s">
        <v>1015</v>
      </c>
      <c r="I47" t="s">
        <v>14</v>
      </c>
    </row>
    <row r="48" spans="2:9" x14ac:dyDescent="0.3">
      <c r="B48">
        <v>85</v>
      </c>
      <c r="C48" t="s">
        <v>1007</v>
      </c>
      <c r="D48">
        <v>90</v>
      </c>
      <c r="E48" t="s">
        <v>1007</v>
      </c>
      <c r="F48">
        <v>85</v>
      </c>
      <c r="G48" t="s">
        <v>1006</v>
      </c>
      <c r="H48" t="s">
        <v>1015</v>
      </c>
      <c r="I48" t="s">
        <v>11</v>
      </c>
    </row>
    <row r="49" spans="2:9" x14ac:dyDescent="0.3">
      <c r="B49">
        <v>90</v>
      </c>
      <c r="C49" t="s">
        <v>1007</v>
      </c>
      <c r="D49">
        <v>82</v>
      </c>
      <c r="E49" t="s">
        <v>1007</v>
      </c>
      <c r="F49">
        <v>70</v>
      </c>
      <c r="G49" t="s">
        <v>1006</v>
      </c>
      <c r="H49" t="s">
        <v>1015</v>
      </c>
      <c r="I49" t="s">
        <v>11</v>
      </c>
    </row>
    <row r="50" spans="2:9" x14ac:dyDescent="0.3">
      <c r="B50">
        <v>87</v>
      </c>
      <c r="C50" t="s">
        <v>1007</v>
      </c>
      <c r="D50">
        <v>86</v>
      </c>
      <c r="E50" t="s">
        <v>1007</v>
      </c>
      <c r="F50">
        <v>88</v>
      </c>
      <c r="G50" t="s">
        <v>1006</v>
      </c>
      <c r="H50" t="s">
        <v>1015</v>
      </c>
      <c r="I50" t="s">
        <v>11</v>
      </c>
    </row>
    <row r="51" spans="2:9" x14ac:dyDescent="0.3">
      <c r="B51">
        <v>62</v>
      </c>
      <c r="C51" t="s">
        <v>1008</v>
      </c>
      <c r="D51">
        <v>90</v>
      </c>
      <c r="E51" t="s">
        <v>1007</v>
      </c>
      <c r="F51">
        <v>70</v>
      </c>
      <c r="G51" t="s">
        <v>1009</v>
      </c>
      <c r="H51" t="s">
        <v>1015</v>
      </c>
      <c r="I51" t="s">
        <v>11</v>
      </c>
    </row>
    <row r="52" spans="2:9" x14ac:dyDescent="0.3">
      <c r="B52">
        <v>87</v>
      </c>
      <c r="C52" t="s">
        <v>1007</v>
      </c>
      <c r="D52">
        <v>86</v>
      </c>
      <c r="E52" t="s">
        <v>1007</v>
      </c>
      <c r="F52">
        <v>90</v>
      </c>
      <c r="G52" t="s">
        <v>1006</v>
      </c>
      <c r="H52" t="s">
        <v>1015</v>
      </c>
      <c r="I52" t="s">
        <v>14</v>
      </c>
    </row>
    <row r="53" spans="2:9" x14ac:dyDescent="0.3">
      <c r="B53">
        <v>62</v>
      </c>
      <c r="C53" t="s">
        <v>1008</v>
      </c>
      <c r="D53">
        <v>70</v>
      </c>
      <c r="E53" t="s">
        <v>1008</v>
      </c>
      <c r="F53">
        <v>70</v>
      </c>
      <c r="G53" t="s">
        <v>1009</v>
      </c>
      <c r="H53" t="s">
        <v>1009</v>
      </c>
      <c r="I53" t="s">
        <v>14</v>
      </c>
    </row>
    <row r="54" spans="2:9" x14ac:dyDescent="0.3">
      <c r="B54">
        <v>62</v>
      </c>
      <c r="C54" t="s">
        <v>1008</v>
      </c>
      <c r="D54">
        <v>82</v>
      </c>
      <c r="E54" t="s">
        <v>1007</v>
      </c>
      <c r="F54">
        <v>82</v>
      </c>
      <c r="G54" t="s">
        <v>1009</v>
      </c>
      <c r="H54" t="s">
        <v>1015</v>
      </c>
      <c r="I54" t="s">
        <v>14</v>
      </c>
    </row>
    <row r="55" spans="2:9" x14ac:dyDescent="0.3">
      <c r="B55">
        <v>68</v>
      </c>
      <c r="C55" t="s">
        <v>1008</v>
      </c>
      <c r="D55">
        <v>70</v>
      </c>
      <c r="E55" t="s">
        <v>1008</v>
      </c>
      <c r="F55">
        <v>85</v>
      </c>
      <c r="G55" t="s">
        <v>1009</v>
      </c>
      <c r="H55" t="s">
        <v>1009</v>
      </c>
      <c r="I55" t="s">
        <v>14</v>
      </c>
    </row>
    <row r="56" spans="2:9" x14ac:dyDescent="0.3">
      <c r="B56">
        <v>80</v>
      </c>
      <c r="C56" t="s">
        <v>1005</v>
      </c>
      <c r="D56">
        <v>90</v>
      </c>
      <c r="E56" t="s">
        <v>1007</v>
      </c>
      <c r="F56">
        <v>88</v>
      </c>
      <c r="G56" t="s">
        <v>1006</v>
      </c>
      <c r="H56" t="s">
        <v>1015</v>
      </c>
      <c r="I56" t="s">
        <v>11</v>
      </c>
    </row>
    <row r="57" spans="2:9" x14ac:dyDescent="0.3">
      <c r="B57">
        <v>92</v>
      </c>
      <c r="C57" t="s">
        <v>1010</v>
      </c>
      <c r="D57">
        <v>60</v>
      </c>
      <c r="E57" t="s">
        <v>1012</v>
      </c>
      <c r="F57">
        <v>91</v>
      </c>
      <c r="G57" t="s">
        <v>1011</v>
      </c>
      <c r="H57" t="s">
        <v>1016</v>
      </c>
      <c r="I57" t="s">
        <v>14</v>
      </c>
    </row>
    <row r="58" spans="2:9" x14ac:dyDescent="0.3">
      <c r="B58">
        <v>72</v>
      </c>
      <c r="C58" t="s">
        <v>1005</v>
      </c>
      <c r="D58">
        <v>70</v>
      </c>
      <c r="E58" t="s">
        <v>1008</v>
      </c>
      <c r="F58">
        <v>92</v>
      </c>
      <c r="G58" t="s">
        <v>1009</v>
      </c>
      <c r="H58" t="s">
        <v>1009</v>
      </c>
      <c r="I58" t="s">
        <v>14</v>
      </c>
    </row>
    <row r="59" spans="2:9" x14ac:dyDescent="0.3">
      <c r="B59">
        <v>88</v>
      </c>
      <c r="C59" t="s">
        <v>1007</v>
      </c>
      <c r="D59">
        <v>86</v>
      </c>
      <c r="E59" t="s">
        <v>1007</v>
      </c>
      <c r="F59">
        <v>82</v>
      </c>
      <c r="G59" t="s">
        <v>1006</v>
      </c>
      <c r="H59" t="s">
        <v>1015</v>
      </c>
      <c r="I59" t="s">
        <v>14</v>
      </c>
    </row>
    <row r="60" spans="2:9" x14ac:dyDescent="0.3">
      <c r="B60">
        <v>85</v>
      </c>
      <c r="C60" t="s">
        <v>1007</v>
      </c>
      <c r="D60">
        <v>77</v>
      </c>
      <c r="E60" t="s">
        <v>1005</v>
      </c>
      <c r="F60">
        <v>78</v>
      </c>
      <c r="G60" t="s">
        <v>1006</v>
      </c>
      <c r="H60" t="s">
        <v>1015</v>
      </c>
      <c r="I60" t="s">
        <v>14</v>
      </c>
    </row>
    <row r="61" spans="2:9" x14ac:dyDescent="0.3">
      <c r="B61">
        <v>90</v>
      </c>
      <c r="C61" t="s">
        <v>1007</v>
      </c>
      <c r="D61">
        <v>82</v>
      </c>
      <c r="E61" t="s">
        <v>1007</v>
      </c>
      <c r="F61">
        <v>85</v>
      </c>
      <c r="G61" t="s">
        <v>1006</v>
      </c>
      <c r="H61" t="s">
        <v>1015</v>
      </c>
      <c r="I61" t="s">
        <v>14</v>
      </c>
    </row>
    <row r="62" spans="2:9" x14ac:dyDescent="0.3">
      <c r="B62">
        <v>62</v>
      </c>
      <c r="C62" t="s">
        <v>1008</v>
      </c>
      <c r="D62">
        <v>65</v>
      </c>
      <c r="E62" t="s">
        <v>1008</v>
      </c>
      <c r="F62">
        <v>92</v>
      </c>
      <c r="G62" t="s">
        <v>1009</v>
      </c>
      <c r="H62" t="s">
        <v>1009</v>
      </c>
      <c r="I62" t="s">
        <v>11</v>
      </c>
    </row>
    <row r="63" spans="2:9" x14ac:dyDescent="0.3">
      <c r="B63">
        <v>80</v>
      </c>
      <c r="C63" t="s">
        <v>1005</v>
      </c>
      <c r="D63">
        <v>60</v>
      </c>
      <c r="E63" t="s">
        <v>1012</v>
      </c>
      <c r="F63">
        <v>92</v>
      </c>
      <c r="G63" t="s">
        <v>1006</v>
      </c>
      <c r="H63" t="s">
        <v>1016</v>
      </c>
      <c r="I63" t="s">
        <v>11</v>
      </c>
    </row>
    <row r="64" spans="2:9" x14ac:dyDescent="0.3">
      <c r="B64">
        <v>72</v>
      </c>
      <c r="C64" t="s">
        <v>1005</v>
      </c>
      <c r="D64">
        <v>60</v>
      </c>
      <c r="E64" t="s">
        <v>1012</v>
      </c>
      <c r="F64">
        <v>95</v>
      </c>
      <c r="G64" t="s">
        <v>1009</v>
      </c>
      <c r="H64" t="s">
        <v>1016</v>
      </c>
      <c r="I64" t="s">
        <v>11</v>
      </c>
    </row>
    <row r="65" spans="2:9" x14ac:dyDescent="0.3">
      <c r="B65">
        <v>62</v>
      </c>
      <c r="C65" t="s">
        <v>1008</v>
      </c>
      <c r="D65">
        <v>78</v>
      </c>
      <c r="E65" t="s">
        <v>1005</v>
      </c>
      <c r="F65">
        <v>70</v>
      </c>
      <c r="G65" t="s">
        <v>1009</v>
      </c>
      <c r="H65" t="s">
        <v>1015</v>
      </c>
      <c r="I65" t="s">
        <v>14</v>
      </c>
    </row>
    <row r="66" spans="2:9" x14ac:dyDescent="0.3">
      <c r="B66">
        <v>62</v>
      </c>
      <c r="C66" t="s">
        <v>1008</v>
      </c>
      <c r="D66">
        <v>86</v>
      </c>
      <c r="E66" t="s">
        <v>1007</v>
      </c>
      <c r="F66">
        <v>70</v>
      </c>
      <c r="G66" t="s">
        <v>1009</v>
      </c>
      <c r="H66" t="s">
        <v>1015</v>
      </c>
      <c r="I66" t="s">
        <v>11</v>
      </c>
    </row>
    <row r="67" spans="2:9" x14ac:dyDescent="0.3">
      <c r="B67">
        <v>90</v>
      </c>
      <c r="C67" t="s">
        <v>1007</v>
      </c>
      <c r="D67">
        <v>90</v>
      </c>
      <c r="E67" t="s">
        <v>1007</v>
      </c>
      <c r="F67">
        <v>70</v>
      </c>
      <c r="G67" t="s">
        <v>1006</v>
      </c>
      <c r="H67" t="s">
        <v>1015</v>
      </c>
      <c r="I67" t="s">
        <v>14</v>
      </c>
    </row>
    <row r="68" spans="2:9" x14ac:dyDescent="0.3">
      <c r="B68">
        <v>90</v>
      </c>
      <c r="C68" t="s">
        <v>1007</v>
      </c>
      <c r="D68">
        <v>78</v>
      </c>
      <c r="E68" t="s">
        <v>1005</v>
      </c>
      <c r="F68">
        <v>90</v>
      </c>
      <c r="G68" t="s">
        <v>1006</v>
      </c>
      <c r="H68" t="s">
        <v>1015</v>
      </c>
      <c r="I68" t="s">
        <v>14</v>
      </c>
    </row>
    <row r="69" spans="2:9" x14ac:dyDescent="0.3">
      <c r="B69">
        <v>68</v>
      </c>
      <c r="C69" t="s">
        <v>1008</v>
      </c>
      <c r="D69">
        <v>86</v>
      </c>
      <c r="E69" t="s">
        <v>1007</v>
      </c>
      <c r="F69">
        <v>92</v>
      </c>
      <c r="G69" t="s">
        <v>1009</v>
      </c>
      <c r="H69" t="s">
        <v>1015</v>
      </c>
      <c r="I69" t="s">
        <v>11</v>
      </c>
    </row>
    <row r="70" spans="2:9" x14ac:dyDescent="0.3">
      <c r="B70">
        <v>87</v>
      </c>
      <c r="C70" t="s">
        <v>1007</v>
      </c>
      <c r="D70">
        <v>86</v>
      </c>
      <c r="E70" t="s">
        <v>1007</v>
      </c>
      <c r="F70">
        <v>95</v>
      </c>
      <c r="G70" t="s">
        <v>1006</v>
      </c>
      <c r="H70" t="s">
        <v>1015</v>
      </c>
      <c r="I70" t="s">
        <v>14</v>
      </c>
    </row>
    <row r="71" spans="2:9" x14ac:dyDescent="0.3">
      <c r="B71">
        <v>92</v>
      </c>
      <c r="C71" t="s">
        <v>1010</v>
      </c>
      <c r="D71">
        <v>60</v>
      </c>
      <c r="E71" t="s">
        <v>1012</v>
      </c>
      <c r="F71">
        <v>88</v>
      </c>
      <c r="G71" t="s">
        <v>1011</v>
      </c>
      <c r="H71" t="s">
        <v>1016</v>
      </c>
      <c r="I71" t="s">
        <v>11</v>
      </c>
    </row>
    <row r="72" spans="2:9" x14ac:dyDescent="0.3">
      <c r="B72">
        <v>72</v>
      </c>
      <c r="C72" t="s">
        <v>1005</v>
      </c>
      <c r="D72">
        <v>86</v>
      </c>
      <c r="E72" t="s">
        <v>1007</v>
      </c>
      <c r="F72">
        <v>91</v>
      </c>
      <c r="G72" t="s">
        <v>1009</v>
      </c>
      <c r="H72" t="s">
        <v>1015</v>
      </c>
      <c r="I72" t="s">
        <v>14</v>
      </c>
    </row>
    <row r="73" spans="2:9" x14ac:dyDescent="0.3">
      <c r="B73">
        <v>90</v>
      </c>
      <c r="C73" t="s">
        <v>1007</v>
      </c>
      <c r="D73">
        <v>77</v>
      </c>
      <c r="E73" t="s">
        <v>1005</v>
      </c>
      <c r="F73">
        <v>85</v>
      </c>
      <c r="G73" t="s">
        <v>1006</v>
      </c>
      <c r="H73" t="s">
        <v>1015</v>
      </c>
      <c r="I73" t="s">
        <v>14</v>
      </c>
    </row>
    <row r="74" spans="2:9" x14ac:dyDescent="0.3">
      <c r="B74">
        <v>78</v>
      </c>
      <c r="C74" t="s">
        <v>1005</v>
      </c>
      <c r="D74">
        <v>86</v>
      </c>
      <c r="E74" t="s">
        <v>1007</v>
      </c>
      <c r="F74">
        <v>82</v>
      </c>
      <c r="G74" t="s">
        <v>1006</v>
      </c>
      <c r="H74" t="s">
        <v>1015</v>
      </c>
      <c r="I74" t="s">
        <v>11</v>
      </c>
    </row>
    <row r="75" spans="2:9" x14ac:dyDescent="0.3">
      <c r="B75">
        <v>88</v>
      </c>
      <c r="C75" t="s">
        <v>1007</v>
      </c>
      <c r="D75">
        <v>77</v>
      </c>
      <c r="E75" t="s">
        <v>1005</v>
      </c>
      <c r="F75">
        <v>90</v>
      </c>
      <c r="G75" t="s">
        <v>1006</v>
      </c>
      <c r="H75" t="s">
        <v>1015</v>
      </c>
      <c r="I75" t="s">
        <v>11</v>
      </c>
    </row>
    <row r="76" spans="2:9" x14ac:dyDescent="0.3">
      <c r="B76">
        <v>85</v>
      </c>
      <c r="C76" t="s">
        <v>1007</v>
      </c>
      <c r="D76">
        <v>77</v>
      </c>
      <c r="E76" t="s">
        <v>1005</v>
      </c>
      <c r="F76">
        <v>95</v>
      </c>
      <c r="G76" t="s">
        <v>1006</v>
      </c>
      <c r="H76" t="s">
        <v>1015</v>
      </c>
      <c r="I76" t="s">
        <v>14</v>
      </c>
    </row>
    <row r="77" spans="2:9" x14ac:dyDescent="0.3">
      <c r="B77">
        <v>92</v>
      </c>
      <c r="C77" t="s">
        <v>1010</v>
      </c>
      <c r="D77">
        <v>60</v>
      </c>
      <c r="E77" t="s">
        <v>1012</v>
      </c>
      <c r="F77">
        <v>90</v>
      </c>
      <c r="G77" t="s">
        <v>1011</v>
      </c>
      <c r="H77" t="s">
        <v>1016</v>
      </c>
      <c r="I77" t="s">
        <v>11</v>
      </c>
    </row>
    <row r="78" spans="2:9" x14ac:dyDescent="0.3">
      <c r="B78">
        <v>92</v>
      </c>
      <c r="C78" t="s">
        <v>1010</v>
      </c>
      <c r="D78">
        <v>90</v>
      </c>
      <c r="E78" t="s">
        <v>1007</v>
      </c>
      <c r="F78">
        <v>90</v>
      </c>
      <c r="G78" t="s">
        <v>1011</v>
      </c>
      <c r="H78" t="s">
        <v>1015</v>
      </c>
      <c r="I78" t="s">
        <v>11</v>
      </c>
    </row>
    <row r="79" spans="2:9" x14ac:dyDescent="0.3">
      <c r="B79">
        <v>78</v>
      </c>
      <c r="C79" t="s">
        <v>1005</v>
      </c>
      <c r="D79">
        <v>88</v>
      </c>
      <c r="E79" t="s">
        <v>1007</v>
      </c>
      <c r="F79">
        <v>70</v>
      </c>
      <c r="G79" t="s">
        <v>1006</v>
      </c>
      <c r="H79" t="s">
        <v>1015</v>
      </c>
      <c r="I79" t="s">
        <v>14</v>
      </c>
    </row>
    <row r="80" spans="2:9" x14ac:dyDescent="0.3">
      <c r="B80">
        <v>92</v>
      </c>
      <c r="C80" t="s">
        <v>1010</v>
      </c>
      <c r="D80">
        <v>70</v>
      </c>
      <c r="E80" t="s">
        <v>1008</v>
      </c>
      <c r="F80">
        <v>95</v>
      </c>
      <c r="G80" t="s">
        <v>1011</v>
      </c>
      <c r="H80" t="s">
        <v>1009</v>
      </c>
      <c r="I80" t="s">
        <v>11</v>
      </c>
    </row>
    <row r="81" spans="2:9" x14ac:dyDescent="0.3">
      <c r="B81">
        <v>80</v>
      </c>
      <c r="C81" t="s">
        <v>1005</v>
      </c>
      <c r="D81">
        <v>88</v>
      </c>
      <c r="E81" t="s">
        <v>1007</v>
      </c>
      <c r="F81">
        <v>88</v>
      </c>
      <c r="G81" t="s">
        <v>1006</v>
      </c>
      <c r="H81" t="s">
        <v>1015</v>
      </c>
      <c r="I81" t="s">
        <v>11</v>
      </c>
    </row>
    <row r="82" spans="2:9" x14ac:dyDescent="0.3">
      <c r="B82">
        <v>80</v>
      </c>
      <c r="C82" t="s">
        <v>1005</v>
      </c>
      <c r="D82">
        <v>77.598759048603924</v>
      </c>
      <c r="E82" t="s">
        <v>1005</v>
      </c>
      <c r="F82">
        <v>82</v>
      </c>
      <c r="G82" t="s">
        <v>1006</v>
      </c>
      <c r="H82" t="s">
        <v>1015</v>
      </c>
      <c r="I82" t="s">
        <v>11</v>
      </c>
    </row>
    <row r="83" spans="2:9" x14ac:dyDescent="0.3">
      <c r="B83">
        <v>87</v>
      </c>
      <c r="C83" t="s">
        <v>1007</v>
      </c>
      <c r="D83">
        <v>82</v>
      </c>
      <c r="E83" t="s">
        <v>1007</v>
      </c>
      <c r="F83">
        <v>78</v>
      </c>
      <c r="G83" t="s">
        <v>1006</v>
      </c>
      <c r="H83" t="s">
        <v>1015</v>
      </c>
      <c r="I83" t="s">
        <v>14</v>
      </c>
    </row>
    <row r="84" spans="2:9" x14ac:dyDescent="0.3">
      <c r="B84">
        <v>72</v>
      </c>
      <c r="C84" t="s">
        <v>1005</v>
      </c>
      <c r="D84">
        <v>85</v>
      </c>
      <c r="E84" t="s">
        <v>1007</v>
      </c>
      <c r="F84">
        <v>91</v>
      </c>
      <c r="G84" t="s">
        <v>1009</v>
      </c>
      <c r="H84" t="s">
        <v>1015</v>
      </c>
      <c r="I84" t="s">
        <v>11</v>
      </c>
    </row>
    <row r="85" spans="2:9" x14ac:dyDescent="0.3">
      <c r="B85">
        <v>85</v>
      </c>
      <c r="C85" t="s">
        <v>1007</v>
      </c>
      <c r="D85">
        <v>82</v>
      </c>
      <c r="E85" t="s">
        <v>1007</v>
      </c>
      <c r="F85">
        <v>85</v>
      </c>
      <c r="G85" t="s">
        <v>1006</v>
      </c>
      <c r="H85" t="s">
        <v>1015</v>
      </c>
      <c r="I85" t="s">
        <v>14</v>
      </c>
    </row>
    <row r="86" spans="2:9" x14ac:dyDescent="0.3">
      <c r="B86">
        <v>72</v>
      </c>
      <c r="C86" t="s">
        <v>1005</v>
      </c>
      <c r="D86">
        <v>65</v>
      </c>
      <c r="E86" t="s">
        <v>1008</v>
      </c>
      <c r="F86">
        <v>88</v>
      </c>
      <c r="G86" t="s">
        <v>1009</v>
      </c>
      <c r="H86" t="s">
        <v>1009</v>
      </c>
      <c r="I86" t="s">
        <v>11</v>
      </c>
    </row>
    <row r="87" spans="2:9" x14ac:dyDescent="0.3">
      <c r="B87">
        <v>80.030208333333334</v>
      </c>
      <c r="C87" t="s">
        <v>1007</v>
      </c>
      <c r="D87">
        <v>90</v>
      </c>
      <c r="E87" t="s">
        <v>1007</v>
      </c>
      <c r="F87">
        <v>88</v>
      </c>
      <c r="G87" t="s">
        <v>1006</v>
      </c>
      <c r="H87" t="s">
        <v>1015</v>
      </c>
      <c r="I87" t="s">
        <v>14</v>
      </c>
    </row>
    <row r="88" spans="2:9" x14ac:dyDescent="0.3">
      <c r="B88">
        <v>92</v>
      </c>
      <c r="C88" t="s">
        <v>1010</v>
      </c>
      <c r="D88">
        <v>60</v>
      </c>
      <c r="E88" t="s">
        <v>1012</v>
      </c>
      <c r="F88">
        <v>91</v>
      </c>
      <c r="G88" t="s">
        <v>1011</v>
      </c>
      <c r="H88" t="s">
        <v>1016</v>
      </c>
      <c r="I88" t="s">
        <v>14</v>
      </c>
    </row>
    <row r="89" spans="2:9" x14ac:dyDescent="0.3">
      <c r="B89">
        <v>78</v>
      </c>
      <c r="C89" t="s">
        <v>1005</v>
      </c>
      <c r="D89">
        <v>86</v>
      </c>
      <c r="E89" t="s">
        <v>1007</v>
      </c>
      <c r="F89">
        <v>78</v>
      </c>
      <c r="G89" t="s">
        <v>1006</v>
      </c>
      <c r="H89" t="s">
        <v>1015</v>
      </c>
      <c r="I89" t="s">
        <v>11</v>
      </c>
    </row>
    <row r="90" spans="2:9" x14ac:dyDescent="0.3">
      <c r="B90">
        <v>88</v>
      </c>
      <c r="C90" t="s">
        <v>1007</v>
      </c>
      <c r="D90">
        <v>77</v>
      </c>
      <c r="E90" t="s">
        <v>1005</v>
      </c>
      <c r="F90">
        <v>82</v>
      </c>
      <c r="G90" t="s">
        <v>1006</v>
      </c>
      <c r="H90" t="s">
        <v>1015</v>
      </c>
      <c r="I90" t="s">
        <v>14</v>
      </c>
    </row>
    <row r="91" spans="2:9" x14ac:dyDescent="0.3">
      <c r="B91">
        <v>85</v>
      </c>
      <c r="C91" t="s">
        <v>1007</v>
      </c>
      <c r="D91">
        <v>86</v>
      </c>
      <c r="E91" t="s">
        <v>1007</v>
      </c>
      <c r="F91">
        <v>90</v>
      </c>
      <c r="G91" t="s">
        <v>1006</v>
      </c>
      <c r="H91" t="s">
        <v>1015</v>
      </c>
      <c r="I91" t="s">
        <v>977</v>
      </c>
    </row>
    <row r="92" spans="2:9" x14ac:dyDescent="0.3">
      <c r="B92">
        <v>78</v>
      </c>
      <c r="C92" t="s">
        <v>1005</v>
      </c>
      <c r="D92">
        <v>86</v>
      </c>
      <c r="E92" t="s">
        <v>1007</v>
      </c>
      <c r="F92">
        <v>88</v>
      </c>
      <c r="G92" t="s">
        <v>1006</v>
      </c>
      <c r="H92" t="s">
        <v>1015</v>
      </c>
      <c r="I92" t="s">
        <v>14</v>
      </c>
    </row>
    <row r="93" spans="2:9" x14ac:dyDescent="0.3">
      <c r="B93">
        <v>78</v>
      </c>
      <c r="C93" t="s">
        <v>1005</v>
      </c>
      <c r="D93">
        <v>65</v>
      </c>
      <c r="E93" t="s">
        <v>1008</v>
      </c>
      <c r="F93">
        <v>95</v>
      </c>
      <c r="G93" t="s">
        <v>1006</v>
      </c>
      <c r="H93" t="s">
        <v>1009</v>
      </c>
      <c r="I93" t="s">
        <v>977</v>
      </c>
    </row>
    <row r="94" spans="2:9" x14ac:dyDescent="0.3">
      <c r="B94">
        <v>72</v>
      </c>
      <c r="C94" t="s">
        <v>1005</v>
      </c>
      <c r="D94">
        <v>88</v>
      </c>
      <c r="E94" t="s">
        <v>1007</v>
      </c>
      <c r="F94">
        <v>95</v>
      </c>
      <c r="G94" t="s">
        <v>1009</v>
      </c>
      <c r="H94" t="s">
        <v>1015</v>
      </c>
      <c r="I94" t="s">
        <v>11</v>
      </c>
    </row>
    <row r="95" spans="2:9" x14ac:dyDescent="0.3">
      <c r="B95">
        <v>78</v>
      </c>
      <c r="C95" t="s">
        <v>1005</v>
      </c>
      <c r="D95">
        <v>88</v>
      </c>
      <c r="E95" t="s">
        <v>1007</v>
      </c>
      <c r="F95">
        <v>92</v>
      </c>
      <c r="G95" t="s">
        <v>1006</v>
      </c>
      <c r="H95" t="s">
        <v>1015</v>
      </c>
      <c r="I95" t="s">
        <v>11</v>
      </c>
    </row>
    <row r="96" spans="2:9" x14ac:dyDescent="0.3">
      <c r="B96">
        <v>88</v>
      </c>
      <c r="C96" t="s">
        <v>1007</v>
      </c>
      <c r="D96">
        <v>77</v>
      </c>
      <c r="E96" t="s">
        <v>1005</v>
      </c>
      <c r="F96">
        <v>88</v>
      </c>
      <c r="G96" t="s">
        <v>1006</v>
      </c>
      <c r="H96" t="s">
        <v>1015</v>
      </c>
      <c r="I96" t="s">
        <v>11</v>
      </c>
    </row>
    <row r="97" spans="2:9" x14ac:dyDescent="0.3">
      <c r="B97">
        <v>78</v>
      </c>
      <c r="C97" t="s">
        <v>1005</v>
      </c>
      <c r="D97">
        <v>85</v>
      </c>
      <c r="E97" t="s">
        <v>1007</v>
      </c>
      <c r="F97">
        <v>82</v>
      </c>
      <c r="G97" t="s">
        <v>1006</v>
      </c>
      <c r="H97" t="s">
        <v>1015</v>
      </c>
      <c r="I97" t="s">
        <v>11</v>
      </c>
    </row>
    <row r="98" spans="2:9" x14ac:dyDescent="0.3">
      <c r="B98">
        <v>92</v>
      </c>
      <c r="C98" t="s">
        <v>1010</v>
      </c>
      <c r="D98">
        <v>60</v>
      </c>
      <c r="E98" t="s">
        <v>1012</v>
      </c>
      <c r="F98">
        <v>82</v>
      </c>
      <c r="G98" t="s">
        <v>1011</v>
      </c>
      <c r="H98" t="s">
        <v>1016</v>
      </c>
      <c r="I98" t="s">
        <v>14</v>
      </c>
    </row>
    <row r="99" spans="2:9" x14ac:dyDescent="0.3">
      <c r="B99">
        <v>85</v>
      </c>
      <c r="C99" t="s">
        <v>1007</v>
      </c>
      <c r="D99">
        <v>60</v>
      </c>
      <c r="E99" t="s">
        <v>1012</v>
      </c>
      <c r="F99">
        <v>90</v>
      </c>
      <c r="G99" t="s">
        <v>1006</v>
      </c>
      <c r="H99" t="s">
        <v>1016</v>
      </c>
      <c r="I99" t="s">
        <v>11</v>
      </c>
    </row>
    <row r="100" spans="2:9" x14ac:dyDescent="0.3">
      <c r="B100">
        <v>72</v>
      </c>
      <c r="C100" t="s">
        <v>1005</v>
      </c>
      <c r="D100">
        <v>77</v>
      </c>
      <c r="E100" t="s">
        <v>1005</v>
      </c>
      <c r="F100">
        <v>85</v>
      </c>
      <c r="G100" t="s">
        <v>1009</v>
      </c>
      <c r="H100" t="s">
        <v>1015</v>
      </c>
      <c r="I100" t="s">
        <v>11</v>
      </c>
    </row>
    <row r="101" spans="2:9" x14ac:dyDescent="0.3">
      <c r="B101">
        <v>80</v>
      </c>
      <c r="C101" t="s">
        <v>1005</v>
      </c>
      <c r="D101">
        <v>60</v>
      </c>
      <c r="E101" t="s">
        <v>1012</v>
      </c>
      <c r="F101">
        <v>92</v>
      </c>
      <c r="G101" t="s">
        <v>1006</v>
      </c>
      <c r="H101" t="s">
        <v>1016</v>
      </c>
      <c r="I101" t="s">
        <v>11</v>
      </c>
    </row>
    <row r="102" spans="2:9" x14ac:dyDescent="0.3">
      <c r="B102">
        <v>90</v>
      </c>
      <c r="C102" t="s">
        <v>1007</v>
      </c>
      <c r="D102">
        <v>65</v>
      </c>
      <c r="E102" t="s">
        <v>1008</v>
      </c>
      <c r="F102">
        <v>85</v>
      </c>
      <c r="G102" t="s">
        <v>1006</v>
      </c>
      <c r="H102" t="s">
        <v>1009</v>
      </c>
      <c r="I102" t="s">
        <v>11</v>
      </c>
    </row>
    <row r="103" spans="2:9" x14ac:dyDescent="0.3">
      <c r="B103">
        <v>78</v>
      </c>
      <c r="C103" t="s">
        <v>1005</v>
      </c>
      <c r="D103">
        <v>60</v>
      </c>
      <c r="E103" t="s">
        <v>1012</v>
      </c>
      <c r="F103">
        <v>85</v>
      </c>
      <c r="G103" t="s">
        <v>1006</v>
      </c>
      <c r="H103" t="s">
        <v>1016</v>
      </c>
      <c r="I103" t="s">
        <v>977</v>
      </c>
    </row>
    <row r="104" spans="2:9" x14ac:dyDescent="0.3">
      <c r="B104">
        <v>78</v>
      </c>
      <c r="C104" t="s">
        <v>1005</v>
      </c>
      <c r="D104">
        <v>60</v>
      </c>
      <c r="E104" t="s">
        <v>1012</v>
      </c>
      <c r="F104">
        <v>95</v>
      </c>
      <c r="G104" t="s">
        <v>1006</v>
      </c>
      <c r="H104" t="s">
        <v>1016</v>
      </c>
      <c r="I104" t="s">
        <v>977</v>
      </c>
    </row>
    <row r="105" spans="2:9" x14ac:dyDescent="0.3">
      <c r="B105">
        <v>87</v>
      </c>
      <c r="C105" t="s">
        <v>1007</v>
      </c>
      <c r="D105">
        <v>60</v>
      </c>
      <c r="E105" t="s">
        <v>1012</v>
      </c>
      <c r="F105">
        <v>92</v>
      </c>
      <c r="G105" t="s">
        <v>1006</v>
      </c>
      <c r="H105" t="s">
        <v>1016</v>
      </c>
      <c r="I105" t="s">
        <v>14</v>
      </c>
    </row>
    <row r="106" spans="2:9" x14ac:dyDescent="0.3">
      <c r="B106">
        <v>62</v>
      </c>
      <c r="C106" t="s">
        <v>1008</v>
      </c>
      <c r="D106">
        <v>82</v>
      </c>
      <c r="E106" t="s">
        <v>1007</v>
      </c>
      <c r="F106">
        <v>95</v>
      </c>
      <c r="G106" t="s">
        <v>1009</v>
      </c>
      <c r="H106" t="s">
        <v>1015</v>
      </c>
      <c r="I106" t="s">
        <v>11</v>
      </c>
    </row>
    <row r="107" spans="2:9" x14ac:dyDescent="0.3">
      <c r="B107">
        <v>92</v>
      </c>
      <c r="C107" t="s">
        <v>1010</v>
      </c>
      <c r="D107">
        <v>86</v>
      </c>
      <c r="E107" t="s">
        <v>1007</v>
      </c>
      <c r="F107">
        <v>78</v>
      </c>
      <c r="G107" t="s">
        <v>1011</v>
      </c>
      <c r="H107" t="s">
        <v>1015</v>
      </c>
      <c r="I107" t="s">
        <v>11</v>
      </c>
    </row>
    <row r="108" spans="2:9" x14ac:dyDescent="0.3">
      <c r="B108">
        <v>85</v>
      </c>
      <c r="C108" t="s">
        <v>1007</v>
      </c>
      <c r="D108">
        <v>82</v>
      </c>
      <c r="E108" t="s">
        <v>1007</v>
      </c>
      <c r="F108">
        <v>88</v>
      </c>
      <c r="G108" t="s">
        <v>1006</v>
      </c>
      <c r="H108" t="s">
        <v>1015</v>
      </c>
      <c r="I108" t="s">
        <v>977</v>
      </c>
    </row>
    <row r="109" spans="2:9" x14ac:dyDescent="0.3">
      <c r="B109">
        <v>85</v>
      </c>
      <c r="C109" t="s">
        <v>1007</v>
      </c>
      <c r="D109">
        <v>60</v>
      </c>
      <c r="E109" t="s">
        <v>1012</v>
      </c>
      <c r="F109">
        <v>91</v>
      </c>
      <c r="G109" t="s">
        <v>1006</v>
      </c>
      <c r="H109" t="s">
        <v>1016</v>
      </c>
      <c r="I109" t="s">
        <v>14</v>
      </c>
    </row>
    <row r="110" spans="2:9" x14ac:dyDescent="0.3">
      <c r="B110">
        <v>85</v>
      </c>
      <c r="C110" t="s">
        <v>1007</v>
      </c>
      <c r="D110">
        <v>88</v>
      </c>
      <c r="E110" t="s">
        <v>1007</v>
      </c>
      <c r="F110">
        <v>70</v>
      </c>
      <c r="G110" t="s">
        <v>1006</v>
      </c>
      <c r="H110" t="s">
        <v>1015</v>
      </c>
      <c r="I110" t="s">
        <v>11</v>
      </c>
    </row>
    <row r="111" spans="2:9" x14ac:dyDescent="0.3">
      <c r="B111">
        <v>92</v>
      </c>
      <c r="C111" t="s">
        <v>1010</v>
      </c>
      <c r="D111">
        <v>86</v>
      </c>
      <c r="E111" t="s">
        <v>1007</v>
      </c>
      <c r="F111">
        <v>91</v>
      </c>
      <c r="G111" t="s">
        <v>1011</v>
      </c>
      <c r="H111" t="s">
        <v>1015</v>
      </c>
      <c r="I111" t="s">
        <v>11</v>
      </c>
    </row>
    <row r="112" spans="2:9" x14ac:dyDescent="0.3">
      <c r="B112">
        <v>80</v>
      </c>
      <c r="C112" t="s">
        <v>1005</v>
      </c>
      <c r="D112">
        <v>78</v>
      </c>
      <c r="E112" t="s">
        <v>1005</v>
      </c>
      <c r="F112">
        <v>78</v>
      </c>
      <c r="G112" t="s">
        <v>1006</v>
      </c>
      <c r="H112" t="s">
        <v>1015</v>
      </c>
      <c r="I112" t="s">
        <v>14</v>
      </c>
    </row>
    <row r="113" spans="2:9" x14ac:dyDescent="0.3">
      <c r="B113">
        <v>72</v>
      </c>
      <c r="C113" t="s">
        <v>1005</v>
      </c>
      <c r="D113">
        <v>65</v>
      </c>
      <c r="E113" t="s">
        <v>1008</v>
      </c>
      <c r="F113">
        <v>95</v>
      </c>
      <c r="G113" t="s">
        <v>1009</v>
      </c>
      <c r="H113" t="s">
        <v>1009</v>
      </c>
      <c r="I113" t="s">
        <v>14</v>
      </c>
    </row>
    <row r="114" spans="2:9" x14ac:dyDescent="0.3">
      <c r="B114">
        <v>87</v>
      </c>
      <c r="C114" t="s">
        <v>1007</v>
      </c>
      <c r="D114">
        <v>88</v>
      </c>
      <c r="E114" t="s">
        <v>1007</v>
      </c>
      <c r="F114">
        <v>85</v>
      </c>
      <c r="G114" t="s">
        <v>1006</v>
      </c>
      <c r="H114" t="s">
        <v>1015</v>
      </c>
      <c r="I114" t="s">
        <v>14</v>
      </c>
    </row>
    <row r="115" spans="2:9" x14ac:dyDescent="0.3">
      <c r="B115">
        <v>78</v>
      </c>
      <c r="C115" t="s">
        <v>1005</v>
      </c>
      <c r="D115">
        <v>82</v>
      </c>
      <c r="E115" t="s">
        <v>1007</v>
      </c>
      <c r="F115">
        <v>70</v>
      </c>
      <c r="G115" t="s">
        <v>1006</v>
      </c>
      <c r="H115" t="s">
        <v>1015</v>
      </c>
      <c r="I115" t="s">
        <v>11</v>
      </c>
    </row>
    <row r="116" spans="2:9" x14ac:dyDescent="0.3">
      <c r="B116">
        <v>72</v>
      </c>
      <c r="C116" t="s">
        <v>1005</v>
      </c>
      <c r="D116">
        <v>77</v>
      </c>
      <c r="E116" t="s">
        <v>1005</v>
      </c>
      <c r="F116">
        <v>90</v>
      </c>
      <c r="G116" t="s">
        <v>1009</v>
      </c>
      <c r="H116" t="s">
        <v>1015</v>
      </c>
      <c r="I116" t="s">
        <v>14</v>
      </c>
    </row>
    <row r="117" spans="2:9" x14ac:dyDescent="0.3">
      <c r="B117">
        <v>80</v>
      </c>
      <c r="C117" t="s">
        <v>1005</v>
      </c>
      <c r="D117">
        <v>85</v>
      </c>
      <c r="E117" t="s">
        <v>1007</v>
      </c>
      <c r="F117">
        <v>88</v>
      </c>
      <c r="G117" t="s">
        <v>1006</v>
      </c>
      <c r="H117" t="s">
        <v>1015</v>
      </c>
      <c r="I117" t="s">
        <v>14</v>
      </c>
    </row>
    <row r="118" spans="2:9" x14ac:dyDescent="0.3">
      <c r="B118">
        <v>72</v>
      </c>
      <c r="C118" t="s">
        <v>1005</v>
      </c>
      <c r="D118">
        <v>60</v>
      </c>
      <c r="E118" t="s">
        <v>1012</v>
      </c>
      <c r="F118">
        <v>82</v>
      </c>
      <c r="G118" t="s">
        <v>1009</v>
      </c>
      <c r="H118" t="s">
        <v>1016</v>
      </c>
      <c r="I118" t="s">
        <v>11</v>
      </c>
    </row>
    <row r="119" spans="2:9" x14ac:dyDescent="0.3">
      <c r="B119">
        <v>80.030208333333334</v>
      </c>
      <c r="C119" t="s">
        <v>1007</v>
      </c>
      <c r="D119">
        <v>60</v>
      </c>
      <c r="E119" t="s">
        <v>1012</v>
      </c>
      <c r="F119">
        <v>85</v>
      </c>
      <c r="G119" t="s">
        <v>1006</v>
      </c>
      <c r="H119" t="s">
        <v>1016</v>
      </c>
      <c r="I119" t="s">
        <v>977</v>
      </c>
    </row>
    <row r="120" spans="2:9" x14ac:dyDescent="0.3">
      <c r="B120">
        <v>85</v>
      </c>
      <c r="C120" t="s">
        <v>1007</v>
      </c>
      <c r="D120">
        <v>88</v>
      </c>
      <c r="E120" t="s">
        <v>1007</v>
      </c>
      <c r="F120">
        <v>95</v>
      </c>
      <c r="G120" t="s">
        <v>1006</v>
      </c>
      <c r="H120" t="s">
        <v>1015</v>
      </c>
      <c r="I120" t="s">
        <v>11</v>
      </c>
    </row>
    <row r="121" spans="2:9" x14ac:dyDescent="0.3">
      <c r="B121">
        <v>68</v>
      </c>
      <c r="C121" t="s">
        <v>1008</v>
      </c>
      <c r="D121">
        <v>78</v>
      </c>
      <c r="E121" t="s">
        <v>1005</v>
      </c>
      <c r="F121">
        <v>91</v>
      </c>
      <c r="G121" t="s">
        <v>1009</v>
      </c>
      <c r="H121" t="s">
        <v>1015</v>
      </c>
      <c r="I121" t="s">
        <v>11</v>
      </c>
    </row>
    <row r="122" spans="2:9" x14ac:dyDescent="0.3">
      <c r="B122">
        <v>80.030208333333334</v>
      </c>
      <c r="C122" t="s">
        <v>1007</v>
      </c>
      <c r="D122">
        <v>65</v>
      </c>
      <c r="E122" t="s">
        <v>1008</v>
      </c>
      <c r="F122">
        <v>92</v>
      </c>
      <c r="G122" t="s">
        <v>1006</v>
      </c>
      <c r="H122" t="s">
        <v>1009</v>
      </c>
      <c r="I122" t="s">
        <v>11</v>
      </c>
    </row>
    <row r="123" spans="2:9" x14ac:dyDescent="0.3">
      <c r="B123">
        <v>90</v>
      </c>
      <c r="C123" t="s">
        <v>1007</v>
      </c>
      <c r="D123">
        <v>78</v>
      </c>
      <c r="E123" t="s">
        <v>1005</v>
      </c>
      <c r="F123">
        <v>78</v>
      </c>
      <c r="G123" t="s">
        <v>1006</v>
      </c>
      <c r="H123" t="s">
        <v>1015</v>
      </c>
      <c r="I123" t="s">
        <v>14</v>
      </c>
    </row>
    <row r="124" spans="2:9" x14ac:dyDescent="0.3">
      <c r="B124">
        <v>87</v>
      </c>
      <c r="C124" t="s">
        <v>1007</v>
      </c>
      <c r="D124">
        <v>65</v>
      </c>
      <c r="E124" t="s">
        <v>1008</v>
      </c>
      <c r="F124">
        <v>88</v>
      </c>
      <c r="G124" t="s">
        <v>1006</v>
      </c>
      <c r="H124" t="s">
        <v>1009</v>
      </c>
      <c r="I124" t="s">
        <v>11</v>
      </c>
    </row>
    <row r="125" spans="2:9" x14ac:dyDescent="0.3">
      <c r="B125">
        <v>72</v>
      </c>
      <c r="C125" t="s">
        <v>1005</v>
      </c>
      <c r="D125">
        <v>90</v>
      </c>
      <c r="E125" t="s">
        <v>1007</v>
      </c>
      <c r="F125">
        <v>85</v>
      </c>
      <c r="G125" t="s">
        <v>1009</v>
      </c>
      <c r="H125" t="s">
        <v>1015</v>
      </c>
      <c r="I125" t="s">
        <v>11</v>
      </c>
    </row>
    <row r="126" spans="2:9" x14ac:dyDescent="0.3">
      <c r="B126">
        <v>80.030208333333334</v>
      </c>
      <c r="C126" t="s">
        <v>1007</v>
      </c>
      <c r="D126">
        <v>85</v>
      </c>
      <c r="E126" t="s">
        <v>1007</v>
      </c>
      <c r="F126">
        <v>70</v>
      </c>
      <c r="G126" t="s">
        <v>1006</v>
      </c>
      <c r="H126" t="s">
        <v>1015</v>
      </c>
      <c r="I126" t="s">
        <v>14</v>
      </c>
    </row>
    <row r="127" spans="2:9" x14ac:dyDescent="0.3">
      <c r="B127">
        <v>90</v>
      </c>
      <c r="C127" t="s">
        <v>1007</v>
      </c>
      <c r="D127">
        <v>86</v>
      </c>
      <c r="E127" t="s">
        <v>1007</v>
      </c>
      <c r="F127">
        <v>78</v>
      </c>
      <c r="G127" t="s">
        <v>1006</v>
      </c>
      <c r="H127" t="s">
        <v>1015</v>
      </c>
      <c r="I127" t="s">
        <v>11</v>
      </c>
    </row>
    <row r="128" spans="2:9" x14ac:dyDescent="0.3">
      <c r="B128">
        <v>78</v>
      </c>
      <c r="C128" t="s">
        <v>1005</v>
      </c>
      <c r="D128">
        <v>70</v>
      </c>
      <c r="E128" t="s">
        <v>1008</v>
      </c>
      <c r="F128">
        <v>90</v>
      </c>
      <c r="G128" t="s">
        <v>1006</v>
      </c>
      <c r="H128" t="s">
        <v>1009</v>
      </c>
      <c r="I128" t="s">
        <v>14</v>
      </c>
    </row>
    <row r="129" spans="2:9" x14ac:dyDescent="0.3">
      <c r="B129">
        <v>85</v>
      </c>
      <c r="C129" t="s">
        <v>1007</v>
      </c>
      <c r="D129">
        <v>88</v>
      </c>
      <c r="E129" t="s">
        <v>1007</v>
      </c>
      <c r="F129">
        <v>70</v>
      </c>
      <c r="G129" t="s">
        <v>1006</v>
      </c>
      <c r="H129" t="s">
        <v>1015</v>
      </c>
      <c r="I129" t="s">
        <v>977</v>
      </c>
    </row>
    <row r="130" spans="2:9" x14ac:dyDescent="0.3">
      <c r="B130">
        <v>90</v>
      </c>
      <c r="C130" t="s">
        <v>1007</v>
      </c>
      <c r="D130">
        <v>60</v>
      </c>
      <c r="E130" t="s">
        <v>1012</v>
      </c>
      <c r="F130">
        <v>90</v>
      </c>
      <c r="G130" t="s">
        <v>1006</v>
      </c>
      <c r="H130" t="s">
        <v>1016</v>
      </c>
      <c r="I130" t="s">
        <v>11</v>
      </c>
    </row>
    <row r="131" spans="2:9" x14ac:dyDescent="0.3">
      <c r="B131">
        <v>88</v>
      </c>
      <c r="C131" t="s">
        <v>1007</v>
      </c>
      <c r="D131">
        <v>60</v>
      </c>
      <c r="E131" t="s">
        <v>1012</v>
      </c>
      <c r="F131">
        <v>70</v>
      </c>
      <c r="G131" t="s">
        <v>1006</v>
      </c>
      <c r="H131" t="s">
        <v>1016</v>
      </c>
      <c r="I131" t="s">
        <v>11</v>
      </c>
    </row>
    <row r="132" spans="2:9" x14ac:dyDescent="0.3">
      <c r="B132">
        <v>87</v>
      </c>
      <c r="C132" t="s">
        <v>1007</v>
      </c>
      <c r="D132">
        <v>88</v>
      </c>
      <c r="E132" t="s">
        <v>1007</v>
      </c>
      <c r="F132">
        <v>92</v>
      </c>
      <c r="G132" t="s">
        <v>1006</v>
      </c>
      <c r="H132" t="s">
        <v>1015</v>
      </c>
      <c r="I132" t="s">
        <v>14</v>
      </c>
    </row>
    <row r="133" spans="2:9" x14ac:dyDescent="0.3">
      <c r="B133">
        <v>85</v>
      </c>
      <c r="C133" t="s">
        <v>1007</v>
      </c>
      <c r="D133">
        <v>78</v>
      </c>
      <c r="E133" t="s">
        <v>1005</v>
      </c>
      <c r="F133">
        <v>91</v>
      </c>
      <c r="G133" t="s">
        <v>1006</v>
      </c>
      <c r="H133" t="s">
        <v>1015</v>
      </c>
      <c r="I133" t="s">
        <v>11</v>
      </c>
    </row>
    <row r="134" spans="2:9" x14ac:dyDescent="0.3">
      <c r="B134">
        <v>80</v>
      </c>
      <c r="C134" t="s">
        <v>1005</v>
      </c>
      <c r="D134">
        <v>85</v>
      </c>
      <c r="E134" t="s">
        <v>1007</v>
      </c>
      <c r="F134">
        <v>91</v>
      </c>
      <c r="G134" t="s">
        <v>1006</v>
      </c>
      <c r="H134" t="s">
        <v>1015</v>
      </c>
      <c r="I134" t="s">
        <v>11</v>
      </c>
    </row>
    <row r="135" spans="2:9" x14ac:dyDescent="0.3">
      <c r="B135">
        <v>90</v>
      </c>
      <c r="C135" t="s">
        <v>1007</v>
      </c>
      <c r="D135">
        <v>77.598759048603924</v>
      </c>
      <c r="E135" t="s">
        <v>1005</v>
      </c>
      <c r="F135">
        <v>85</v>
      </c>
      <c r="G135" t="s">
        <v>1006</v>
      </c>
      <c r="H135" t="s">
        <v>1015</v>
      </c>
      <c r="I135" t="s">
        <v>14</v>
      </c>
    </row>
    <row r="136" spans="2:9" x14ac:dyDescent="0.3">
      <c r="B136">
        <v>78</v>
      </c>
      <c r="C136" t="s">
        <v>1005</v>
      </c>
      <c r="D136">
        <v>78</v>
      </c>
      <c r="E136" t="s">
        <v>1005</v>
      </c>
      <c r="F136">
        <v>78</v>
      </c>
      <c r="G136" t="s">
        <v>1006</v>
      </c>
      <c r="H136" t="s">
        <v>1015</v>
      </c>
      <c r="I136" t="s">
        <v>11</v>
      </c>
    </row>
    <row r="137" spans="2:9" x14ac:dyDescent="0.3">
      <c r="B137">
        <v>87</v>
      </c>
      <c r="C137" t="s">
        <v>1007</v>
      </c>
      <c r="D137">
        <v>85</v>
      </c>
      <c r="E137" t="s">
        <v>1007</v>
      </c>
      <c r="F137">
        <v>92</v>
      </c>
      <c r="G137" t="s">
        <v>1006</v>
      </c>
      <c r="H137" t="s">
        <v>1015</v>
      </c>
      <c r="I137" t="s">
        <v>14</v>
      </c>
    </row>
    <row r="138" spans="2:9" x14ac:dyDescent="0.3">
      <c r="B138">
        <v>80</v>
      </c>
      <c r="C138" t="s">
        <v>1005</v>
      </c>
      <c r="D138">
        <v>60</v>
      </c>
      <c r="E138" t="s">
        <v>1012</v>
      </c>
      <c r="F138">
        <v>85</v>
      </c>
      <c r="G138" t="s">
        <v>1006</v>
      </c>
      <c r="H138" t="s">
        <v>1016</v>
      </c>
      <c r="I138" t="s">
        <v>14</v>
      </c>
    </row>
    <row r="139" spans="2:9" x14ac:dyDescent="0.3">
      <c r="B139">
        <v>62</v>
      </c>
      <c r="C139" t="s">
        <v>1008</v>
      </c>
      <c r="D139">
        <v>78</v>
      </c>
      <c r="E139" t="s">
        <v>1005</v>
      </c>
      <c r="F139">
        <v>95</v>
      </c>
      <c r="G139" t="s">
        <v>1009</v>
      </c>
      <c r="H139" t="s">
        <v>1015</v>
      </c>
      <c r="I139" t="s">
        <v>14</v>
      </c>
    </row>
    <row r="140" spans="2:9" x14ac:dyDescent="0.3">
      <c r="B140">
        <v>78</v>
      </c>
      <c r="C140" t="s">
        <v>1005</v>
      </c>
      <c r="D140">
        <v>78</v>
      </c>
      <c r="E140" t="s">
        <v>1005</v>
      </c>
      <c r="F140">
        <v>90</v>
      </c>
      <c r="G140" t="s">
        <v>1006</v>
      </c>
      <c r="H140" t="s">
        <v>1015</v>
      </c>
      <c r="I140" t="s">
        <v>14</v>
      </c>
    </row>
    <row r="141" spans="2:9" x14ac:dyDescent="0.3">
      <c r="B141">
        <v>68</v>
      </c>
      <c r="C141" t="s">
        <v>1008</v>
      </c>
      <c r="D141">
        <v>60</v>
      </c>
      <c r="E141" t="s">
        <v>1012</v>
      </c>
      <c r="F141">
        <v>88</v>
      </c>
      <c r="G141" t="s">
        <v>1009</v>
      </c>
      <c r="H141" t="s">
        <v>1016</v>
      </c>
      <c r="I141" t="s">
        <v>14</v>
      </c>
    </row>
    <row r="142" spans="2:9" x14ac:dyDescent="0.3">
      <c r="B142">
        <v>62</v>
      </c>
      <c r="C142" t="s">
        <v>1008</v>
      </c>
      <c r="D142">
        <v>90</v>
      </c>
      <c r="E142" t="s">
        <v>1007</v>
      </c>
      <c r="F142">
        <v>70</v>
      </c>
      <c r="G142" t="s">
        <v>1009</v>
      </c>
      <c r="H142" t="s">
        <v>1015</v>
      </c>
      <c r="I142" t="s">
        <v>11</v>
      </c>
    </row>
    <row r="143" spans="2:9" x14ac:dyDescent="0.3">
      <c r="B143">
        <v>80.030208333333334</v>
      </c>
      <c r="C143" t="s">
        <v>1007</v>
      </c>
      <c r="D143">
        <v>85</v>
      </c>
      <c r="E143" t="s">
        <v>1007</v>
      </c>
      <c r="F143">
        <v>95</v>
      </c>
      <c r="G143" t="s">
        <v>1006</v>
      </c>
      <c r="H143" t="s">
        <v>1015</v>
      </c>
      <c r="I143" t="s">
        <v>11</v>
      </c>
    </row>
    <row r="144" spans="2:9" x14ac:dyDescent="0.3">
      <c r="B144">
        <v>68</v>
      </c>
      <c r="C144" t="s">
        <v>1008</v>
      </c>
      <c r="D144">
        <v>65</v>
      </c>
      <c r="E144" t="s">
        <v>1008</v>
      </c>
      <c r="F144">
        <v>92</v>
      </c>
      <c r="G144" t="s">
        <v>1009</v>
      </c>
      <c r="H144" t="s">
        <v>1009</v>
      </c>
      <c r="I144" t="s">
        <v>11</v>
      </c>
    </row>
    <row r="145" spans="2:9" x14ac:dyDescent="0.3">
      <c r="B145">
        <v>88</v>
      </c>
      <c r="C145" t="s">
        <v>1007</v>
      </c>
      <c r="D145">
        <v>86</v>
      </c>
      <c r="E145" t="s">
        <v>1007</v>
      </c>
      <c r="F145">
        <v>85</v>
      </c>
      <c r="G145" t="s">
        <v>1006</v>
      </c>
      <c r="H145" t="s">
        <v>1015</v>
      </c>
      <c r="I145" t="s">
        <v>14</v>
      </c>
    </row>
    <row r="146" spans="2:9" x14ac:dyDescent="0.3">
      <c r="B146">
        <v>85</v>
      </c>
      <c r="C146" t="s">
        <v>1007</v>
      </c>
      <c r="D146">
        <v>77</v>
      </c>
      <c r="E146" t="s">
        <v>1005</v>
      </c>
      <c r="F146">
        <v>85</v>
      </c>
      <c r="G146" t="s">
        <v>1006</v>
      </c>
      <c r="H146" t="s">
        <v>1015</v>
      </c>
      <c r="I146" t="s">
        <v>11</v>
      </c>
    </row>
    <row r="147" spans="2:9" x14ac:dyDescent="0.3">
      <c r="B147">
        <v>90</v>
      </c>
      <c r="C147" t="s">
        <v>1007</v>
      </c>
      <c r="D147">
        <v>77</v>
      </c>
      <c r="E147" t="s">
        <v>1005</v>
      </c>
      <c r="F147">
        <v>88</v>
      </c>
      <c r="G147" t="s">
        <v>1006</v>
      </c>
      <c r="H147" t="s">
        <v>1015</v>
      </c>
      <c r="I147" t="s">
        <v>11</v>
      </c>
    </row>
    <row r="148" spans="2:9" x14ac:dyDescent="0.3">
      <c r="B148">
        <v>88</v>
      </c>
      <c r="C148" t="s">
        <v>1007</v>
      </c>
      <c r="D148">
        <v>70</v>
      </c>
      <c r="E148" t="s">
        <v>1008</v>
      </c>
      <c r="F148">
        <v>85</v>
      </c>
      <c r="G148" t="s">
        <v>1006</v>
      </c>
      <c r="H148" t="s">
        <v>1009</v>
      </c>
      <c r="I148" t="s">
        <v>14</v>
      </c>
    </row>
    <row r="149" spans="2:9" x14ac:dyDescent="0.3">
      <c r="B149">
        <v>87</v>
      </c>
      <c r="C149" t="s">
        <v>1007</v>
      </c>
      <c r="D149">
        <v>85</v>
      </c>
      <c r="E149" t="s">
        <v>1007</v>
      </c>
      <c r="F149">
        <v>85</v>
      </c>
      <c r="G149" t="s">
        <v>1006</v>
      </c>
      <c r="H149" t="s">
        <v>1015</v>
      </c>
      <c r="I149" t="s">
        <v>11</v>
      </c>
    </row>
    <row r="150" spans="2:9" x14ac:dyDescent="0.3">
      <c r="B150">
        <v>90</v>
      </c>
      <c r="C150" t="s">
        <v>1007</v>
      </c>
      <c r="D150">
        <v>70</v>
      </c>
      <c r="E150" t="s">
        <v>1008</v>
      </c>
      <c r="F150">
        <v>85</v>
      </c>
      <c r="G150" t="s">
        <v>1006</v>
      </c>
      <c r="H150" t="s">
        <v>1009</v>
      </c>
      <c r="I150" t="s">
        <v>14</v>
      </c>
    </row>
    <row r="151" spans="2:9" x14ac:dyDescent="0.3">
      <c r="B151">
        <v>87</v>
      </c>
      <c r="C151" t="s">
        <v>1007</v>
      </c>
      <c r="D151">
        <v>88</v>
      </c>
      <c r="E151" t="s">
        <v>1007</v>
      </c>
      <c r="F151">
        <v>91</v>
      </c>
      <c r="G151" t="s">
        <v>1006</v>
      </c>
      <c r="H151" t="s">
        <v>1015</v>
      </c>
      <c r="I151" t="s">
        <v>14</v>
      </c>
    </row>
    <row r="152" spans="2:9" x14ac:dyDescent="0.3">
      <c r="B152">
        <v>85</v>
      </c>
      <c r="C152" t="s">
        <v>1007</v>
      </c>
      <c r="D152">
        <v>86</v>
      </c>
      <c r="E152" t="s">
        <v>1007</v>
      </c>
      <c r="F152">
        <v>95</v>
      </c>
      <c r="G152" t="s">
        <v>1006</v>
      </c>
      <c r="H152" t="s">
        <v>1015</v>
      </c>
      <c r="I152" t="s">
        <v>11</v>
      </c>
    </row>
    <row r="153" spans="2:9" x14ac:dyDescent="0.3">
      <c r="B153">
        <v>72</v>
      </c>
      <c r="C153" t="s">
        <v>1005</v>
      </c>
      <c r="D153">
        <v>60</v>
      </c>
      <c r="E153" t="s">
        <v>1012</v>
      </c>
      <c r="F153">
        <v>88</v>
      </c>
      <c r="G153" t="s">
        <v>1009</v>
      </c>
      <c r="H153" t="s">
        <v>1016</v>
      </c>
      <c r="I153" t="s">
        <v>11</v>
      </c>
    </row>
    <row r="154" spans="2:9" x14ac:dyDescent="0.3">
      <c r="B154">
        <v>90</v>
      </c>
      <c r="C154" t="s">
        <v>1007</v>
      </c>
      <c r="D154">
        <v>82</v>
      </c>
      <c r="E154" t="s">
        <v>1007</v>
      </c>
      <c r="F154">
        <v>85</v>
      </c>
      <c r="G154" t="s">
        <v>1006</v>
      </c>
      <c r="H154" t="s">
        <v>1015</v>
      </c>
      <c r="I154" t="s">
        <v>14</v>
      </c>
    </row>
    <row r="155" spans="2:9" x14ac:dyDescent="0.3">
      <c r="B155">
        <v>72</v>
      </c>
      <c r="C155" t="s">
        <v>1005</v>
      </c>
      <c r="D155">
        <v>82</v>
      </c>
      <c r="E155" t="s">
        <v>1007</v>
      </c>
      <c r="F155">
        <v>78</v>
      </c>
      <c r="G155" t="s">
        <v>1009</v>
      </c>
      <c r="H155" t="s">
        <v>1015</v>
      </c>
      <c r="I155" t="s">
        <v>11</v>
      </c>
    </row>
    <row r="156" spans="2:9" x14ac:dyDescent="0.3">
      <c r="B156">
        <v>88</v>
      </c>
      <c r="C156" t="s">
        <v>1007</v>
      </c>
      <c r="D156">
        <v>65</v>
      </c>
      <c r="E156" t="s">
        <v>1008</v>
      </c>
      <c r="F156">
        <v>91</v>
      </c>
      <c r="G156" t="s">
        <v>1006</v>
      </c>
      <c r="H156" t="s">
        <v>1009</v>
      </c>
      <c r="I156" t="s">
        <v>11</v>
      </c>
    </row>
    <row r="157" spans="2:9" x14ac:dyDescent="0.3">
      <c r="B157">
        <v>78</v>
      </c>
      <c r="C157" t="s">
        <v>1005</v>
      </c>
      <c r="D157">
        <v>77</v>
      </c>
      <c r="E157" t="s">
        <v>1005</v>
      </c>
      <c r="F157">
        <v>95</v>
      </c>
      <c r="G157" t="s">
        <v>1006</v>
      </c>
      <c r="H157" t="s">
        <v>1015</v>
      </c>
      <c r="I157" t="s">
        <v>14</v>
      </c>
    </row>
    <row r="158" spans="2:9" x14ac:dyDescent="0.3">
      <c r="B158">
        <v>80.030208333333334</v>
      </c>
      <c r="C158" t="s">
        <v>1007</v>
      </c>
      <c r="D158">
        <v>77.598759048603924</v>
      </c>
      <c r="E158" t="s">
        <v>1005</v>
      </c>
      <c r="F158">
        <v>95</v>
      </c>
      <c r="G158" t="s">
        <v>1006</v>
      </c>
      <c r="H158" t="s">
        <v>1015</v>
      </c>
      <c r="I158" t="s">
        <v>11</v>
      </c>
    </row>
    <row r="159" spans="2:9" x14ac:dyDescent="0.3">
      <c r="B159">
        <v>87</v>
      </c>
      <c r="C159" t="s">
        <v>1007</v>
      </c>
      <c r="D159">
        <v>77</v>
      </c>
      <c r="E159" t="s">
        <v>1005</v>
      </c>
      <c r="F159">
        <v>85.510416666666671</v>
      </c>
      <c r="G159" t="s">
        <v>1006</v>
      </c>
      <c r="H159" t="s">
        <v>1015</v>
      </c>
      <c r="I159" t="s">
        <v>11</v>
      </c>
    </row>
    <row r="160" spans="2:9" x14ac:dyDescent="0.3">
      <c r="B160">
        <v>62</v>
      </c>
      <c r="C160" t="s">
        <v>1008</v>
      </c>
      <c r="D160">
        <v>77</v>
      </c>
      <c r="E160" t="s">
        <v>1005</v>
      </c>
      <c r="F160">
        <v>78</v>
      </c>
      <c r="G160" t="s">
        <v>1009</v>
      </c>
      <c r="H160" t="s">
        <v>1015</v>
      </c>
      <c r="I160" t="s">
        <v>11</v>
      </c>
    </row>
    <row r="161" spans="2:9" x14ac:dyDescent="0.3">
      <c r="B161">
        <v>92</v>
      </c>
      <c r="C161" t="s">
        <v>1010</v>
      </c>
      <c r="D161">
        <v>60</v>
      </c>
      <c r="E161" t="s">
        <v>1012</v>
      </c>
      <c r="F161">
        <v>70</v>
      </c>
      <c r="G161" t="s">
        <v>1011</v>
      </c>
      <c r="H161" t="s">
        <v>1016</v>
      </c>
      <c r="I161" t="s">
        <v>11</v>
      </c>
    </row>
    <row r="162" spans="2:9" x14ac:dyDescent="0.3">
      <c r="B162">
        <v>80</v>
      </c>
      <c r="C162" t="s">
        <v>1005</v>
      </c>
      <c r="D162">
        <v>88</v>
      </c>
      <c r="E162" t="s">
        <v>1007</v>
      </c>
      <c r="F162">
        <v>95</v>
      </c>
      <c r="G162" t="s">
        <v>1006</v>
      </c>
      <c r="H162" t="s">
        <v>1015</v>
      </c>
      <c r="I162" t="s">
        <v>11</v>
      </c>
    </row>
    <row r="163" spans="2:9" x14ac:dyDescent="0.3">
      <c r="B163">
        <v>92</v>
      </c>
      <c r="C163" t="s">
        <v>1010</v>
      </c>
      <c r="D163">
        <v>85</v>
      </c>
      <c r="E163" t="s">
        <v>1007</v>
      </c>
      <c r="F163">
        <v>91</v>
      </c>
      <c r="G163" t="s">
        <v>1011</v>
      </c>
      <c r="H163" t="s">
        <v>1015</v>
      </c>
      <c r="I163" t="s">
        <v>14</v>
      </c>
    </row>
    <row r="164" spans="2:9" x14ac:dyDescent="0.3">
      <c r="B164">
        <v>80.030208333333334</v>
      </c>
      <c r="C164" t="s">
        <v>1007</v>
      </c>
      <c r="D164">
        <v>85</v>
      </c>
      <c r="E164" t="s">
        <v>1007</v>
      </c>
      <c r="F164">
        <v>92</v>
      </c>
      <c r="G164" t="s">
        <v>1006</v>
      </c>
      <c r="H164" t="s">
        <v>1015</v>
      </c>
      <c r="I164" t="s">
        <v>14</v>
      </c>
    </row>
    <row r="165" spans="2:9" x14ac:dyDescent="0.3">
      <c r="B165">
        <v>72</v>
      </c>
      <c r="C165" t="s">
        <v>1005</v>
      </c>
      <c r="D165">
        <v>70</v>
      </c>
      <c r="E165" t="s">
        <v>1008</v>
      </c>
      <c r="F165">
        <v>85</v>
      </c>
      <c r="G165" t="s">
        <v>1009</v>
      </c>
      <c r="H165" t="s">
        <v>1009</v>
      </c>
      <c r="I165" t="s">
        <v>11</v>
      </c>
    </row>
    <row r="166" spans="2:9" x14ac:dyDescent="0.3">
      <c r="B166">
        <v>62</v>
      </c>
      <c r="C166" t="s">
        <v>1008</v>
      </c>
      <c r="D166">
        <v>88</v>
      </c>
      <c r="E166" t="s">
        <v>1007</v>
      </c>
      <c r="F166">
        <v>85</v>
      </c>
      <c r="G166" t="s">
        <v>1009</v>
      </c>
      <c r="H166" t="s">
        <v>1015</v>
      </c>
      <c r="I166" t="s">
        <v>14</v>
      </c>
    </row>
    <row r="167" spans="2:9" x14ac:dyDescent="0.3">
      <c r="B167">
        <v>72</v>
      </c>
      <c r="C167" t="s">
        <v>1005</v>
      </c>
      <c r="D167">
        <v>70</v>
      </c>
      <c r="E167" t="s">
        <v>1008</v>
      </c>
      <c r="F167">
        <v>90</v>
      </c>
      <c r="G167" t="s">
        <v>1009</v>
      </c>
      <c r="H167" t="s">
        <v>1009</v>
      </c>
      <c r="I167" t="s">
        <v>14</v>
      </c>
    </row>
    <row r="168" spans="2:9" x14ac:dyDescent="0.3">
      <c r="B168">
        <v>92</v>
      </c>
      <c r="C168" t="s">
        <v>1010</v>
      </c>
      <c r="D168">
        <v>88</v>
      </c>
      <c r="E168" t="s">
        <v>1007</v>
      </c>
      <c r="F168">
        <v>88</v>
      </c>
      <c r="G168" t="s">
        <v>1011</v>
      </c>
      <c r="H168" t="s">
        <v>1015</v>
      </c>
      <c r="I168" t="s">
        <v>14</v>
      </c>
    </row>
    <row r="169" spans="2:9" x14ac:dyDescent="0.3">
      <c r="B169">
        <v>68</v>
      </c>
      <c r="C169" t="s">
        <v>1008</v>
      </c>
      <c r="D169">
        <v>70</v>
      </c>
      <c r="E169" t="s">
        <v>1008</v>
      </c>
      <c r="F169">
        <v>85</v>
      </c>
      <c r="G169" t="s">
        <v>1009</v>
      </c>
      <c r="H169" t="s">
        <v>1009</v>
      </c>
      <c r="I169" t="s">
        <v>11</v>
      </c>
    </row>
    <row r="170" spans="2:9" x14ac:dyDescent="0.3">
      <c r="B170">
        <v>92</v>
      </c>
      <c r="C170" t="s">
        <v>1010</v>
      </c>
      <c r="D170">
        <v>77</v>
      </c>
      <c r="E170" t="s">
        <v>1005</v>
      </c>
      <c r="F170">
        <v>78</v>
      </c>
      <c r="G170" t="s">
        <v>1011</v>
      </c>
      <c r="H170" t="s">
        <v>1015</v>
      </c>
      <c r="I170" t="s">
        <v>11</v>
      </c>
    </row>
    <row r="171" spans="2:9" x14ac:dyDescent="0.3">
      <c r="B171">
        <v>80</v>
      </c>
      <c r="C171" t="s">
        <v>1005</v>
      </c>
      <c r="D171">
        <v>70</v>
      </c>
      <c r="E171" t="s">
        <v>1008</v>
      </c>
      <c r="F171">
        <v>82</v>
      </c>
      <c r="G171" t="s">
        <v>1006</v>
      </c>
      <c r="H171" t="s">
        <v>1009</v>
      </c>
      <c r="I171" t="s">
        <v>14</v>
      </c>
    </row>
    <row r="172" spans="2:9" x14ac:dyDescent="0.3">
      <c r="B172">
        <v>62</v>
      </c>
      <c r="C172" t="s">
        <v>1008</v>
      </c>
      <c r="D172">
        <v>85</v>
      </c>
      <c r="E172" t="s">
        <v>1007</v>
      </c>
      <c r="F172">
        <v>95</v>
      </c>
      <c r="G172" t="s">
        <v>1009</v>
      </c>
      <c r="H172" t="s">
        <v>1015</v>
      </c>
      <c r="I172" t="s">
        <v>11</v>
      </c>
    </row>
    <row r="173" spans="2:9" x14ac:dyDescent="0.3">
      <c r="B173">
        <v>62</v>
      </c>
      <c r="C173" t="s">
        <v>1008</v>
      </c>
      <c r="D173">
        <v>70</v>
      </c>
      <c r="E173" t="s">
        <v>1008</v>
      </c>
      <c r="F173">
        <v>85</v>
      </c>
      <c r="G173" t="s">
        <v>1009</v>
      </c>
      <c r="H173" t="s">
        <v>1009</v>
      </c>
      <c r="I173" t="s">
        <v>14</v>
      </c>
    </row>
    <row r="174" spans="2:9" x14ac:dyDescent="0.3">
      <c r="B174">
        <v>85</v>
      </c>
      <c r="C174" t="s">
        <v>1007</v>
      </c>
      <c r="D174">
        <v>85</v>
      </c>
      <c r="E174" t="s">
        <v>1007</v>
      </c>
      <c r="F174">
        <v>95</v>
      </c>
      <c r="G174" t="s">
        <v>1006</v>
      </c>
      <c r="H174" t="s">
        <v>1015</v>
      </c>
      <c r="I174" t="s">
        <v>14</v>
      </c>
    </row>
    <row r="175" spans="2:9" x14ac:dyDescent="0.3">
      <c r="B175">
        <v>62</v>
      </c>
      <c r="C175" t="s">
        <v>1008</v>
      </c>
      <c r="D175">
        <v>78</v>
      </c>
      <c r="E175" t="s">
        <v>1005</v>
      </c>
      <c r="F175">
        <v>95</v>
      </c>
      <c r="G175" t="s">
        <v>1009</v>
      </c>
      <c r="H175" t="s">
        <v>1015</v>
      </c>
      <c r="I175" t="s">
        <v>14</v>
      </c>
    </row>
    <row r="176" spans="2:9" x14ac:dyDescent="0.3">
      <c r="B176">
        <v>88</v>
      </c>
      <c r="C176" t="s">
        <v>1007</v>
      </c>
      <c r="D176">
        <v>65</v>
      </c>
      <c r="E176" t="s">
        <v>1008</v>
      </c>
      <c r="F176">
        <v>85.510416666666671</v>
      </c>
      <c r="G176" t="s">
        <v>1006</v>
      </c>
      <c r="H176" t="s">
        <v>1009</v>
      </c>
      <c r="I176" t="s">
        <v>14</v>
      </c>
    </row>
    <row r="177" spans="2:9" x14ac:dyDescent="0.3">
      <c r="B177">
        <v>80</v>
      </c>
      <c r="C177" t="s">
        <v>1005</v>
      </c>
      <c r="D177">
        <v>88</v>
      </c>
      <c r="E177" t="s">
        <v>1007</v>
      </c>
      <c r="F177">
        <v>92</v>
      </c>
      <c r="G177" t="s">
        <v>1006</v>
      </c>
      <c r="H177" t="s">
        <v>1015</v>
      </c>
      <c r="I177" t="s">
        <v>11</v>
      </c>
    </row>
    <row r="178" spans="2:9" x14ac:dyDescent="0.3">
      <c r="B178">
        <v>90</v>
      </c>
      <c r="C178" t="s">
        <v>1007</v>
      </c>
      <c r="D178">
        <v>86</v>
      </c>
      <c r="E178" t="s">
        <v>1007</v>
      </c>
      <c r="F178">
        <v>85</v>
      </c>
      <c r="G178" t="s">
        <v>1006</v>
      </c>
      <c r="H178" t="s">
        <v>1015</v>
      </c>
      <c r="I178" t="s">
        <v>14</v>
      </c>
    </row>
    <row r="179" spans="2:9" x14ac:dyDescent="0.3">
      <c r="B179">
        <v>72</v>
      </c>
      <c r="C179" t="s">
        <v>1005</v>
      </c>
      <c r="D179">
        <v>77</v>
      </c>
      <c r="E179" t="s">
        <v>1005</v>
      </c>
      <c r="F179">
        <v>85</v>
      </c>
      <c r="G179" t="s">
        <v>1009</v>
      </c>
      <c r="H179" t="s">
        <v>1015</v>
      </c>
      <c r="I179" t="s">
        <v>11</v>
      </c>
    </row>
    <row r="180" spans="2:9" x14ac:dyDescent="0.3">
      <c r="B180">
        <v>68</v>
      </c>
      <c r="C180" t="s">
        <v>1008</v>
      </c>
      <c r="D180">
        <v>77</v>
      </c>
      <c r="E180" t="s">
        <v>1005</v>
      </c>
      <c r="F180">
        <v>91</v>
      </c>
      <c r="G180" t="s">
        <v>1009</v>
      </c>
      <c r="H180" t="s">
        <v>1015</v>
      </c>
      <c r="I180" t="s">
        <v>11</v>
      </c>
    </row>
    <row r="181" spans="2:9" x14ac:dyDescent="0.3">
      <c r="B181">
        <v>85</v>
      </c>
      <c r="C181" t="s">
        <v>1007</v>
      </c>
      <c r="D181">
        <v>85</v>
      </c>
      <c r="E181" t="s">
        <v>1007</v>
      </c>
      <c r="F181">
        <v>95</v>
      </c>
      <c r="G181" t="s">
        <v>1006</v>
      </c>
      <c r="H181" t="s">
        <v>1015</v>
      </c>
      <c r="I181" t="s">
        <v>11</v>
      </c>
    </row>
    <row r="182" spans="2:9" x14ac:dyDescent="0.3">
      <c r="B182">
        <v>80</v>
      </c>
      <c r="C182" t="s">
        <v>1005</v>
      </c>
      <c r="D182">
        <v>65</v>
      </c>
      <c r="E182" t="s">
        <v>1008</v>
      </c>
      <c r="F182">
        <v>90</v>
      </c>
      <c r="G182" t="s">
        <v>1006</v>
      </c>
      <c r="H182" t="s">
        <v>1009</v>
      </c>
      <c r="I182" t="s">
        <v>11</v>
      </c>
    </row>
    <row r="183" spans="2:9" x14ac:dyDescent="0.3">
      <c r="B183">
        <v>78</v>
      </c>
      <c r="C183" t="s">
        <v>1005</v>
      </c>
      <c r="D183">
        <v>85</v>
      </c>
      <c r="E183" t="s">
        <v>1007</v>
      </c>
      <c r="F183">
        <v>91</v>
      </c>
      <c r="G183" t="s">
        <v>1006</v>
      </c>
      <c r="H183" t="s">
        <v>1015</v>
      </c>
      <c r="I183" t="s">
        <v>11</v>
      </c>
    </row>
    <row r="184" spans="2:9" x14ac:dyDescent="0.3">
      <c r="B184">
        <v>72</v>
      </c>
      <c r="C184" t="s">
        <v>1005</v>
      </c>
      <c r="D184">
        <v>77</v>
      </c>
      <c r="E184" t="s">
        <v>1005</v>
      </c>
      <c r="F184">
        <v>95</v>
      </c>
      <c r="G184" t="s">
        <v>1009</v>
      </c>
      <c r="H184" t="s">
        <v>1015</v>
      </c>
      <c r="I184" t="s">
        <v>11</v>
      </c>
    </row>
    <row r="185" spans="2:9" x14ac:dyDescent="0.3">
      <c r="B185">
        <v>85</v>
      </c>
      <c r="C185" t="s">
        <v>1007</v>
      </c>
      <c r="D185">
        <v>85</v>
      </c>
      <c r="E185" t="s">
        <v>1007</v>
      </c>
      <c r="F185">
        <v>82</v>
      </c>
      <c r="G185" t="s">
        <v>1006</v>
      </c>
      <c r="H185" t="s">
        <v>1015</v>
      </c>
      <c r="I185" t="s">
        <v>14</v>
      </c>
    </row>
    <row r="186" spans="2:9" x14ac:dyDescent="0.3">
      <c r="B186">
        <v>68</v>
      </c>
      <c r="C186" t="s">
        <v>1008</v>
      </c>
      <c r="D186">
        <v>90</v>
      </c>
      <c r="E186" t="s">
        <v>1007</v>
      </c>
      <c r="F186">
        <v>90</v>
      </c>
      <c r="G186" t="s">
        <v>1009</v>
      </c>
      <c r="H186" t="s">
        <v>1015</v>
      </c>
      <c r="I186" t="s">
        <v>14</v>
      </c>
    </row>
    <row r="187" spans="2:9" x14ac:dyDescent="0.3">
      <c r="B187">
        <v>88</v>
      </c>
      <c r="C187" t="s">
        <v>1007</v>
      </c>
      <c r="D187">
        <v>65</v>
      </c>
      <c r="E187" t="s">
        <v>1008</v>
      </c>
      <c r="F187">
        <v>91</v>
      </c>
      <c r="G187" t="s">
        <v>1006</v>
      </c>
      <c r="H187" t="s">
        <v>1009</v>
      </c>
      <c r="I187" t="s">
        <v>11</v>
      </c>
    </row>
    <row r="188" spans="2:9" x14ac:dyDescent="0.3">
      <c r="B188">
        <v>92</v>
      </c>
      <c r="C188" t="s">
        <v>1010</v>
      </c>
      <c r="D188">
        <v>86</v>
      </c>
      <c r="E188" t="s">
        <v>1007</v>
      </c>
      <c r="F188">
        <v>90</v>
      </c>
      <c r="G188" t="s">
        <v>1011</v>
      </c>
      <c r="H188" t="s">
        <v>1015</v>
      </c>
      <c r="I188" t="s">
        <v>11</v>
      </c>
    </row>
    <row r="189" spans="2:9" x14ac:dyDescent="0.3">
      <c r="B189">
        <v>78</v>
      </c>
      <c r="C189" t="s">
        <v>1005</v>
      </c>
      <c r="D189">
        <v>90</v>
      </c>
      <c r="E189" t="s">
        <v>1007</v>
      </c>
      <c r="F189">
        <v>88</v>
      </c>
      <c r="G189" t="s">
        <v>1006</v>
      </c>
      <c r="H189" t="s">
        <v>1015</v>
      </c>
      <c r="I189" t="s">
        <v>14</v>
      </c>
    </row>
    <row r="190" spans="2:9" x14ac:dyDescent="0.3">
      <c r="B190">
        <v>68</v>
      </c>
      <c r="C190" t="s">
        <v>1008</v>
      </c>
      <c r="D190">
        <v>90</v>
      </c>
      <c r="E190" t="s">
        <v>1007</v>
      </c>
      <c r="F190">
        <v>85</v>
      </c>
      <c r="G190" t="s">
        <v>1009</v>
      </c>
      <c r="H190" t="s">
        <v>1015</v>
      </c>
      <c r="I190" t="s">
        <v>14</v>
      </c>
    </row>
    <row r="191" spans="2:9" x14ac:dyDescent="0.3">
      <c r="B191">
        <v>90</v>
      </c>
      <c r="C191" t="s">
        <v>1007</v>
      </c>
      <c r="D191">
        <v>70</v>
      </c>
      <c r="E191" t="s">
        <v>1008</v>
      </c>
      <c r="F191">
        <v>78</v>
      </c>
      <c r="G191" t="s">
        <v>1006</v>
      </c>
      <c r="H191" t="s">
        <v>1009</v>
      </c>
      <c r="I191" t="s">
        <v>14</v>
      </c>
    </row>
    <row r="192" spans="2:9" x14ac:dyDescent="0.3">
      <c r="B192">
        <v>88</v>
      </c>
      <c r="C192" t="s">
        <v>1007</v>
      </c>
      <c r="D192">
        <v>78</v>
      </c>
      <c r="E192" t="s">
        <v>1005</v>
      </c>
      <c r="F192">
        <v>78</v>
      </c>
      <c r="G192" t="s">
        <v>1006</v>
      </c>
      <c r="H192" t="s">
        <v>1015</v>
      </c>
      <c r="I192" t="s">
        <v>11</v>
      </c>
    </row>
    <row r="193" spans="2:9" x14ac:dyDescent="0.3">
      <c r="B193">
        <v>85</v>
      </c>
      <c r="C193" t="s">
        <v>1007</v>
      </c>
      <c r="D193">
        <v>77.598759048603924</v>
      </c>
      <c r="E193" t="s">
        <v>1005</v>
      </c>
      <c r="F193">
        <v>78</v>
      </c>
      <c r="G193" t="s">
        <v>1006</v>
      </c>
      <c r="H193" t="s">
        <v>1015</v>
      </c>
      <c r="I193" t="s">
        <v>11</v>
      </c>
    </row>
    <row r="194" spans="2:9" x14ac:dyDescent="0.3">
      <c r="B194">
        <v>80</v>
      </c>
      <c r="C194" t="s">
        <v>1005</v>
      </c>
      <c r="D194">
        <v>86</v>
      </c>
      <c r="E194" t="s">
        <v>1007</v>
      </c>
      <c r="F194">
        <v>92</v>
      </c>
      <c r="G194" t="s">
        <v>1006</v>
      </c>
      <c r="H194" t="s">
        <v>1015</v>
      </c>
      <c r="I194" t="s">
        <v>14</v>
      </c>
    </row>
    <row r="195" spans="2:9" x14ac:dyDescent="0.3">
      <c r="B195">
        <v>90</v>
      </c>
      <c r="C195" t="s">
        <v>1007</v>
      </c>
      <c r="D195">
        <v>65</v>
      </c>
      <c r="E195" t="s">
        <v>1008</v>
      </c>
      <c r="F195">
        <v>90</v>
      </c>
      <c r="G195" t="s">
        <v>1006</v>
      </c>
      <c r="H195" t="s">
        <v>1009</v>
      </c>
      <c r="I195" t="s">
        <v>11</v>
      </c>
    </row>
    <row r="196" spans="2:9" x14ac:dyDescent="0.3">
      <c r="B196">
        <v>85</v>
      </c>
      <c r="C196" t="s">
        <v>1007</v>
      </c>
      <c r="D196">
        <v>90</v>
      </c>
      <c r="E196" t="s">
        <v>1007</v>
      </c>
      <c r="F196">
        <v>91</v>
      </c>
      <c r="G196" t="s">
        <v>1006</v>
      </c>
      <c r="H196" t="s">
        <v>1015</v>
      </c>
      <c r="I196" t="s">
        <v>11</v>
      </c>
    </row>
    <row r="197" spans="2:9" x14ac:dyDescent="0.3">
      <c r="B197">
        <v>72</v>
      </c>
      <c r="C197" t="s">
        <v>1005</v>
      </c>
      <c r="D197">
        <v>60</v>
      </c>
      <c r="E197" t="s">
        <v>1012</v>
      </c>
      <c r="F197">
        <v>78</v>
      </c>
      <c r="G197" t="s">
        <v>1009</v>
      </c>
      <c r="H197" t="s">
        <v>1016</v>
      </c>
      <c r="I197" t="s">
        <v>11</v>
      </c>
    </row>
    <row r="198" spans="2:9" x14ac:dyDescent="0.3">
      <c r="B198">
        <v>90</v>
      </c>
      <c r="C198" t="s">
        <v>1007</v>
      </c>
      <c r="D198">
        <v>78</v>
      </c>
      <c r="E198" t="s">
        <v>1005</v>
      </c>
      <c r="F198">
        <v>82</v>
      </c>
      <c r="G198" t="s">
        <v>1006</v>
      </c>
      <c r="H198" t="s">
        <v>1015</v>
      </c>
      <c r="I198" t="s">
        <v>14</v>
      </c>
    </row>
    <row r="199" spans="2:9" x14ac:dyDescent="0.3">
      <c r="B199">
        <v>80.030208333333334</v>
      </c>
      <c r="C199" t="s">
        <v>1007</v>
      </c>
      <c r="D199">
        <v>88</v>
      </c>
      <c r="E199" t="s">
        <v>1007</v>
      </c>
      <c r="F199">
        <v>95</v>
      </c>
      <c r="G199" t="s">
        <v>1006</v>
      </c>
      <c r="H199" t="s">
        <v>1015</v>
      </c>
      <c r="I199" t="s">
        <v>11</v>
      </c>
    </row>
    <row r="200" spans="2:9" x14ac:dyDescent="0.3">
      <c r="B200">
        <v>90</v>
      </c>
      <c r="C200" t="s">
        <v>1007</v>
      </c>
      <c r="D200">
        <v>77.598759048603924</v>
      </c>
      <c r="E200" t="s">
        <v>1005</v>
      </c>
      <c r="F200">
        <v>91</v>
      </c>
      <c r="G200" t="s">
        <v>1006</v>
      </c>
      <c r="H200" t="s">
        <v>1015</v>
      </c>
      <c r="I200" t="s">
        <v>14</v>
      </c>
    </row>
    <row r="201" spans="2:9" x14ac:dyDescent="0.3">
      <c r="B201">
        <v>80</v>
      </c>
      <c r="C201" t="s">
        <v>1005</v>
      </c>
      <c r="D201">
        <v>86</v>
      </c>
      <c r="E201" t="s">
        <v>1007</v>
      </c>
      <c r="F201">
        <v>88</v>
      </c>
      <c r="G201" t="s">
        <v>1006</v>
      </c>
      <c r="H201" t="s">
        <v>1015</v>
      </c>
      <c r="I201" t="s">
        <v>14</v>
      </c>
    </row>
    <row r="202" spans="2:9" x14ac:dyDescent="0.3">
      <c r="B202">
        <v>78</v>
      </c>
      <c r="C202" t="s">
        <v>1005</v>
      </c>
      <c r="D202">
        <v>85</v>
      </c>
      <c r="E202" t="s">
        <v>1007</v>
      </c>
      <c r="F202">
        <v>85</v>
      </c>
      <c r="G202" t="s">
        <v>1006</v>
      </c>
      <c r="H202" t="s">
        <v>1015</v>
      </c>
      <c r="I202" t="s">
        <v>977</v>
      </c>
    </row>
    <row r="203" spans="2:9" x14ac:dyDescent="0.3">
      <c r="B203">
        <v>68</v>
      </c>
      <c r="C203" t="s">
        <v>1008</v>
      </c>
      <c r="D203">
        <v>77</v>
      </c>
      <c r="E203" t="s">
        <v>1005</v>
      </c>
      <c r="F203">
        <v>82</v>
      </c>
      <c r="G203" t="s">
        <v>1009</v>
      </c>
      <c r="H203" t="s">
        <v>1015</v>
      </c>
      <c r="I203" t="s">
        <v>14</v>
      </c>
    </row>
    <row r="204" spans="2:9" x14ac:dyDescent="0.3">
      <c r="B204">
        <v>72</v>
      </c>
      <c r="C204" t="s">
        <v>1005</v>
      </c>
      <c r="D204">
        <v>77</v>
      </c>
      <c r="E204" t="s">
        <v>1005</v>
      </c>
      <c r="F204">
        <v>95</v>
      </c>
      <c r="G204" t="s">
        <v>1009</v>
      </c>
      <c r="H204" t="s">
        <v>1015</v>
      </c>
      <c r="I204" t="s">
        <v>14</v>
      </c>
    </row>
    <row r="205" spans="2:9" x14ac:dyDescent="0.3">
      <c r="B205">
        <v>85</v>
      </c>
      <c r="C205" t="s">
        <v>1007</v>
      </c>
      <c r="D205">
        <v>70</v>
      </c>
      <c r="E205" t="s">
        <v>1008</v>
      </c>
      <c r="F205">
        <v>92</v>
      </c>
      <c r="G205" t="s">
        <v>1006</v>
      </c>
      <c r="H205" t="s">
        <v>1009</v>
      </c>
      <c r="I205" t="s">
        <v>11</v>
      </c>
    </row>
    <row r="206" spans="2:9" x14ac:dyDescent="0.3">
      <c r="B206">
        <v>87</v>
      </c>
      <c r="C206" t="s">
        <v>1007</v>
      </c>
      <c r="D206">
        <v>70</v>
      </c>
      <c r="E206" t="s">
        <v>1008</v>
      </c>
      <c r="F206">
        <v>85</v>
      </c>
      <c r="G206" t="s">
        <v>1006</v>
      </c>
      <c r="H206" t="s">
        <v>1009</v>
      </c>
      <c r="I206" t="s">
        <v>14</v>
      </c>
    </row>
    <row r="207" spans="2:9" x14ac:dyDescent="0.3">
      <c r="B207">
        <v>87</v>
      </c>
      <c r="C207" t="s">
        <v>1007</v>
      </c>
      <c r="D207">
        <v>78</v>
      </c>
      <c r="E207" t="s">
        <v>1005</v>
      </c>
      <c r="F207">
        <v>78</v>
      </c>
      <c r="G207" t="s">
        <v>1006</v>
      </c>
      <c r="H207" t="s">
        <v>1015</v>
      </c>
      <c r="I207" t="s">
        <v>14</v>
      </c>
    </row>
    <row r="208" spans="2:9" x14ac:dyDescent="0.3">
      <c r="B208">
        <v>85</v>
      </c>
      <c r="C208" t="s">
        <v>1007</v>
      </c>
      <c r="D208">
        <v>82</v>
      </c>
      <c r="E208" t="s">
        <v>1007</v>
      </c>
      <c r="F208">
        <v>92</v>
      </c>
      <c r="G208" t="s">
        <v>1006</v>
      </c>
      <c r="H208" t="s">
        <v>1015</v>
      </c>
      <c r="I208" t="s">
        <v>11</v>
      </c>
    </row>
    <row r="209" spans="2:9" x14ac:dyDescent="0.3">
      <c r="B209">
        <v>62</v>
      </c>
      <c r="C209" t="s">
        <v>1008</v>
      </c>
      <c r="D209">
        <v>90</v>
      </c>
      <c r="E209" t="s">
        <v>1007</v>
      </c>
      <c r="F209">
        <v>82</v>
      </c>
      <c r="G209" t="s">
        <v>1009</v>
      </c>
      <c r="H209" t="s">
        <v>1015</v>
      </c>
      <c r="I209" t="s">
        <v>11</v>
      </c>
    </row>
    <row r="210" spans="2:9" x14ac:dyDescent="0.3">
      <c r="B210">
        <v>92</v>
      </c>
      <c r="C210" t="s">
        <v>1010</v>
      </c>
      <c r="D210">
        <v>60</v>
      </c>
      <c r="E210" t="s">
        <v>1012</v>
      </c>
      <c r="F210">
        <v>82</v>
      </c>
      <c r="G210" t="s">
        <v>1011</v>
      </c>
      <c r="H210" t="s">
        <v>1016</v>
      </c>
      <c r="I210" t="s">
        <v>11</v>
      </c>
    </row>
    <row r="211" spans="2:9" x14ac:dyDescent="0.3">
      <c r="B211">
        <v>80</v>
      </c>
      <c r="C211" t="s">
        <v>1005</v>
      </c>
      <c r="D211">
        <v>90</v>
      </c>
      <c r="E211" t="s">
        <v>1007</v>
      </c>
      <c r="F211">
        <v>90</v>
      </c>
      <c r="G211" t="s">
        <v>1006</v>
      </c>
      <c r="H211" t="s">
        <v>1015</v>
      </c>
      <c r="I211" t="s">
        <v>11</v>
      </c>
    </row>
    <row r="212" spans="2:9" x14ac:dyDescent="0.3">
      <c r="B212">
        <v>80</v>
      </c>
      <c r="C212" t="s">
        <v>1005</v>
      </c>
      <c r="D212">
        <v>65</v>
      </c>
      <c r="E212" t="s">
        <v>1008</v>
      </c>
      <c r="F212">
        <v>70</v>
      </c>
      <c r="G212" t="s">
        <v>1006</v>
      </c>
      <c r="H212" t="s">
        <v>1009</v>
      </c>
      <c r="I212" t="s">
        <v>11</v>
      </c>
    </row>
    <row r="213" spans="2:9" x14ac:dyDescent="0.3">
      <c r="B213">
        <v>72</v>
      </c>
      <c r="C213" t="s">
        <v>1005</v>
      </c>
      <c r="D213">
        <v>70</v>
      </c>
      <c r="E213" t="s">
        <v>1008</v>
      </c>
      <c r="F213">
        <v>85</v>
      </c>
      <c r="G213" t="s">
        <v>1009</v>
      </c>
      <c r="H213" t="s">
        <v>1009</v>
      </c>
      <c r="I213" t="s">
        <v>14</v>
      </c>
    </row>
    <row r="214" spans="2:9" x14ac:dyDescent="0.3">
      <c r="B214">
        <v>90</v>
      </c>
      <c r="C214" t="s">
        <v>1007</v>
      </c>
      <c r="D214">
        <v>65</v>
      </c>
      <c r="E214" t="s">
        <v>1008</v>
      </c>
      <c r="F214">
        <v>85</v>
      </c>
      <c r="G214" t="s">
        <v>1006</v>
      </c>
      <c r="H214" t="s">
        <v>1009</v>
      </c>
      <c r="I214" t="s">
        <v>11</v>
      </c>
    </row>
    <row r="215" spans="2:9" x14ac:dyDescent="0.3">
      <c r="B215">
        <v>87</v>
      </c>
      <c r="C215" t="s">
        <v>1007</v>
      </c>
      <c r="D215">
        <v>88</v>
      </c>
      <c r="E215" t="s">
        <v>1007</v>
      </c>
      <c r="F215">
        <v>70</v>
      </c>
      <c r="G215" t="s">
        <v>1006</v>
      </c>
      <c r="H215" t="s">
        <v>1015</v>
      </c>
      <c r="I215" t="s">
        <v>14</v>
      </c>
    </row>
    <row r="216" spans="2:9" x14ac:dyDescent="0.3">
      <c r="B216">
        <v>85</v>
      </c>
      <c r="C216" t="s">
        <v>1007</v>
      </c>
      <c r="D216">
        <v>60</v>
      </c>
      <c r="E216" t="s">
        <v>1012</v>
      </c>
      <c r="F216">
        <v>85</v>
      </c>
      <c r="G216" t="s">
        <v>1006</v>
      </c>
      <c r="H216" t="s">
        <v>1016</v>
      </c>
      <c r="I216" t="s">
        <v>11</v>
      </c>
    </row>
    <row r="217" spans="2:9" x14ac:dyDescent="0.3">
      <c r="B217">
        <v>68</v>
      </c>
      <c r="C217" t="s">
        <v>1008</v>
      </c>
      <c r="D217">
        <v>85</v>
      </c>
      <c r="E217" t="s">
        <v>1007</v>
      </c>
      <c r="F217">
        <v>92</v>
      </c>
      <c r="G217" t="s">
        <v>1009</v>
      </c>
      <c r="H217" t="s">
        <v>1015</v>
      </c>
      <c r="I217" t="s">
        <v>14</v>
      </c>
    </row>
    <row r="218" spans="2:9" x14ac:dyDescent="0.3">
      <c r="B218">
        <v>78</v>
      </c>
      <c r="C218" t="s">
        <v>1005</v>
      </c>
      <c r="D218">
        <v>90</v>
      </c>
      <c r="E218" t="s">
        <v>1007</v>
      </c>
      <c r="F218">
        <v>95</v>
      </c>
      <c r="G218" t="s">
        <v>1006</v>
      </c>
      <c r="H218" t="s">
        <v>1015</v>
      </c>
      <c r="I218" t="s">
        <v>977</v>
      </c>
    </row>
    <row r="219" spans="2:9" x14ac:dyDescent="0.3">
      <c r="B219">
        <v>72</v>
      </c>
      <c r="C219" t="s">
        <v>1005</v>
      </c>
      <c r="D219">
        <v>90</v>
      </c>
      <c r="E219" t="s">
        <v>1007</v>
      </c>
      <c r="F219">
        <v>82</v>
      </c>
      <c r="G219" t="s">
        <v>1009</v>
      </c>
      <c r="H219" t="s">
        <v>1015</v>
      </c>
      <c r="I219" t="s">
        <v>14</v>
      </c>
    </row>
    <row r="220" spans="2:9" x14ac:dyDescent="0.3">
      <c r="B220">
        <v>72</v>
      </c>
      <c r="C220" t="s">
        <v>1005</v>
      </c>
      <c r="D220">
        <v>70</v>
      </c>
      <c r="E220" t="s">
        <v>1008</v>
      </c>
      <c r="F220">
        <v>85</v>
      </c>
      <c r="G220" t="s">
        <v>1009</v>
      </c>
      <c r="H220" t="s">
        <v>1009</v>
      </c>
      <c r="I220" t="s">
        <v>11</v>
      </c>
    </row>
    <row r="221" spans="2:9" x14ac:dyDescent="0.3">
      <c r="B221">
        <v>80</v>
      </c>
      <c r="C221" t="s">
        <v>1005</v>
      </c>
      <c r="D221">
        <v>85</v>
      </c>
      <c r="E221" t="s">
        <v>1007</v>
      </c>
      <c r="F221">
        <v>91</v>
      </c>
      <c r="G221" t="s">
        <v>1006</v>
      </c>
      <c r="H221" t="s">
        <v>1015</v>
      </c>
      <c r="I221" t="s">
        <v>11</v>
      </c>
    </row>
    <row r="222" spans="2:9" x14ac:dyDescent="0.3">
      <c r="B222">
        <v>85</v>
      </c>
      <c r="C222" t="s">
        <v>1007</v>
      </c>
      <c r="D222">
        <v>82</v>
      </c>
      <c r="E222" t="s">
        <v>1007</v>
      </c>
      <c r="F222">
        <v>82</v>
      </c>
      <c r="G222" t="s">
        <v>1006</v>
      </c>
      <c r="H222" t="s">
        <v>1015</v>
      </c>
      <c r="I222" t="s">
        <v>11</v>
      </c>
    </row>
    <row r="223" spans="2:9" x14ac:dyDescent="0.3">
      <c r="B223">
        <v>80.030208333333334</v>
      </c>
      <c r="C223" t="s">
        <v>1007</v>
      </c>
      <c r="D223">
        <v>85</v>
      </c>
      <c r="E223" t="s">
        <v>1007</v>
      </c>
      <c r="F223">
        <v>70</v>
      </c>
      <c r="G223" t="s">
        <v>1006</v>
      </c>
      <c r="H223" t="s">
        <v>1015</v>
      </c>
      <c r="I223" t="s">
        <v>11</v>
      </c>
    </row>
    <row r="224" spans="2:9" x14ac:dyDescent="0.3">
      <c r="B224">
        <v>80.030208333333334</v>
      </c>
      <c r="C224" t="s">
        <v>1007</v>
      </c>
      <c r="D224">
        <v>60</v>
      </c>
      <c r="E224" t="s">
        <v>1012</v>
      </c>
      <c r="F224">
        <v>78</v>
      </c>
      <c r="G224" t="s">
        <v>1006</v>
      </c>
      <c r="H224" t="s">
        <v>1016</v>
      </c>
      <c r="I224" t="s">
        <v>14</v>
      </c>
    </row>
    <row r="225" spans="2:9" x14ac:dyDescent="0.3">
      <c r="B225">
        <v>72</v>
      </c>
      <c r="C225" t="s">
        <v>1005</v>
      </c>
      <c r="D225">
        <v>65</v>
      </c>
      <c r="E225" t="s">
        <v>1008</v>
      </c>
      <c r="F225">
        <v>95</v>
      </c>
      <c r="G225" t="s">
        <v>1009</v>
      </c>
      <c r="H225" t="s">
        <v>1009</v>
      </c>
      <c r="I225" t="s">
        <v>11</v>
      </c>
    </row>
    <row r="226" spans="2:9" x14ac:dyDescent="0.3">
      <c r="B226">
        <v>92</v>
      </c>
      <c r="C226" t="s">
        <v>1010</v>
      </c>
      <c r="D226">
        <v>60</v>
      </c>
      <c r="E226" t="s">
        <v>1012</v>
      </c>
      <c r="F226">
        <v>85</v>
      </c>
      <c r="G226" t="s">
        <v>1011</v>
      </c>
      <c r="H226" t="s">
        <v>1016</v>
      </c>
      <c r="I226" t="s">
        <v>14</v>
      </c>
    </row>
    <row r="227" spans="2:9" x14ac:dyDescent="0.3">
      <c r="B227">
        <v>80.030208333333334</v>
      </c>
      <c r="C227" t="s">
        <v>1007</v>
      </c>
      <c r="D227">
        <v>60</v>
      </c>
      <c r="E227" t="s">
        <v>1012</v>
      </c>
      <c r="F227">
        <v>90</v>
      </c>
      <c r="G227" t="s">
        <v>1006</v>
      </c>
      <c r="H227" t="s">
        <v>1016</v>
      </c>
      <c r="I227" t="s">
        <v>11</v>
      </c>
    </row>
    <row r="228" spans="2:9" x14ac:dyDescent="0.3">
      <c r="B228">
        <v>72</v>
      </c>
      <c r="C228" t="s">
        <v>1005</v>
      </c>
      <c r="D228">
        <v>60</v>
      </c>
      <c r="E228" t="s">
        <v>1012</v>
      </c>
      <c r="F228">
        <v>92</v>
      </c>
      <c r="G228" t="s">
        <v>1009</v>
      </c>
      <c r="H228" t="s">
        <v>1016</v>
      </c>
      <c r="I228" t="s">
        <v>11</v>
      </c>
    </row>
    <row r="229" spans="2:9" x14ac:dyDescent="0.3">
      <c r="B229">
        <v>90</v>
      </c>
      <c r="C229" t="s">
        <v>1007</v>
      </c>
      <c r="D229">
        <v>77.598759048603924</v>
      </c>
      <c r="E229" t="s">
        <v>1005</v>
      </c>
      <c r="F229">
        <v>92</v>
      </c>
      <c r="G229" t="s">
        <v>1006</v>
      </c>
      <c r="H229" t="s">
        <v>1015</v>
      </c>
      <c r="I229" t="s">
        <v>14</v>
      </c>
    </row>
    <row r="230" spans="2:9" x14ac:dyDescent="0.3">
      <c r="B230">
        <v>68</v>
      </c>
      <c r="C230" t="s">
        <v>1008</v>
      </c>
      <c r="D230">
        <v>70</v>
      </c>
      <c r="E230" t="s">
        <v>1008</v>
      </c>
      <c r="F230">
        <v>88</v>
      </c>
      <c r="G230" t="s">
        <v>1009</v>
      </c>
      <c r="H230" t="s">
        <v>1009</v>
      </c>
      <c r="I230" t="s">
        <v>977</v>
      </c>
    </row>
    <row r="231" spans="2:9" x14ac:dyDescent="0.3">
      <c r="B231">
        <v>68</v>
      </c>
      <c r="C231" t="s">
        <v>1008</v>
      </c>
      <c r="D231">
        <v>88</v>
      </c>
      <c r="E231" t="s">
        <v>1007</v>
      </c>
      <c r="F231">
        <v>85.510416666666671</v>
      </c>
      <c r="G231" t="s">
        <v>1009</v>
      </c>
      <c r="H231" t="s">
        <v>1015</v>
      </c>
      <c r="I231" t="s">
        <v>14</v>
      </c>
    </row>
    <row r="232" spans="2:9" x14ac:dyDescent="0.3">
      <c r="B232">
        <v>62</v>
      </c>
      <c r="C232" t="s">
        <v>1008</v>
      </c>
      <c r="D232">
        <v>77</v>
      </c>
      <c r="E232" t="s">
        <v>1005</v>
      </c>
      <c r="F232">
        <v>88</v>
      </c>
      <c r="G232" t="s">
        <v>1009</v>
      </c>
      <c r="H232" t="s">
        <v>1015</v>
      </c>
      <c r="I232" t="s">
        <v>11</v>
      </c>
    </row>
    <row r="233" spans="2:9" x14ac:dyDescent="0.3">
      <c r="B233">
        <v>90</v>
      </c>
      <c r="C233" t="s">
        <v>1007</v>
      </c>
      <c r="D233">
        <v>88</v>
      </c>
      <c r="E233" t="s">
        <v>1007</v>
      </c>
      <c r="F233">
        <v>88</v>
      </c>
      <c r="G233" t="s">
        <v>1006</v>
      </c>
      <c r="H233" t="s">
        <v>1015</v>
      </c>
      <c r="I233" t="s">
        <v>11</v>
      </c>
    </row>
    <row r="234" spans="2:9" x14ac:dyDescent="0.3">
      <c r="B234">
        <v>92</v>
      </c>
      <c r="C234" t="s">
        <v>1010</v>
      </c>
      <c r="D234">
        <v>86</v>
      </c>
      <c r="E234" t="s">
        <v>1007</v>
      </c>
      <c r="F234">
        <v>70</v>
      </c>
      <c r="G234" t="s">
        <v>1011</v>
      </c>
      <c r="H234" t="s">
        <v>1015</v>
      </c>
      <c r="I234" t="s">
        <v>14</v>
      </c>
    </row>
    <row r="235" spans="2:9" x14ac:dyDescent="0.3">
      <c r="B235">
        <v>87</v>
      </c>
      <c r="C235" t="s">
        <v>1007</v>
      </c>
      <c r="D235">
        <v>78</v>
      </c>
      <c r="E235" t="s">
        <v>1005</v>
      </c>
      <c r="F235">
        <v>95</v>
      </c>
      <c r="G235" t="s">
        <v>1006</v>
      </c>
      <c r="H235" t="s">
        <v>1015</v>
      </c>
      <c r="I235" t="s">
        <v>11</v>
      </c>
    </row>
    <row r="236" spans="2:9" x14ac:dyDescent="0.3">
      <c r="B236">
        <v>62</v>
      </c>
      <c r="C236" t="s">
        <v>1008</v>
      </c>
      <c r="D236">
        <v>70</v>
      </c>
      <c r="E236" t="s">
        <v>1008</v>
      </c>
      <c r="F236">
        <v>70</v>
      </c>
      <c r="G236" t="s">
        <v>1009</v>
      </c>
      <c r="H236" t="s">
        <v>1009</v>
      </c>
      <c r="I236" t="s">
        <v>11</v>
      </c>
    </row>
    <row r="237" spans="2:9" x14ac:dyDescent="0.3">
      <c r="B237">
        <v>78</v>
      </c>
      <c r="C237" t="s">
        <v>1005</v>
      </c>
      <c r="D237">
        <v>77</v>
      </c>
      <c r="E237" t="s">
        <v>1005</v>
      </c>
      <c r="F237">
        <v>95</v>
      </c>
      <c r="G237" t="s">
        <v>1006</v>
      </c>
      <c r="H237" t="s">
        <v>1015</v>
      </c>
      <c r="I237" t="s">
        <v>14</v>
      </c>
    </row>
    <row r="238" spans="2:9" x14ac:dyDescent="0.3">
      <c r="B238">
        <v>68</v>
      </c>
      <c r="C238" t="s">
        <v>1008</v>
      </c>
      <c r="D238">
        <v>86</v>
      </c>
      <c r="E238" t="s">
        <v>1007</v>
      </c>
      <c r="F238">
        <v>70</v>
      </c>
      <c r="G238" t="s">
        <v>1009</v>
      </c>
      <c r="H238" t="s">
        <v>1015</v>
      </c>
      <c r="I238" t="s">
        <v>14</v>
      </c>
    </row>
    <row r="239" spans="2:9" x14ac:dyDescent="0.3">
      <c r="B239">
        <v>92</v>
      </c>
      <c r="C239" t="s">
        <v>1010</v>
      </c>
      <c r="D239">
        <v>90</v>
      </c>
      <c r="E239" t="s">
        <v>1007</v>
      </c>
      <c r="F239">
        <v>92</v>
      </c>
      <c r="G239" t="s">
        <v>1011</v>
      </c>
      <c r="H239" t="s">
        <v>1015</v>
      </c>
      <c r="I239" t="s">
        <v>11</v>
      </c>
    </row>
    <row r="240" spans="2:9" x14ac:dyDescent="0.3">
      <c r="B240">
        <v>68</v>
      </c>
      <c r="C240" t="s">
        <v>1008</v>
      </c>
      <c r="D240">
        <v>65</v>
      </c>
      <c r="E240" t="s">
        <v>1008</v>
      </c>
      <c r="F240">
        <v>85</v>
      </c>
      <c r="G240" t="s">
        <v>1009</v>
      </c>
      <c r="H240" t="s">
        <v>1009</v>
      </c>
      <c r="I240" t="s">
        <v>14</v>
      </c>
    </row>
    <row r="241" spans="2:9" x14ac:dyDescent="0.3">
      <c r="B241">
        <v>62</v>
      </c>
      <c r="C241" t="s">
        <v>1008</v>
      </c>
      <c r="D241">
        <v>85</v>
      </c>
      <c r="E241" t="s">
        <v>1007</v>
      </c>
      <c r="F241">
        <v>82</v>
      </c>
      <c r="G241" t="s">
        <v>1009</v>
      </c>
      <c r="H241" t="s">
        <v>1015</v>
      </c>
      <c r="I241" t="s">
        <v>11</v>
      </c>
    </row>
    <row r="242" spans="2:9" x14ac:dyDescent="0.3">
      <c r="B242">
        <v>80</v>
      </c>
      <c r="C242" t="s">
        <v>1005</v>
      </c>
      <c r="D242">
        <v>70</v>
      </c>
      <c r="E242" t="s">
        <v>1008</v>
      </c>
      <c r="F242">
        <v>85</v>
      </c>
      <c r="G242" t="s">
        <v>1006</v>
      </c>
      <c r="H242" t="s">
        <v>1009</v>
      </c>
      <c r="I242" t="s">
        <v>11</v>
      </c>
    </row>
    <row r="243" spans="2:9" x14ac:dyDescent="0.3">
      <c r="B243">
        <v>80</v>
      </c>
      <c r="C243" t="s">
        <v>1005</v>
      </c>
      <c r="D243">
        <v>70</v>
      </c>
      <c r="E243" t="s">
        <v>1008</v>
      </c>
      <c r="F243">
        <v>85</v>
      </c>
      <c r="G243" t="s">
        <v>1006</v>
      </c>
      <c r="H243" t="s">
        <v>1009</v>
      </c>
      <c r="I243" t="s">
        <v>11</v>
      </c>
    </row>
    <row r="244" spans="2:9" x14ac:dyDescent="0.3">
      <c r="B244">
        <v>92</v>
      </c>
      <c r="C244" t="s">
        <v>1010</v>
      </c>
      <c r="D244">
        <v>85</v>
      </c>
      <c r="E244" t="s">
        <v>1007</v>
      </c>
      <c r="F244">
        <v>78</v>
      </c>
      <c r="G244" t="s">
        <v>1011</v>
      </c>
      <c r="H244" t="s">
        <v>1015</v>
      </c>
      <c r="I244" t="s">
        <v>14</v>
      </c>
    </row>
    <row r="245" spans="2:9" x14ac:dyDescent="0.3">
      <c r="B245">
        <v>88</v>
      </c>
      <c r="C245" t="s">
        <v>1007</v>
      </c>
      <c r="D245">
        <v>88</v>
      </c>
      <c r="E245" t="s">
        <v>1007</v>
      </c>
      <c r="F245">
        <v>70</v>
      </c>
      <c r="G245" t="s">
        <v>1006</v>
      </c>
      <c r="H245" t="s">
        <v>1015</v>
      </c>
      <c r="I245" t="s">
        <v>14</v>
      </c>
    </row>
    <row r="246" spans="2:9" x14ac:dyDescent="0.3">
      <c r="B246">
        <v>72</v>
      </c>
      <c r="C246" t="s">
        <v>1005</v>
      </c>
      <c r="D246">
        <v>60</v>
      </c>
      <c r="E246" t="s">
        <v>1012</v>
      </c>
      <c r="F246">
        <v>85</v>
      </c>
      <c r="G246" t="s">
        <v>1009</v>
      </c>
      <c r="H246" t="s">
        <v>1016</v>
      </c>
      <c r="I246" t="s">
        <v>11</v>
      </c>
    </row>
    <row r="247" spans="2:9" x14ac:dyDescent="0.3">
      <c r="B247">
        <v>72</v>
      </c>
      <c r="C247" t="s">
        <v>1005</v>
      </c>
      <c r="D247">
        <v>77.598759048603924</v>
      </c>
      <c r="E247" t="s">
        <v>1005</v>
      </c>
      <c r="F247">
        <v>85</v>
      </c>
      <c r="G247" t="s">
        <v>1009</v>
      </c>
      <c r="H247" t="s">
        <v>1015</v>
      </c>
      <c r="I247" t="s">
        <v>11</v>
      </c>
    </row>
    <row r="248" spans="2:9" x14ac:dyDescent="0.3">
      <c r="B248">
        <v>80</v>
      </c>
      <c r="C248" t="s">
        <v>1005</v>
      </c>
      <c r="D248">
        <v>82</v>
      </c>
      <c r="E248" t="s">
        <v>1007</v>
      </c>
      <c r="F248">
        <v>85</v>
      </c>
      <c r="G248" t="s">
        <v>1006</v>
      </c>
      <c r="H248" t="s">
        <v>1015</v>
      </c>
      <c r="I248" t="s">
        <v>14</v>
      </c>
    </row>
    <row r="249" spans="2:9" x14ac:dyDescent="0.3">
      <c r="B249">
        <v>92</v>
      </c>
      <c r="C249" t="s">
        <v>1010</v>
      </c>
      <c r="D249">
        <v>82</v>
      </c>
      <c r="E249" t="s">
        <v>1007</v>
      </c>
      <c r="F249">
        <v>85.510416666666671</v>
      </c>
      <c r="G249" t="s">
        <v>1011</v>
      </c>
      <c r="H249" t="s">
        <v>1015</v>
      </c>
      <c r="I249" t="s">
        <v>11</v>
      </c>
    </row>
    <row r="250" spans="2:9" x14ac:dyDescent="0.3">
      <c r="B250">
        <v>62</v>
      </c>
      <c r="C250" t="s">
        <v>1008</v>
      </c>
      <c r="D250">
        <v>88</v>
      </c>
      <c r="E250" t="s">
        <v>1007</v>
      </c>
      <c r="F250">
        <v>90</v>
      </c>
      <c r="G250" t="s">
        <v>1009</v>
      </c>
      <c r="H250" t="s">
        <v>1015</v>
      </c>
      <c r="I250" t="s">
        <v>11</v>
      </c>
    </row>
    <row r="251" spans="2:9" x14ac:dyDescent="0.3">
      <c r="B251">
        <v>90</v>
      </c>
      <c r="C251" t="s">
        <v>1007</v>
      </c>
      <c r="D251">
        <v>77</v>
      </c>
      <c r="E251" t="s">
        <v>1005</v>
      </c>
      <c r="F251">
        <v>85</v>
      </c>
      <c r="G251" t="s">
        <v>1006</v>
      </c>
      <c r="H251" t="s">
        <v>1015</v>
      </c>
      <c r="I251" t="s">
        <v>14</v>
      </c>
    </row>
    <row r="252" spans="2:9" x14ac:dyDescent="0.3">
      <c r="B252">
        <v>87</v>
      </c>
      <c r="C252" t="s">
        <v>1007</v>
      </c>
      <c r="D252">
        <v>82</v>
      </c>
      <c r="E252" t="s">
        <v>1007</v>
      </c>
      <c r="F252">
        <v>90</v>
      </c>
      <c r="G252" t="s">
        <v>1006</v>
      </c>
      <c r="H252" t="s">
        <v>1015</v>
      </c>
      <c r="I252" t="s">
        <v>14</v>
      </c>
    </row>
    <row r="253" spans="2:9" x14ac:dyDescent="0.3">
      <c r="B253">
        <v>85</v>
      </c>
      <c r="C253" t="s">
        <v>1007</v>
      </c>
      <c r="D253">
        <v>77.598759048603924</v>
      </c>
      <c r="E253" t="s">
        <v>1005</v>
      </c>
      <c r="F253">
        <v>95</v>
      </c>
      <c r="G253" t="s">
        <v>1006</v>
      </c>
      <c r="H253" t="s">
        <v>1015</v>
      </c>
      <c r="I253" t="s">
        <v>14</v>
      </c>
    </row>
    <row r="254" spans="2:9" x14ac:dyDescent="0.3">
      <c r="B254">
        <v>72</v>
      </c>
      <c r="C254" t="s">
        <v>1005</v>
      </c>
      <c r="D254">
        <v>60</v>
      </c>
      <c r="E254" t="s">
        <v>1012</v>
      </c>
      <c r="F254">
        <v>90</v>
      </c>
      <c r="G254" t="s">
        <v>1009</v>
      </c>
      <c r="H254" t="s">
        <v>1016</v>
      </c>
      <c r="I254" t="s">
        <v>11</v>
      </c>
    </row>
    <row r="255" spans="2:9" x14ac:dyDescent="0.3">
      <c r="B255">
        <v>62</v>
      </c>
      <c r="C255" t="s">
        <v>1008</v>
      </c>
      <c r="D255">
        <v>86</v>
      </c>
      <c r="E255" t="s">
        <v>1007</v>
      </c>
      <c r="F255">
        <v>82</v>
      </c>
      <c r="G255" t="s">
        <v>1009</v>
      </c>
      <c r="H255" t="s">
        <v>1015</v>
      </c>
      <c r="I255" t="s">
        <v>14</v>
      </c>
    </row>
    <row r="256" spans="2:9" x14ac:dyDescent="0.3">
      <c r="B256">
        <v>68</v>
      </c>
      <c r="C256" t="s">
        <v>1008</v>
      </c>
      <c r="D256">
        <v>65</v>
      </c>
      <c r="E256" t="s">
        <v>1008</v>
      </c>
      <c r="F256">
        <v>91</v>
      </c>
      <c r="G256" t="s">
        <v>1009</v>
      </c>
      <c r="H256" t="s">
        <v>1009</v>
      </c>
      <c r="I256" t="s">
        <v>11</v>
      </c>
    </row>
    <row r="257" spans="2:9" x14ac:dyDescent="0.3">
      <c r="B257">
        <v>78</v>
      </c>
      <c r="C257" t="s">
        <v>1005</v>
      </c>
      <c r="D257">
        <v>82</v>
      </c>
      <c r="E257" t="s">
        <v>1007</v>
      </c>
      <c r="F257">
        <v>78</v>
      </c>
      <c r="G257" t="s">
        <v>1006</v>
      </c>
      <c r="H257" t="s">
        <v>1015</v>
      </c>
      <c r="I257" t="s">
        <v>11</v>
      </c>
    </row>
    <row r="258" spans="2:9" x14ac:dyDescent="0.3">
      <c r="B258">
        <v>68</v>
      </c>
      <c r="C258" t="s">
        <v>1008</v>
      </c>
      <c r="D258">
        <v>90</v>
      </c>
      <c r="E258" t="s">
        <v>1007</v>
      </c>
      <c r="F258">
        <v>91</v>
      </c>
      <c r="G258" t="s">
        <v>1009</v>
      </c>
      <c r="H258" t="s">
        <v>1015</v>
      </c>
      <c r="I258" t="s">
        <v>14</v>
      </c>
    </row>
    <row r="259" spans="2:9" x14ac:dyDescent="0.3">
      <c r="B259">
        <v>85</v>
      </c>
      <c r="C259" t="s">
        <v>1007</v>
      </c>
      <c r="D259">
        <v>60</v>
      </c>
      <c r="E259" t="s">
        <v>1012</v>
      </c>
      <c r="F259">
        <v>85</v>
      </c>
      <c r="G259" t="s">
        <v>1006</v>
      </c>
      <c r="H259" t="s">
        <v>1016</v>
      </c>
      <c r="I259" t="s">
        <v>14</v>
      </c>
    </row>
    <row r="260" spans="2:9" x14ac:dyDescent="0.3">
      <c r="B260">
        <v>78</v>
      </c>
      <c r="C260" t="s">
        <v>1005</v>
      </c>
      <c r="D260">
        <v>88</v>
      </c>
      <c r="E260" t="s">
        <v>1007</v>
      </c>
      <c r="F260">
        <v>78</v>
      </c>
      <c r="G260" t="s">
        <v>1006</v>
      </c>
      <c r="H260" t="s">
        <v>1015</v>
      </c>
      <c r="I260" t="s">
        <v>14</v>
      </c>
    </row>
    <row r="261" spans="2:9" x14ac:dyDescent="0.3">
      <c r="B261">
        <v>92</v>
      </c>
      <c r="C261" t="s">
        <v>1010</v>
      </c>
      <c r="D261">
        <v>88</v>
      </c>
      <c r="E261" t="s">
        <v>1007</v>
      </c>
      <c r="F261">
        <v>88</v>
      </c>
      <c r="G261" t="s">
        <v>1011</v>
      </c>
      <c r="H261" t="s">
        <v>1015</v>
      </c>
      <c r="I261" t="s">
        <v>14</v>
      </c>
    </row>
    <row r="262" spans="2:9" x14ac:dyDescent="0.3">
      <c r="B262">
        <v>80.030208333333334</v>
      </c>
      <c r="C262" t="s">
        <v>1007</v>
      </c>
      <c r="D262">
        <v>82</v>
      </c>
      <c r="E262" t="s">
        <v>1007</v>
      </c>
      <c r="F262">
        <v>92</v>
      </c>
      <c r="G262" t="s">
        <v>1006</v>
      </c>
      <c r="H262" t="s">
        <v>1015</v>
      </c>
      <c r="I262" t="s">
        <v>14</v>
      </c>
    </row>
    <row r="263" spans="2:9" x14ac:dyDescent="0.3">
      <c r="B263">
        <v>78</v>
      </c>
      <c r="C263" t="s">
        <v>1005</v>
      </c>
      <c r="D263">
        <v>85</v>
      </c>
      <c r="E263" t="s">
        <v>1007</v>
      </c>
      <c r="F263">
        <v>70</v>
      </c>
      <c r="G263" t="s">
        <v>1006</v>
      </c>
      <c r="H263" t="s">
        <v>1015</v>
      </c>
      <c r="I263" t="s">
        <v>11</v>
      </c>
    </row>
    <row r="264" spans="2:9" x14ac:dyDescent="0.3">
      <c r="B264">
        <v>92</v>
      </c>
      <c r="C264" t="s">
        <v>1010</v>
      </c>
      <c r="D264">
        <v>86</v>
      </c>
      <c r="E264" t="s">
        <v>1007</v>
      </c>
      <c r="F264">
        <v>95</v>
      </c>
      <c r="G264" t="s">
        <v>1011</v>
      </c>
      <c r="H264" t="s">
        <v>1015</v>
      </c>
      <c r="I264" t="s">
        <v>11</v>
      </c>
    </row>
    <row r="265" spans="2:9" x14ac:dyDescent="0.3">
      <c r="B265">
        <v>85</v>
      </c>
      <c r="C265" t="s">
        <v>1007</v>
      </c>
      <c r="D265">
        <v>85</v>
      </c>
      <c r="E265" t="s">
        <v>1007</v>
      </c>
      <c r="F265">
        <v>95</v>
      </c>
      <c r="G265" t="s">
        <v>1006</v>
      </c>
      <c r="H265" t="s">
        <v>1015</v>
      </c>
      <c r="I265" t="s">
        <v>14</v>
      </c>
    </row>
    <row r="266" spans="2:9" x14ac:dyDescent="0.3">
      <c r="B266">
        <v>90</v>
      </c>
      <c r="C266" t="s">
        <v>1007</v>
      </c>
      <c r="D266">
        <v>86</v>
      </c>
      <c r="E266" t="s">
        <v>1007</v>
      </c>
      <c r="F266">
        <v>70</v>
      </c>
      <c r="G266" t="s">
        <v>1006</v>
      </c>
      <c r="H266" t="s">
        <v>1015</v>
      </c>
      <c r="I266" t="s">
        <v>14</v>
      </c>
    </row>
    <row r="267" spans="2:9" x14ac:dyDescent="0.3">
      <c r="B267">
        <v>90</v>
      </c>
      <c r="C267" t="s">
        <v>1007</v>
      </c>
      <c r="D267">
        <v>65</v>
      </c>
      <c r="E267" t="s">
        <v>1008</v>
      </c>
      <c r="F267">
        <v>90</v>
      </c>
      <c r="G267" t="s">
        <v>1006</v>
      </c>
      <c r="H267" t="s">
        <v>1009</v>
      </c>
      <c r="I267" t="s">
        <v>14</v>
      </c>
    </row>
    <row r="268" spans="2:9" x14ac:dyDescent="0.3">
      <c r="B268">
        <v>85</v>
      </c>
      <c r="C268" t="s">
        <v>1007</v>
      </c>
      <c r="D268">
        <v>77</v>
      </c>
      <c r="E268" t="s">
        <v>1005</v>
      </c>
      <c r="F268">
        <v>90</v>
      </c>
      <c r="G268" t="s">
        <v>1006</v>
      </c>
      <c r="H268" t="s">
        <v>1015</v>
      </c>
      <c r="I268" t="s">
        <v>14</v>
      </c>
    </row>
    <row r="269" spans="2:9" x14ac:dyDescent="0.3">
      <c r="B269">
        <v>72</v>
      </c>
      <c r="C269" t="s">
        <v>1005</v>
      </c>
      <c r="D269">
        <v>90</v>
      </c>
      <c r="E269" t="s">
        <v>1007</v>
      </c>
      <c r="F269">
        <v>90</v>
      </c>
      <c r="G269" t="s">
        <v>1009</v>
      </c>
      <c r="H269" t="s">
        <v>1015</v>
      </c>
      <c r="I269" t="s">
        <v>14</v>
      </c>
    </row>
    <row r="270" spans="2:9" x14ac:dyDescent="0.3">
      <c r="B270">
        <v>80</v>
      </c>
      <c r="C270" t="s">
        <v>1005</v>
      </c>
      <c r="D270">
        <v>65</v>
      </c>
      <c r="E270" t="s">
        <v>1008</v>
      </c>
      <c r="F270">
        <v>70</v>
      </c>
      <c r="G270" t="s">
        <v>1006</v>
      </c>
      <c r="H270" t="s">
        <v>1009</v>
      </c>
      <c r="I270" t="s">
        <v>11</v>
      </c>
    </row>
    <row r="271" spans="2:9" x14ac:dyDescent="0.3">
      <c r="B271">
        <v>87</v>
      </c>
      <c r="C271" t="s">
        <v>1007</v>
      </c>
      <c r="D271">
        <v>90</v>
      </c>
      <c r="E271" t="s">
        <v>1007</v>
      </c>
      <c r="F271">
        <v>85</v>
      </c>
      <c r="G271" t="s">
        <v>1006</v>
      </c>
      <c r="H271" t="s">
        <v>1015</v>
      </c>
      <c r="I271" t="s">
        <v>14</v>
      </c>
    </row>
    <row r="272" spans="2:9" x14ac:dyDescent="0.3">
      <c r="B272">
        <v>78</v>
      </c>
      <c r="C272" t="s">
        <v>1005</v>
      </c>
      <c r="D272">
        <v>85</v>
      </c>
      <c r="E272" t="s">
        <v>1007</v>
      </c>
      <c r="F272">
        <v>85.510416666666671</v>
      </c>
      <c r="G272" t="s">
        <v>1006</v>
      </c>
      <c r="H272" t="s">
        <v>1015</v>
      </c>
      <c r="I272" t="s">
        <v>14</v>
      </c>
    </row>
    <row r="273" spans="2:9" x14ac:dyDescent="0.3">
      <c r="B273">
        <v>88</v>
      </c>
      <c r="C273" t="s">
        <v>1007</v>
      </c>
      <c r="D273">
        <v>88</v>
      </c>
      <c r="E273" t="s">
        <v>1007</v>
      </c>
      <c r="F273">
        <v>91</v>
      </c>
      <c r="G273" t="s">
        <v>1006</v>
      </c>
      <c r="H273" t="s">
        <v>1015</v>
      </c>
      <c r="I273" t="s">
        <v>14</v>
      </c>
    </row>
    <row r="274" spans="2:9" x14ac:dyDescent="0.3">
      <c r="B274">
        <v>68</v>
      </c>
      <c r="C274" t="s">
        <v>1008</v>
      </c>
      <c r="D274">
        <v>90</v>
      </c>
      <c r="E274" t="s">
        <v>1007</v>
      </c>
      <c r="F274">
        <v>95</v>
      </c>
      <c r="G274" t="s">
        <v>1009</v>
      </c>
      <c r="H274" t="s">
        <v>1015</v>
      </c>
      <c r="I274" t="s">
        <v>11</v>
      </c>
    </row>
    <row r="275" spans="2:9" x14ac:dyDescent="0.3">
      <c r="B275">
        <v>72</v>
      </c>
      <c r="C275" t="s">
        <v>1005</v>
      </c>
      <c r="D275">
        <v>60</v>
      </c>
      <c r="E275" t="s">
        <v>1012</v>
      </c>
      <c r="F275">
        <v>91</v>
      </c>
      <c r="G275" t="s">
        <v>1009</v>
      </c>
      <c r="H275" t="s">
        <v>1016</v>
      </c>
      <c r="I275" t="s">
        <v>11</v>
      </c>
    </row>
    <row r="276" spans="2:9" x14ac:dyDescent="0.3">
      <c r="B276">
        <v>88</v>
      </c>
      <c r="C276" t="s">
        <v>1007</v>
      </c>
      <c r="D276">
        <v>65</v>
      </c>
      <c r="E276" t="s">
        <v>1008</v>
      </c>
      <c r="F276">
        <v>85.510416666666671</v>
      </c>
      <c r="G276" t="s">
        <v>1006</v>
      </c>
      <c r="H276" t="s">
        <v>1009</v>
      </c>
      <c r="I276" t="s">
        <v>14</v>
      </c>
    </row>
    <row r="277" spans="2:9" x14ac:dyDescent="0.3">
      <c r="B277">
        <v>78</v>
      </c>
      <c r="C277" t="s">
        <v>1005</v>
      </c>
      <c r="D277">
        <v>70</v>
      </c>
      <c r="E277" t="s">
        <v>1008</v>
      </c>
      <c r="F277">
        <v>92</v>
      </c>
      <c r="G277" t="s">
        <v>1006</v>
      </c>
      <c r="H277" t="s">
        <v>1009</v>
      </c>
      <c r="I277" t="s">
        <v>11</v>
      </c>
    </row>
    <row r="278" spans="2:9" x14ac:dyDescent="0.3">
      <c r="B278">
        <v>85</v>
      </c>
      <c r="C278" t="s">
        <v>1007</v>
      </c>
      <c r="D278">
        <v>86</v>
      </c>
      <c r="E278" t="s">
        <v>1007</v>
      </c>
      <c r="F278">
        <v>78</v>
      </c>
      <c r="G278" t="s">
        <v>1006</v>
      </c>
      <c r="H278" t="s">
        <v>1015</v>
      </c>
      <c r="I278" t="s">
        <v>14</v>
      </c>
    </row>
    <row r="279" spans="2:9" x14ac:dyDescent="0.3">
      <c r="B279">
        <v>88</v>
      </c>
      <c r="C279" t="s">
        <v>1007</v>
      </c>
      <c r="D279">
        <v>70</v>
      </c>
      <c r="E279" t="s">
        <v>1008</v>
      </c>
      <c r="F279">
        <v>91</v>
      </c>
      <c r="G279" t="s">
        <v>1006</v>
      </c>
      <c r="H279" t="s">
        <v>1009</v>
      </c>
      <c r="I279" t="s">
        <v>14</v>
      </c>
    </row>
    <row r="280" spans="2:9" x14ac:dyDescent="0.3">
      <c r="B280">
        <v>92</v>
      </c>
      <c r="C280" t="s">
        <v>1010</v>
      </c>
      <c r="D280">
        <v>90</v>
      </c>
      <c r="E280" t="s">
        <v>1007</v>
      </c>
      <c r="F280">
        <v>85</v>
      </c>
      <c r="G280" t="s">
        <v>1011</v>
      </c>
      <c r="H280" t="s">
        <v>1015</v>
      </c>
      <c r="I280" t="s">
        <v>11</v>
      </c>
    </row>
    <row r="281" spans="2:9" x14ac:dyDescent="0.3">
      <c r="B281">
        <v>88</v>
      </c>
      <c r="C281" t="s">
        <v>1007</v>
      </c>
      <c r="D281">
        <v>85</v>
      </c>
      <c r="E281" t="s">
        <v>1007</v>
      </c>
      <c r="F281">
        <v>90</v>
      </c>
      <c r="G281" t="s">
        <v>1006</v>
      </c>
      <c r="H281" t="s">
        <v>1015</v>
      </c>
      <c r="I281" t="s">
        <v>14</v>
      </c>
    </row>
    <row r="282" spans="2:9" x14ac:dyDescent="0.3">
      <c r="B282">
        <v>72</v>
      </c>
      <c r="C282" t="s">
        <v>1005</v>
      </c>
      <c r="D282">
        <v>78</v>
      </c>
      <c r="E282" t="s">
        <v>1005</v>
      </c>
      <c r="F282">
        <v>92</v>
      </c>
      <c r="G282" t="s">
        <v>1009</v>
      </c>
      <c r="H282" t="s">
        <v>1015</v>
      </c>
      <c r="I282" t="s">
        <v>11</v>
      </c>
    </row>
    <row r="283" spans="2:9" x14ac:dyDescent="0.3">
      <c r="B283">
        <v>87</v>
      </c>
      <c r="C283" t="s">
        <v>1007</v>
      </c>
      <c r="D283">
        <v>82</v>
      </c>
      <c r="E283" t="s">
        <v>1007</v>
      </c>
      <c r="F283">
        <v>88</v>
      </c>
      <c r="G283" t="s">
        <v>1006</v>
      </c>
      <c r="H283" t="s">
        <v>1015</v>
      </c>
      <c r="I283" t="s">
        <v>14</v>
      </c>
    </row>
    <row r="284" spans="2:9" x14ac:dyDescent="0.3">
      <c r="B284">
        <v>90</v>
      </c>
      <c r="C284" t="s">
        <v>1007</v>
      </c>
      <c r="D284">
        <v>90</v>
      </c>
      <c r="E284" t="s">
        <v>1007</v>
      </c>
      <c r="F284">
        <v>78</v>
      </c>
      <c r="G284" t="s">
        <v>1006</v>
      </c>
      <c r="H284" t="s">
        <v>1015</v>
      </c>
      <c r="I284" t="s">
        <v>14</v>
      </c>
    </row>
    <row r="285" spans="2:9" x14ac:dyDescent="0.3">
      <c r="B285">
        <v>87</v>
      </c>
      <c r="C285" t="s">
        <v>1007</v>
      </c>
      <c r="D285">
        <v>60</v>
      </c>
      <c r="E285" t="s">
        <v>1012</v>
      </c>
      <c r="F285">
        <v>91</v>
      </c>
      <c r="G285" t="s">
        <v>1006</v>
      </c>
      <c r="H285" t="s">
        <v>1016</v>
      </c>
      <c r="I285" t="s">
        <v>11</v>
      </c>
    </row>
    <row r="286" spans="2:9" x14ac:dyDescent="0.3">
      <c r="B286">
        <v>80</v>
      </c>
      <c r="C286" t="s">
        <v>1005</v>
      </c>
      <c r="D286">
        <v>77</v>
      </c>
      <c r="E286" t="s">
        <v>1005</v>
      </c>
      <c r="F286">
        <v>95</v>
      </c>
      <c r="G286" t="s">
        <v>1006</v>
      </c>
      <c r="H286" t="s">
        <v>1015</v>
      </c>
      <c r="I286" t="s">
        <v>14</v>
      </c>
    </row>
    <row r="287" spans="2:9" x14ac:dyDescent="0.3">
      <c r="B287">
        <v>92</v>
      </c>
      <c r="C287" t="s">
        <v>1010</v>
      </c>
      <c r="D287">
        <v>60</v>
      </c>
      <c r="E287" t="s">
        <v>1012</v>
      </c>
      <c r="F287">
        <v>90</v>
      </c>
      <c r="G287" t="s">
        <v>1011</v>
      </c>
      <c r="H287" t="s">
        <v>1016</v>
      </c>
      <c r="I287" t="s">
        <v>14</v>
      </c>
    </row>
    <row r="288" spans="2:9" x14ac:dyDescent="0.3">
      <c r="B288">
        <v>87</v>
      </c>
      <c r="C288" t="s">
        <v>1007</v>
      </c>
      <c r="D288">
        <v>88</v>
      </c>
      <c r="E288" t="s">
        <v>1007</v>
      </c>
      <c r="F288">
        <v>91</v>
      </c>
      <c r="G288" t="s">
        <v>1006</v>
      </c>
      <c r="H288" t="s">
        <v>1015</v>
      </c>
      <c r="I288" t="s">
        <v>11</v>
      </c>
    </row>
    <row r="289" spans="2:9" x14ac:dyDescent="0.3">
      <c r="B289">
        <v>68</v>
      </c>
      <c r="C289" t="s">
        <v>1008</v>
      </c>
      <c r="D289">
        <v>78</v>
      </c>
      <c r="E289" t="s">
        <v>1005</v>
      </c>
      <c r="F289">
        <v>85</v>
      </c>
      <c r="G289" t="s">
        <v>1009</v>
      </c>
      <c r="H289" t="s">
        <v>1015</v>
      </c>
      <c r="I289" t="s">
        <v>11</v>
      </c>
    </row>
    <row r="290" spans="2:9" x14ac:dyDescent="0.3">
      <c r="B290">
        <v>68</v>
      </c>
      <c r="C290" t="s">
        <v>1008</v>
      </c>
      <c r="D290">
        <v>85</v>
      </c>
      <c r="E290" t="s">
        <v>1007</v>
      </c>
      <c r="F290">
        <v>95</v>
      </c>
      <c r="G290" t="s">
        <v>1009</v>
      </c>
      <c r="H290" t="s">
        <v>1015</v>
      </c>
      <c r="I290" t="s">
        <v>11</v>
      </c>
    </row>
    <row r="291" spans="2:9" x14ac:dyDescent="0.3">
      <c r="B291">
        <v>87</v>
      </c>
      <c r="C291" t="s">
        <v>1007</v>
      </c>
      <c r="D291">
        <v>78</v>
      </c>
      <c r="E291" t="s">
        <v>1005</v>
      </c>
      <c r="F291">
        <v>90</v>
      </c>
      <c r="G291" t="s">
        <v>1006</v>
      </c>
      <c r="H291" t="s">
        <v>1015</v>
      </c>
      <c r="I291" t="s">
        <v>14</v>
      </c>
    </row>
    <row r="292" spans="2:9" x14ac:dyDescent="0.3">
      <c r="B292">
        <v>87</v>
      </c>
      <c r="C292" t="s">
        <v>1007</v>
      </c>
      <c r="D292">
        <v>60</v>
      </c>
      <c r="E292" t="s">
        <v>1012</v>
      </c>
      <c r="F292">
        <v>85.510416666666671</v>
      </c>
      <c r="G292" t="s">
        <v>1006</v>
      </c>
      <c r="H292" t="s">
        <v>1016</v>
      </c>
      <c r="I292" t="s">
        <v>11</v>
      </c>
    </row>
    <row r="293" spans="2:9" x14ac:dyDescent="0.3">
      <c r="B293">
        <v>68</v>
      </c>
      <c r="C293" t="s">
        <v>1008</v>
      </c>
      <c r="D293">
        <v>65</v>
      </c>
      <c r="E293" t="s">
        <v>1008</v>
      </c>
      <c r="F293">
        <v>95</v>
      </c>
      <c r="G293" t="s">
        <v>1009</v>
      </c>
      <c r="H293" t="s">
        <v>1009</v>
      </c>
      <c r="I293" t="s">
        <v>14</v>
      </c>
    </row>
    <row r="294" spans="2:9" x14ac:dyDescent="0.3">
      <c r="B294">
        <v>78</v>
      </c>
      <c r="C294" t="s">
        <v>1005</v>
      </c>
      <c r="D294">
        <v>65</v>
      </c>
      <c r="E294" t="s">
        <v>1008</v>
      </c>
      <c r="F294">
        <v>95</v>
      </c>
      <c r="G294" t="s">
        <v>1006</v>
      </c>
      <c r="H294" t="s">
        <v>1009</v>
      </c>
      <c r="I294" t="s">
        <v>14</v>
      </c>
    </row>
    <row r="295" spans="2:9" x14ac:dyDescent="0.3">
      <c r="B295">
        <v>68</v>
      </c>
      <c r="C295" t="s">
        <v>1008</v>
      </c>
      <c r="D295">
        <v>88</v>
      </c>
      <c r="E295" t="s">
        <v>1007</v>
      </c>
      <c r="F295">
        <v>91</v>
      </c>
      <c r="G295" t="s">
        <v>1009</v>
      </c>
      <c r="H295" t="s">
        <v>1015</v>
      </c>
      <c r="I295" t="s">
        <v>11</v>
      </c>
    </row>
    <row r="296" spans="2:9" x14ac:dyDescent="0.3">
      <c r="B296">
        <v>72</v>
      </c>
      <c r="C296" t="s">
        <v>1005</v>
      </c>
      <c r="D296">
        <v>90</v>
      </c>
      <c r="E296" t="s">
        <v>1007</v>
      </c>
      <c r="F296">
        <v>85</v>
      </c>
      <c r="G296" t="s">
        <v>1009</v>
      </c>
      <c r="H296" t="s">
        <v>1015</v>
      </c>
      <c r="I296" t="s">
        <v>14</v>
      </c>
    </row>
    <row r="297" spans="2:9" x14ac:dyDescent="0.3">
      <c r="B297">
        <v>88</v>
      </c>
      <c r="C297" t="s">
        <v>1007</v>
      </c>
      <c r="D297">
        <v>85</v>
      </c>
      <c r="E297" t="s">
        <v>1007</v>
      </c>
      <c r="F297">
        <v>85</v>
      </c>
      <c r="G297" t="s">
        <v>1006</v>
      </c>
      <c r="H297" t="s">
        <v>1015</v>
      </c>
      <c r="I297" t="s">
        <v>11</v>
      </c>
    </row>
    <row r="298" spans="2:9" x14ac:dyDescent="0.3">
      <c r="B298">
        <v>68</v>
      </c>
      <c r="C298" t="s">
        <v>1008</v>
      </c>
      <c r="D298">
        <v>60</v>
      </c>
      <c r="E298" t="s">
        <v>1012</v>
      </c>
      <c r="F298">
        <v>70</v>
      </c>
      <c r="G298" t="s">
        <v>1009</v>
      </c>
      <c r="H298" t="s">
        <v>1016</v>
      </c>
      <c r="I298" t="s">
        <v>977</v>
      </c>
    </row>
    <row r="299" spans="2:9" x14ac:dyDescent="0.3">
      <c r="B299">
        <v>62</v>
      </c>
      <c r="C299" t="s">
        <v>1008</v>
      </c>
      <c r="D299">
        <v>90</v>
      </c>
      <c r="E299" t="s">
        <v>1007</v>
      </c>
      <c r="F299">
        <v>85</v>
      </c>
      <c r="G299" t="s">
        <v>1009</v>
      </c>
      <c r="H299" t="s">
        <v>1015</v>
      </c>
      <c r="I299" t="s">
        <v>11</v>
      </c>
    </row>
    <row r="300" spans="2:9" x14ac:dyDescent="0.3">
      <c r="B300">
        <v>85</v>
      </c>
      <c r="C300" t="s">
        <v>1007</v>
      </c>
      <c r="D300">
        <v>70</v>
      </c>
      <c r="E300" t="s">
        <v>1008</v>
      </c>
      <c r="F300">
        <v>90</v>
      </c>
      <c r="G300" t="s">
        <v>1006</v>
      </c>
      <c r="H300" t="s">
        <v>1009</v>
      </c>
      <c r="I300" t="s">
        <v>14</v>
      </c>
    </row>
    <row r="301" spans="2:9" x14ac:dyDescent="0.3">
      <c r="B301">
        <v>62</v>
      </c>
      <c r="C301" t="s">
        <v>1008</v>
      </c>
      <c r="D301">
        <v>85</v>
      </c>
      <c r="E301" t="s">
        <v>1007</v>
      </c>
      <c r="F301">
        <v>70</v>
      </c>
      <c r="G301" t="s">
        <v>1009</v>
      </c>
      <c r="H301" t="s">
        <v>1015</v>
      </c>
      <c r="I301" t="s">
        <v>14</v>
      </c>
    </row>
    <row r="302" spans="2:9" x14ac:dyDescent="0.3">
      <c r="B302">
        <v>80</v>
      </c>
      <c r="C302" t="s">
        <v>1005</v>
      </c>
      <c r="D302">
        <v>77</v>
      </c>
      <c r="E302" t="s">
        <v>1005</v>
      </c>
      <c r="F302">
        <v>70</v>
      </c>
      <c r="G302" t="s">
        <v>1006</v>
      </c>
      <c r="H302" t="s">
        <v>1015</v>
      </c>
      <c r="I302" t="s">
        <v>11</v>
      </c>
    </row>
    <row r="303" spans="2:9" x14ac:dyDescent="0.3">
      <c r="B303">
        <v>72</v>
      </c>
      <c r="C303" t="s">
        <v>1005</v>
      </c>
      <c r="D303">
        <v>65</v>
      </c>
      <c r="E303" t="s">
        <v>1008</v>
      </c>
      <c r="F303">
        <v>78</v>
      </c>
      <c r="G303" t="s">
        <v>1009</v>
      </c>
      <c r="H303" t="s">
        <v>1009</v>
      </c>
      <c r="I303" t="s">
        <v>11</v>
      </c>
    </row>
    <row r="304" spans="2:9" x14ac:dyDescent="0.3">
      <c r="B304">
        <v>62</v>
      </c>
      <c r="C304" t="s">
        <v>1008</v>
      </c>
      <c r="D304">
        <v>85</v>
      </c>
      <c r="E304" t="s">
        <v>1007</v>
      </c>
      <c r="F304">
        <v>78</v>
      </c>
      <c r="G304" t="s">
        <v>1009</v>
      </c>
      <c r="H304" t="s">
        <v>1015</v>
      </c>
      <c r="I304" t="s">
        <v>14</v>
      </c>
    </row>
    <row r="305" spans="2:9" x14ac:dyDescent="0.3">
      <c r="B305">
        <v>88</v>
      </c>
      <c r="C305" t="s">
        <v>1007</v>
      </c>
      <c r="D305">
        <v>88</v>
      </c>
      <c r="E305" t="s">
        <v>1007</v>
      </c>
      <c r="F305">
        <v>85</v>
      </c>
      <c r="G305" t="s">
        <v>1006</v>
      </c>
      <c r="H305" t="s">
        <v>1015</v>
      </c>
      <c r="I305" t="s">
        <v>14</v>
      </c>
    </row>
    <row r="306" spans="2:9" x14ac:dyDescent="0.3">
      <c r="B306">
        <v>92</v>
      </c>
      <c r="C306" t="s">
        <v>1010</v>
      </c>
      <c r="D306">
        <v>77.598759048603924</v>
      </c>
      <c r="E306" t="s">
        <v>1005</v>
      </c>
      <c r="F306">
        <v>92</v>
      </c>
      <c r="G306" t="s">
        <v>1011</v>
      </c>
      <c r="H306" t="s">
        <v>1015</v>
      </c>
      <c r="I306" t="s">
        <v>11</v>
      </c>
    </row>
    <row r="307" spans="2:9" x14ac:dyDescent="0.3">
      <c r="B307">
        <v>92</v>
      </c>
      <c r="C307" t="s">
        <v>1010</v>
      </c>
      <c r="D307">
        <v>60</v>
      </c>
      <c r="E307" t="s">
        <v>1012</v>
      </c>
      <c r="F307">
        <v>85</v>
      </c>
      <c r="G307" t="s">
        <v>1011</v>
      </c>
      <c r="H307" t="s">
        <v>1016</v>
      </c>
      <c r="I307" t="s">
        <v>11</v>
      </c>
    </row>
    <row r="308" spans="2:9" x14ac:dyDescent="0.3">
      <c r="B308">
        <v>80</v>
      </c>
      <c r="C308" t="s">
        <v>1005</v>
      </c>
      <c r="D308">
        <v>85</v>
      </c>
      <c r="E308" t="s">
        <v>1007</v>
      </c>
      <c r="F308">
        <v>91</v>
      </c>
      <c r="G308" t="s">
        <v>1006</v>
      </c>
      <c r="H308" t="s">
        <v>1015</v>
      </c>
      <c r="I308" t="s">
        <v>11</v>
      </c>
    </row>
    <row r="309" spans="2:9" x14ac:dyDescent="0.3">
      <c r="B309">
        <v>72</v>
      </c>
      <c r="C309" t="s">
        <v>1005</v>
      </c>
      <c r="D309">
        <v>82</v>
      </c>
      <c r="E309" t="s">
        <v>1007</v>
      </c>
      <c r="F309">
        <v>85</v>
      </c>
      <c r="G309" t="s">
        <v>1009</v>
      </c>
      <c r="H309" t="s">
        <v>1015</v>
      </c>
      <c r="I309" t="s">
        <v>11</v>
      </c>
    </row>
    <row r="310" spans="2:9" x14ac:dyDescent="0.3">
      <c r="B310">
        <v>78</v>
      </c>
      <c r="C310" t="s">
        <v>1005</v>
      </c>
      <c r="D310">
        <v>77</v>
      </c>
      <c r="E310" t="s">
        <v>1005</v>
      </c>
      <c r="F310">
        <v>91</v>
      </c>
      <c r="G310" t="s">
        <v>1006</v>
      </c>
      <c r="H310" t="s">
        <v>1015</v>
      </c>
      <c r="I310" t="s">
        <v>14</v>
      </c>
    </row>
    <row r="311" spans="2:9" x14ac:dyDescent="0.3">
      <c r="B311">
        <v>72</v>
      </c>
      <c r="C311" t="s">
        <v>1005</v>
      </c>
      <c r="D311">
        <v>60</v>
      </c>
      <c r="E311" t="s">
        <v>1012</v>
      </c>
      <c r="F311">
        <v>78</v>
      </c>
      <c r="G311" t="s">
        <v>1009</v>
      </c>
      <c r="H311" t="s">
        <v>1016</v>
      </c>
      <c r="I311" t="s">
        <v>11</v>
      </c>
    </row>
    <row r="312" spans="2:9" x14ac:dyDescent="0.3">
      <c r="B312">
        <v>92</v>
      </c>
      <c r="C312" t="s">
        <v>1010</v>
      </c>
      <c r="D312">
        <v>85</v>
      </c>
      <c r="E312" t="s">
        <v>1007</v>
      </c>
      <c r="F312">
        <v>70</v>
      </c>
      <c r="G312" t="s">
        <v>1011</v>
      </c>
      <c r="H312" t="s">
        <v>1015</v>
      </c>
      <c r="I312" t="s">
        <v>11</v>
      </c>
    </row>
    <row r="313" spans="2:9" x14ac:dyDescent="0.3">
      <c r="B313">
        <v>90</v>
      </c>
      <c r="C313" t="s">
        <v>1007</v>
      </c>
      <c r="D313">
        <v>70</v>
      </c>
      <c r="E313" t="s">
        <v>1008</v>
      </c>
      <c r="F313">
        <v>85</v>
      </c>
      <c r="G313" t="s">
        <v>1006</v>
      </c>
      <c r="H313" t="s">
        <v>1009</v>
      </c>
      <c r="I313" t="s">
        <v>11</v>
      </c>
    </row>
    <row r="314" spans="2:9" x14ac:dyDescent="0.3">
      <c r="B314">
        <v>62</v>
      </c>
      <c r="C314" t="s">
        <v>1008</v>
      </c>
      <c r="D314">
        <v>86</v>
      </c>
      <c r="E314" t="s">
        <v>1007</v>
      </c>
      <c r="F314">
        <v>70</v>
      </c>
      <c r="G314" t="s">
        <v>1009</v>
      </c>
      <c r="H314" t="s">
        <v>1015</v>
      </c>
      <c r="I314" t="s">
        <v>11</v>
      </c>
    </row>
    <row r="315" spans="2:9" x14ac:dyDescent="0.3">
      <c r="B315">
        <v>85</v>
      </c>
      <c r="C315" t="s">
        <v>1007</v>
      </c>
      <c r="D315">
        <v>88</v>
      </c>
      <c r="E315" t="s">
        <v>1007</v>
      </c>
      <c r="F315">
        <v>95</v>
      </c>
      <c r="G315" t="s">
        <v>1006</v>
      </c>
      <c r="H315" t="s">
        <v>1015</v>
      </c>
      <c r="I315" t="s">
        <v>14</v>
      </c>
    </row>
    <row r="316" spans="2:9" x14ac:dyDescent="0.3">
      <c r="B316">
        <v>62</v>
      </c>
      <c r="C316" t="s">
        <v>1008</v>
      </c>
      <c r="D316">
        <v>77</v>
      </c>
      <c r="E316" t="s">
        <v>1005</v>
      </c>
      <c r="F316">
        <v>85.510416666666671</v>
      </c>
      <c r="G316" t="s">
        <v>1009</v>
      </c>
      <c r="H316" t="s">
        <v>1015</v>
      </c>
      <c r="I316" t="s">
        <v>11</v>
      </c>
    </row>
    <row r="317" spans="2:9" x14ac:dyDescent="0.3">
      <c r="B317">
        <v>85</v>
      </c>
      <c r="C317" t="s">
        <v>1007</v>
      </c>
      <c r="D317">
        <v>85</v>
      </c>
      <c r="E317" t="s">
        <v>1007</v>
      </c>
      <c r="F317">
        <v>85</v>
      </c>
      <c r="G317" t="s">
        <v>1006</v>
      </c>
      <c r="H317" t="s">
        <v>1015</v>
      </c>
      <c r="I317" t="s">
        <v>14</v>
      </c>
    </row>
    <row r="318" spans="2:9" x14ac:dyDescent="0.3">
      <c r="B318">
        <v>72</v>
      </c>
      <c r="C318" t="s">
        <v>1005</v>
      </c>
      <c r="D318">
        <v>90</v>
      </c>
      <c r="E318" t="s">
        <v>1007</v>
      </c>
      <c r="F318">
        <v>78</v>
      </c>
      <c r="G318" t="s">
        <v>1009</v>
      </c>
      <c r="H318" t="s">
        <v>1015</v>
      </c>
      <c r="I318" t="s">
        <v>14</v>
      </c>
    </row>
    <row r="319" spans="2:9" x14ac:dyDescent="0.3">
      <c r="B319">
        <v>87</v>
      </c>
      <c r="C319" t="s">
        <v>1007</v>
      </c>
      <c r="D319">
        <v>70</v>
      </c>
      <c r="E319" t="s">
        <v>1008</v>
      </c>
      <c r="F319">
        <v>70</v>
      </c>
      <c r="G319" t="s">
        <v>1006</v>
      </c>
      <c r="H319" t="s">
        <v>1009</v>
      </c>
      <c r="I319" t="s">
        <v>11</v>
      </c>
    </row>
    <row r="320" spans="2:9" x14ac:dyDescent="0.3">
      <c r="B320">
        <v>90</v>
      </c>
      <c r="C320" t="s">
        <v>1007</v>
      </c>
      <c r="D320">
        <v>65</v>
      </c>
      <c r="E320" t="s">
        <v>1008</v>
      </c>
      <c r="F320">
        <v>85</v>
      </c>
      <c r="G320" t="s">
        <v>1006</v>
      </c>
      <c r="H320" t="s">
        <v>1009</v>
      </c>
      <c r="I320" t="s">
        <v>11</v>
      </c>
    </row>
    <row r="321" spans="2:9" x14ac:dyDescent="0.3">
      <c r="B321">
        <v>87</v>
      </c>
      <c r="C321" t="s">
        <v>1007</v>
      </c>
      <c r="D321">
        <v>90</v>
      </c>
      <c r="E321" t="s">
        <v>1007</v>
      </c>
      <c r="F321">
        <v>85</v>
      </c>
      <c r="G321" t="s">
        <v>1006</v>
      </c>
      <c r="H321" t="s">
        <v>1015</v>
      </c>
      <c r="I321" t="s">
        <v>11</v>
      </c>
    </row>
    <row r="322" spans="2:9" x14ac:dyDescent="0.3">
      <c r="B322">
        <v>62</v>
      </c>
      <c r="C322" t="s">
        <v>1008</v>
      </c>
      <c r="D322">
        <v>86</v>
      </c>
      <c r="E322" t="s">
        <v>1007</v>
      </c>
      <c r="F322">
        <v>85</v>
      </c>
      <c r="G322" t="s">
        <v>1009</v>
      </c>
      <c r="H322" t="s">
        <v>1015</v>
      </c>
      <c r="I322" t="s">
        <v>14</v>
      </c>
    </row>
    <row r="323" spans="2:9" x14ac:dyDescent="0.3">
      <c r="B323">
        <v>68</v>
      </c>
      <c r="C323" t="s">
        <v>1008</v>
      </c>
      <c r="D323">
        <v>82</v>
      </c>
      <c r="E323" t="s">
        <v>1007</v>
      </c>
      <c r="F323">
        <v>92</v>
      </c>
      <c r="G323" t="s">
        <v>1009</v>
      </c>
      <c r="H323" t="s">
        <v>1015</v>
      </c>
      <c r="I323" t="s">
        <v>14</v>
      </c>
    </row>
    <row r="324" spans="2:9" x14ac:dyDescent="0.3">
      <c r="B324">
        <v>85</v>
      </c>
      <c r="C324" t="s">
        <v>1007</v>
      </c>
      <c r="D324">
        <v>77</v>
      </c>
      <c r="E324" t="s">
        <v>1005</v>
      </c>
      <c r="F324">
        <v>70</v>
      </c>
      <c r="G324" t="s">
        <v>1006</v>
      </c>
      <c r="H324" t="s">
        <v>1015</v>
      </c>
      <c r="I324" t="s">
        <v>14</v>
      </c>
    </row>
    <row r="325" spans="2:9" x14ac:dyDescent="0.3">
      <c r="B325">
        <v>72</v>
      </c>
      <c r="C325" t="s">
        <v>1005</v>
      </c>
      <c r="D325">
        <v>60</v>
      </c>
      <c r="E325" t="s">
        <v>1012</v>
      </c>
      <c r="F325">
        <v>82</v>
      </c>
      <c r="G325" t="s">
        <v>1009</v>
      </c>
      <c r="H325" t="s">
        <v>1016</v>
      </c>
      <c r="I325" t="s">
        <v>11</v>
      </c>
    </row>
    <row r="326" spans="2:9" x14ac:dyDescent="0.3">
      <c r="B326">
        <v>80</v>
      </c>
      <c r="C326" t="s">
        <v>1005</v>
      </c>
      <c r="D326">
        <v>88</v>
      </c>
      <c r="E326" t="s">
        <v>1007</v>
      </c>
      <c r="F326">
        <v>78</v>
      </c>
      <c r="G326" t="s">
        <v>1006</v>
      </c>
      <c r="H326" t="s">
        <v>1015</v>
      </c>
      <c r="I326" t="s">
        <v>14</v>
      </c>
    </row>
    <row r="327" spans="2:9" x14ac:dyDescent="0.3">
      <c r="B327">
        <v>87</v>
      </c>
      <c r="C327" t="s">
        <v>1007</v>
      </c>
      <c r="D327">
        <v>86</v>
      </c>
      <c r="E327" t="s">
        <v>1007</v>
      </c>
      <c r="F327">
        <v>85.510416666666671</v>
      </c>
      <c r="G327" t="s">
        <v>1006</v>
      </c>
      <c r="H327" t="s">
        <v>1015</v>
      </c>
      <c r="I327" t="s">
        <v>14</v>
      </c>
    </row>
    <row r="328" spans="2:9" x14ac:dyDescent="0.3">
      <c r="B328">
        <v>68</v>
      </c>
      <c r="C328" t="s">
        <v>1008</v>
      </c>
      <c r="D328">
        <v>60</v>
      </c>
      <c r="E328" t="s">
        <v>1012</v>
      </c>
      <c r="F328">
        <v>92</v>
      </c>
      <c r="G328" t="s">
        <v>1009</v>
      </c>
      <c r="H328" t="s">
        <v>1016</v>
      </c>
      <c r="I328" t="s">
        <v>11</v>
      </c>
    </row>
    <row r="329" spans="2:9" x14ac:dyDescent="0.3">
      <c r="B329">
        <v>78</v>
      </c>
      <c r="C329" t="s">
        <v>1005</v>
      </c>
      <c r="D329">
        <v>65</v>
      </c>
      <c r="E329" t="s">
        <v>1008</v>
      </c>
      <c r="F329">
        <v>91</v>
      </c>
      <c r="G329" t="s">
        <v>1006</v>
      </c>
      <c r="H329" t="s">
        <v>1009</v>
      </c>
      <c r="I329" t="s">
        <v>14</v>
      </c>
    </row>
    <row r="330" spans="2:9" x14ac:dyDescent="0.3">
      <c r="B330">
        <v>72</v>
      </c>
      <c r="C330" t="s">
        <v>1005</v>
      </c>
      <c r="D330">
        <v>86</v>
      </c>
      <c r="E330" t="s">
        <v>1007</v>
      </c>
      <c r="F330">
        <v>85</v>
      </c>
      <c r="G330" t="s">
        <v>1009</v>
      </c>
      <c r="H330" t="s">
        <v>1015</v>
      </c>
      <c r="I330" t="s">
        <v>11</v>
      </c>
    </row>
    <row r="331" spans="2:9" x14ac:dyDescent="0.3">
      <c r="B331">
        <v>88</v>
      </c>
      <c r="C331" t="s">
        <v>1007</v>
      </c>
      <c r="D331">
        <v>78</v>
      </c>
      <c r="E331" t="s">
        <v>1005</v>
      </c>
      <c r="F331">
        <v>78</v>
      </c>
      <c r="G331" t="s">
        <v>1006</v>
      </c>
      <c r="H331" t="s">
        <v>1015</v>
      </c>
      <c r="I331" t="s">
        <v>14</v>
      </c>
    </row>
    <row r="332" spans="2:9" x14ac:dyDescent="0.3">
      <c r="B332">
        <v>90</v>
      </c>
      <c r="C332" t="s">
        <v>1007</v>
      </c>
      <c r="D332">
        <v>60</v>
      </c>
      <c r="E332" t="s">
        <v>1012</v>
      </c>
      <c r="F332">
        <v>90</v>
      </c>
      <c r="G332" t="s">
        <v>1006</v>
      </c>
      <c r="H332" t="s">
        <v>1016</v>
      </c>
      <c r="I332" t="s">
        <v>14</v>
      </c>
    </row>
    <row r="333" spans="2:9" x14ac:dyDescent="0.3">
      <c r="B333">
        <v>92</v>
      </c>
      <c r="C333" t="s">
        <v>1010</v>
      </c>
      <c r="D333">
        <v>70</v>
      </c>
      <c r="E333" t="s">
        <v>1008</v>
      </c>
      <c r="F333">
        <v>95</v>
      </c>
      <c r="G333" t="s">
        <v>1011</v>
      </c>
      <c r="H333" t="s">
        <v>1009</v>
      </c>
      <c r="I333" t="s">
        <v>14</v>
      </c>
    </row>
    <row r="334" spans="2:9" x14ac:dyDescent="0.3">
      <c r="B334">
        <v>88</v>
      </c>
      <c r="C334" t="s">
        <v>1007</v>
      </c>
      <c r="D334">
        <v>78</v>
      </c>
      <c r="E334" t="s">
        <v>1005</v>
      </c>
      <c r="F334">
        <v>78</v>
      </c>
      <c r="G334" t="s">
        <v>1006</v>
      </c>
      <c r="H334" t="s">
        <v>1015</v>
      </c>
      <c r="I334" t="s">
        <v>14</v>
      </c>
    </row>
    <row r="335" spans="2:9" x14ac:dyDescent="0.3">
      <c r="B335">
        <v>90</v>
      </c>
      <c r="C335" t="s">
        <v>1007</v>
      </c>
      <c r="D335">
        <v>88</v>
      </c>
      <c r="E335" t="s">
        <v>1007</v>
      </c>
      <c r="F335">
        <v>85</v>
      </c>
      <c r="G335" t="s">
        <v>1006</v>
      </c>
      <c r="H335" t="s">
        <v>1015</v>
      </c>
      <c r="I335" t="s">
        <v>11</v>
      </c>
    </row>
    <row r="336" spans="2:9" x14ac:dyDescent="0.3">
      <c r="B336">
        <v>87</v>
      </c>
      <c r="C336" t="s">
        <v>1007</v>
      </c>
      <c r="D336">
        <v>90</v>
      </c>
      <c r="E336" t="s">
        <v>1007</v>
      </c>
      <c r="F336">
        <v>85</v>
      </c>
      <c r="G336" t="s">
        <v>1006</v>
      </c>
      <c r="H336" t="s">
        <v>1015</v>
      </c>
      <c r="I336" t="s">
        <v>14</v>
      </c>
    </row>
    <row r="337" spans="2:9" x14ac:dyDescent="0.3">
      <c r="B337">
        <v>80.030208333333334</v>
      </c>
      <c r="C337" t="s">
        <v>1007</v>
      </c>
      <c r="D337">
        <v>60</v>
      </c>
      <c r="E337" t="s">
        <v>1012</v>
      </c>
      <c r="F337">
        <v>70</v>
      </c>
      <c r="G337" t="s">
        <v>1006</v>
      </c>
      <c r="H337" t="s">
        <v>1016</v>
      </c>
      <c r="I337" t="s">
        <v>11</v>
      </c>
    </row>
    <row r="338" spans="2:9" x14ac:dyDescent="0.3">
      <c r="B338">
        <v>80</v>
      </c>
      <c r="C338" t="s">
        <v>1005</v>
      </c>
      <c r="D338">
        <v>65</v>
      </c>
      <c r="E338" t="s">
        <v>1008</v>
      </c>
      <c r="F338">
        <v>91</v>
      </c>
      <c r="G338" t="s">
        <v>1006</v>
      </c>
      <c r="H338" t="s">
        <v>1009</v>
      </c>
      <c r="I338" t="s">
        <v>14</v>
      </c>
    </row>
    <row r="339" spans="2:9" x14ac:dyDescent="0.3">
      <c r="B339">
        <v>87</v>
      </c>
      <c r="C339" t="s">
        <v>1007</v>
      </c>
      <c r="D339">
        <v>60</v>
      </c>
      <c r="E339" t="s">
        <v>1012</v>
      </c>
      <c r="F339">
        <v>95</v>
      </c>
      <c r="G339" t="s">
        <v>1006</v>
      </c>
      <c r="H339" t="s">
        <v>1016</v>
      </c>
      <c r="I339" t="s">
        <v>11</v>
      </c>
    </row>
    <row r="340" spans="2:9" x14ac:dyDescent="0.3">
      <c r="B340">
        <v>80</v>
      </c>
      <c r="C340" t="s">
        <v>1005</v>
      </c>
      <c r="D340">
        <v>86</v>
      </c>
      <c r="E340" t="s">
        <v>1007</v>
      </c>
      <c r="F340">
        <v>70</v>
      </c>
      <c r="G340" t="s">
        <v>1006</v>
      </c>
      <c r="H340" t="s">
        <v>1015</v>
      </c>
      <c r="I340" t="s">
        <v>11</v>
      </c>
    </row>
    <row r="341" spans="2:9" x14ac:dyDescent="0.3">
      <c r="B341">
        <v>62</v>
      </c>
      <c r="C341" t="s">
        <v>1008</v>
      </c>
      <c r="D341">
        <v>90</v>
      </c>
      <c r="E341" t="s">
        <v>1007</v>
      </c>
      <c r="F341">
        <v>88</v>
      </c>
      <c r="G341" t="s">
        <v>1009</v>
      </c>
      <c r="H341" t="s">
        <v>1015</v>
      </c>
      <c r="I341" t="s">
        <v>14</v>
      </c>
    </row>
    <row r="342" spans="2:9" x14ac:dyDescent="0.3">
      <c r="B342">
        <v>88</v>
      </c>
      <c r="C342" t="s">
        <v>1007</v>
      </c>
      <c r="D342">
        <v>85</v>
      </c>
      <c r="E342" t="s">
        <v>1007</v>
      </c>
      <c r="F342">
        <v>85</v>
      </c>
      <c r="G342" t="s">
        <v>1006</v>
      </c>
      <c r="H342" t="s">
        <v>1015</v>
      </c>
      <c r="I342" t="s">
        <v>14</v>
      </c>
    </row>
    <row r="343" spans="2:9" x14ac:dyDescent="0.3">
      <c r="B343">
        <v>62</v>
      </c>
      <c r="C343" t="s">
        <v>1008</v>
      </c>
      <c r="D343">
        <v>77</v>
      </c>
      <c r="E343" t="s">
        <v>1005</v>
      </c>
      <c r="F343">
        <v>88</v>
      </c>
      <c r="G343" t="s">
        <v>1009</v>
      </c>
      <c r="H343" t="s">
        <v>1015</v>
      </c>
      <c r="I343" t="s">
        <v>11</v>
      </c>
    </row>
    <row r="344" spans="2:9" x14ac:dyDescent="0.3">
      <c r="B344">
        <v>78</v>
      </c>
      <c r="C344" t="s">
        <v>1005</v>
      </c>
      <c r="D344">
        <v>60</v>
      </c>
      <c r="E344" t="s">
        <v>1012</v>
      </c>
      <c r="F344">
        <v>78</v>
      </c>
      <c r="G344" t="s">
        <v>1006</v>
      </c>
      <c r="H344" t="s">
        <v>1016</v>
      </c>
      <c r="I344" t="s">
        <v>14</v>
      </c>
    </row>
    <row r="345" spans="2:9" x14ac:dyDescent="0.3">
      <c r="B345">
        <v>87</v>
      </c>
      <c r="C345" t="s">
        <v>1007</v>
      </c>
      <c r="D345">
        <v>78</v>
      </c>
      <c r="E345" t="s">
        <v>1005</v>
      </c>
      <c r="F345">
        <v>85.510416666666671</v>
      </c>
      <c r="G345" t="s">
        <v>1006</v>
      </c>
      <c r="H345" t="s">
        <v>1015</v>
      </c>
      <c r="I345" t="s">
        <v>11</v>
      </c>
    </row>
    <row r="346" spans="2:9" x14ac:dyDescent="0.3">
      <c r="B346">
        <v>78</v>
      </c>
      <c r="C346" t="s">
        <v>1005</v>
      </c>
      <c r="D346">
        <v>60</v>
      </c>
      <c r="E346" t="s">
        <v>1012</v>
      </c>
      <c r="F346">
        <v>70</v>
      </c>
      <c r="G346" t="s">
        <v>1006</v>
      </c>
      <c r="H346" t="s">
        <v>1016</v>
      </c>
      <c r="I346" t="s">
        <v>11</v>
      </c>
    </row>
    <row r="347" spans="2:9" x14ac:dyDescent="0.3">
      <c r="B347">
        <v>88</v>
      </c>
      <c r="C347" t="s">
        <v>1007</v>
      </c>
      <c r="D347">
        <v>70</v>
      </c>
      <c r="E347" t="s">
        <v>1008</v>
      </c>
      <c r="F347">
        <v>70</v>
      </c>
      <c r="G347" t="s">
        <v>1006</v>
      </c>
      <c r="H347" t="s">
        <v>1009</v>
      </c>
      <c r="I347" t="s">
        <v>11</v>
      </c>
    </row>
    <row r="348" spans="2:9" x14ac:dyDescent="0.3">
      <c r="B348">
        <v>80</v>
      </c>
      <c r="C348" t="s">
        <v>1005</v>
      </c>
      <c r="D348">
        <v>90</v>
      </c>
      <c r="E348" t="s">
        <v>1007</v>
      </c>
      <c r="F348">
        <v>78</v>
      </c>
      <c r="G348" t="s">
        <v>1006</v>
      </c>
      <c r="H348" t="s">
        <v>1015</v>
      </c>
      <c r="I348" t="s">
        <v>14</v>
      </c>
    </row>
    <row r="349" spans="2:9" x14ac:dyDescent="0.3">
      <c r="B349">
        <v>62</v>
      </c>
      <c r="C349" t="s">
        <v>1008</v>
      </c>
      <c r="D349">
        <v>88</v>
      </c>
      <c r="E349" t="s">
        <v>1007</v>
      </c>
      <c r="F349">
        <v>91</v>
      </c>
      <c r="G349" t="s">
        <v>1009</v>
      </c>
      <c r="H349" t="s">
        <v>1015</v>
      </c>
      <c r="I349" t="s">
        <v>11</v>
      </c>
    </row>
    <row r="350" spans="2:9" x14ac:dyDescent="0.3">
      <c r="B350">
        <v>87</v>
      </c>
      <c r="C350" t="s">
        <v>1007</v>
      </c>
      <c r="D350">
        <v>86</v>
      </c>
      <c r="E350" t="s">
        <v>1007</v>
      </c>
      <c r="F350">
        <v>85</v>
      </c>
      <c r="G350" t="s">
        <v>1006</v>
      </c>
      <c r="H350" t="s">
        <v>1015</v>
      </c>
      <c r="I350" t="s">
        <v>14</v>
      </c>
    </row>
    <row r="351" spans="2:9" x14ac:dyDescent="0.3">
      <c r="B351">
        <v>62</v>
      </c>
      <c r="C351" t="s">
        <v>1008</v>
      </c>
      <c r="D351">
        <v>88</v>
      </c>
      <c r="E351" t="s">
        <v>1007</v>
      </c>
      <c r="F351">
        <v>88</v>
      </c>
      <c r="G351" t="s">
        <v>1009</v>
      </c>
      <c r="H351" t="s">
        <v>1015</v>
      </c>
      <c r="I351" t="s">
        <v>11</v>
      </c>
    </row>
    <row r="352" spans="2:9" x14ac:dyDescent="0.3">
      <c r="B352">
        <v>62</v>
      </c>
      <c r="C352" t="s">
        <v>1008</v>
      </c>
      <c r="D352">
        <v>65</v>
      </c>
      <c r="E352" t="s">
        <v>1008</v>
      </c>
      <c r="F352">
        <v>88</v>
      </c>
      <c r="G352" t="s">
        <v>1009</v>
      </c>
      <c r="H352" t="s">
        <v>1009</v>
      </c>
      <c r="I352" t="s">
        <v>11</v>
      </c>
    </row>
    <row r="353" spans="2:9" x14ac:dyDescent="0.3">
      <c r="B353">
        <v>80.030208333333334</v>
      </c>
      <c r="C353" t="s">
        <v>1007</v>
      </c>
      <c r="D353">
        <v>78</v>
      </c>
      <c r="E353" t="s">
        <v>1005</v>
      </c>
      <c r="F353">
        <v>88</v>
      </c>
      <c r="G353" t="s">
        <v>1006</v>
      </c>
      <c r="H353" t="s">
        <v>1015</v>
      </c>
      <c r="I353" t="s">
        <v>14</v>
      </c>
    </row>
    <row r="354" spans="2:9" x14ac:dyDescent="0.3">
      <c r="B354">
        <v>62</v>
      </c>
      <c r="C354" t="s">
        <v>1008</v>
      </c>
      <c r="D354">
        <v>88</v>
      </c>
      <c r="E354" t="s">
        <v>1007</v>
      </c>
      <c r="F354">
        <v>88</v>
      </c>
      <c r="G354" t="s">
        <v>1009</v>
      </c>
      <c r="H354" t="s">
        <v>1015</v>
      </c>
      <c r="I354" t="s">
        <v>11</v>
      </c>
    </row>
    <row r="355" spans="2:9" x14ac:dyDescent="0.3">
      <c r="B355">
        <v>72</v>
      </c>
      <c r="C355" t="s">
        <v>1005</v>
      </c>
      <c r="D355">
        <v>70</v>
      </c>
      <c r="E355" t="s">
        <v>1008</v>
      </c>
      <c r="F355">
        <v>70</v>
      </c>
      <c r="G355" t="s">
        <v>1009</v>
      </c>
      <c r="H355" t="s">
        <v>1009</v>
      </c>
      <c r="I355" t="s">
        <v>11</v>
      </c>
    </row>
    <row r="356" spans="2:9" x14ac:dyDescent="0.3">
      <c r="B356">
        <v>92</v>
      </c>
      <c r="C356" t="s">
        <v>1010</v>
      </c>
      <c r="D356">
        <v>86</v>
      </c>
      <c r="E356" t="s">
        <v>1007</v>
      </c>
      <c r="F356">
        <v>78</v>
      </c>
      <c r="G356" t="s">
        <v>1011</v>
      </c>
      <c r="H356" t="s">
        <v>1015</v>
      </c>
      <c r="I356" t="s">
        <v>14</v>
      </c>
    </row>
    <row r="357" spans="2:9" x14ac:dyDescent="0.3">
      <c r="B357">
        <v>80.030208333333334</v>
      </c>
      <c r="C357" t="s">
        <v>1007</v>
      </c>
      <c r="D357">
        <v>88</v>
      </c>
      <c r="E357" t="s">
        <v>1007</v>
      </c>
      <c r="F357">
        <v>85</v>
      </c>
      <c r="G357" t="s">
        <v>1006</v>
      </c>
      <c r="H357" t="s">
        <v>1015</v>
      </c>
      <c r="I357" t="s">
        <v>11</v>
      </c>
    </row>
    <row r="358" spans="2:9" x14ac:dyDescent="0.3">
      <c r="B358">
        <v>68</v>
      </c>
      <c r="C358" t="s">
        <v>1008</v>
      </c>
      <c r="D358">
        <v>77</v>
      </c>
      <c r="E358" t="s">
        <v>1005</v>
      </c>
      <c r="F358">
        <v>92</v>
      </c>
      <c r="G358" t="s">
        <v>1009</v>
      </c>
      <c r="H358" t="s">
        <v>1015</v>
      </c>
      <c r="I358" t="s">
        <v>11</v>
      </c>
    </row>
    <row r="359" spans="2:9" x14ac:dyDescent="0.3">
      <c r="B359">
        <v>80</v>
      </c>
      <c r="C359" t="s">
        <v>1005</v>
      </c>
      <c r="D359">
        <v>82</v>
      </c>
      <c r="E359" t="s">
        <v>1007</v>
      </c>
      <c r="F359">
        <v>88</v>
      </c>
      <c r="G359" t="s">
        <v>1006</v>
      </c>
      <c r="H359" t="s">
        <v>1015</v>
      </c>
      <c r="I359" t="s">
        <v>11</v>
      </c>
    </row>
    <row r="360" spans="2:9" x14ac:dyDescent="0.3">
      <c r="B360">
        <v>80</v>
      </c>
      <c r="C360" t="s">
        <v>1005</v>
      </c>
      <c r="D360">
        <v>60</v>
      </c>
      <c r="E360" t="s">
        <v>1012</v>
      </c>
      <c r="F360">
        <v>92</v>
      </c>
      <c r="G360" t="s">
        <v>1006</v>
      </c>
      <c r="H360" t="s">
        <v>1016</v>
      </c>
      <c r="I360" t="s">
        <v>11</v>
      </c>
    </row>
    <row r="361" spans="2:9" x14ac:dyDescent="0.3">
      <c r="B361">
        <v>62</v>
      </c>
      <c r="C361" t="s">
        <v>1008</v>
      </c>
      <c r="D361">
        <v>82</v>
      </c>
      <c r="E361" t="s">
        <v>1007</v>
      </c>
      <c r="F361">
        <v>88</v>
      </c>
      <c r="G361" t="s">
        <v>1009</v>
      </c>
      <c r="H361" t="s">
        <v>1015</v>
      </c>
      <c r="I361" t="s">
        <v>977</v>
      </c>
    </row>
    <row r="362" spans="2:9" x14ac:dyDescent="0.3">
      <c r="B362">
        <v>87</v>
      </c>
      <c r="C362" t="s">
        <v>1007</v>
      </c>
      <c r="D362">
        <v>86</v>
      </c>
      <c r="E362" t="s">
        <v>1007</v>
      </c>
      <c r="F362">
        <v>88</v>
      </c>
      <c r="G362" t="s">
        <v>1006</v>
      </c>
      <c r="H362" t="s">
        <v>1015</v>
      </c>
      <c r="I362" t="s">
        <v>14</v>
      </c>
    </row>
    <row r="363" spans="2:9" x14ac:dyDescent="0.3">
      <c r="B363">
        <v>90</v>
      </c>
      <c r="C363" t="s">
        <v>1007</v>
      </c>
      <c r="D363">
        <v>85</v>
      </c>
      <c r="E363" t="s">
        <v>1007</v>
      </c>
      <c r="F363">
        <v>90</v>
      </c>
      <c r="G363" t="s">
        <v>1006</v>
      </c>
      <c r="H363" t="s">
        <v>1015</v>
      </c>
      <c r="I363" t="s">
        <v>14</v>
      </c>
    </row>
    <row r="364" spans="2:9" x14ac:dyDescent="0.3">
      <c r="B364">
        <v>90</v>
      </c>
      <c r="C364" t="s">
        <v>1007</v>
      </c>
      <c r="D364">
        <v>78</v>
      </c>
      <c r="E364" t="s">
        <v>1005</v>
      </c>
      <c r="F364">
        <v>82</v>
      </c>
      <c r="G364" t="s">
        <v>1006</v>
      </c>
      <c r="H364" t="s">
        <v>1015</v>
      </c>
      <c r="I364" t="s">
        <v>11</v>
      </c>
    </row>
    <row r="365" spans="2:9" x14ac:dyDescent="0.3">
      <c r="B365">
        <v>80</v>
      </c>
      <c r="C365" t="s">
        <v>1005</v>
      </c>
      <c r="D365">
        <v>60</v>
      </c>
      <c r="E365" t="s">
        <v>1012</v>
      </c>
      <c r="F365">
        <v>88</v>
      </c>
      <c r="G365" t="s">
        <v>1006</v>
      </c>
      <c r="H365" t="s">
        <v>1016</v>
      </c>
      <c r="I365" t="s">
        <v>14</v>
      </c>
    </row>
    <row r="366" spans="2:9" x14ac:dyDescent="0.3">
      <c r="B366">
        <v>68</v>
      </c>
      <c r="C366" t="s">
        <v>1008</v>
      </c>
      <c r="D366">
        <v>88</v>
      </c>
      <c r="E366" t="s">
        <v>1007</v>
      </c>
      <c r="F366">
        <v>82</v>
      </c>
      <c r="G366" t="s">
        <v>1009</v>
      </c>
      <c r="H366" t="s">
        <v>1015</v>
      </c>
      <c r="I366" t="s">
        <v>11</v>
      </c>
    </row>
    <row r="367" spans="2:9" x14ac:dyDescent="0.3">
      <c r="B367">
        <v>90</v>
      </c>
      <c r="C367" t="s">
        <v>1007</v>
      </c>
      <c r="D367">
        <v>82</v>
      </c>
      <c r="E367" t="s">
        <v>1007</v>
      </c>
      <c r="F367">
        <v>85</v>
      </c>
      <c r="G367" t="s">
        <v>1006</v>
      </c>
      <c r="H367" t="s">
        <v>1015</v>
      </c>
      <c r="I367" t="s">
        <v>11</v>
      </c>
    </row>
    <row r="368" spans="2:9" x14ac:dyDescent="0.3">
      <c r="B368">
        <v>85</v>
      </c>
      <c r="C368" t="s">
        <v>1007</v>
      </c>
      <c r="D368">
        <v>77.598759048603924</v>
      </c>
      <c r="E368" t="s">
        <v>1005</v>
      </c>
      <c r="F368">
        <v>70</v>
      </c>
      <c r="G368" t="s">
        <v>1006</v>
      </c>
      <c r="H368" t="s">
        <v>1015</v>
      </c>
      <c r="I368" t="s">
        <v>14</v>
      </c>
    </row>
    <row r="369" spans="2:9" x14ac:dyDescent="0.3">
      <c r="B369">
        <v>62</v>
      </c>
      <c r="C369" t="s">
        <v>1008</v>
      </c>
      <c r="D369">
        <v>70</v>
      </c>
      <c r="E369" t="s">
        <v>1008</v>
      </c>
      <c r="F369">
        <v>85</v>
      </c>
      <c r="G369" t="s">
        <v>1009</v>
      </c>
      <c r="H369" t="s">
        <v>1009</v>
      </c>
      <c r="I369" t="s">
        <v>11</v>
      </c>
    </row>
    <row r="370" spans="2:9" x14ac:dyDescent="0.3">
      <c r="B370">
        <v>68</v>
      </c>
      <c r="C370" t="s">
        <v>1008</v>
      </c>
      <c r="D370">
        <v>60</v>
      </c>
      <c r="E370" t="s">
        <v>1012</v>
      </c>
      <c r="F370">
        <v>92</v>
      </c>
      <c r="G370" t="s">
        <v>1009</v>
      </c>
      <c r="H370" t="s">
        <v>1016</v>
      </c>
      <c r="I370" t="s">
        <v>11</v>
      </c>
    </row>
    <row r="371" spans="2:9" x14ac:dyDescent="0.3">
      <c r="B371">
        <v>78</v>
      </c>
      <c r="C371" t="s">
        <v>1005</v>
      </c>
      <c r="D371">
        <v>88</v>
      </c>
      <c r="E371" t="s">
        <v>1007</v>
      </c>
      <c r="F371">
        <v>95</v>
      </c>
      <c r="G371" t="s">
        <v>1006</v>
      </c>
      <c r="H371" t="s">
        <v>1015</v>
      </c>
      <c r="I371" t="s">
        <v>14</v>
      </c>
    </row>
    <row r="372" spans="2:9" x14ac:dyDescent="0.3">
      <c r="B372">
        <v>62</v>
      </c>
      <c r="C372" t="s">
        <v>1008</v>
      </c>
      <c r="D372">
        <v>86</v>
      </c>
      <c r="E372" t="s">
        <v>1007</v>
      </c>
      <c r="F372">
        <v>90</v>
      </c>
      <c r="G372" t="s">
        <v>1009</v>
      </c>
      <c r="H372" t="s">
        <v>1015</v>
      </c>
      <c r="I372" t="s">
        <v>14</v>
      </c>
    </row>
    <row r="373" spans="2:9" x14ac:dyDescent="0.3">
      <c r="B373">
        <v>72</v>
      </c>
      <c r="C373" t="s">
        <v>1005</v>
      </c>
      <c r="D373">
        <v>88</v>
      </c>
      <c r="E373" t="s">
        <v>1007</v>
      </c>
      <c r="F373">
        <v>82</v>
      </c>
      <c r="G373" t="s">
        <v>1009</v>
      </c>
      <c r="H373" t="s">
        <v>1015</v>
      </c>
      <c r="I373" t="s">
        <v>11</v>
      </c>
    </row>
    <row r="374" spans="2:9" x14ac:dyDescent="0.3">
      <c r="B374">
        <v>72</v>
      </c>
      <c r="C374" t="s">
        <v>1005</v>
      </c>
      <c r="D374">
        <v>65</v>
      </c>
      <c r="E374" t="s">
        <v>1008</v>
      </c>
      <c r="F374">
        <v>95</v>
      </c>
      <c r="G374" t="s">
        <v>1009</v>
      </c>
      <c r="H374" t="s">
        <v>1009</v>
      </c>
      <c r="I374" t="s">
        <v>11</v>
      </c>
    </row>
    <row r="375" spans="2:9" x14ac:dyDescent="0.3">
      <c r="B375">
        <v>80.030208333333334</v>
      </c>
      <c r="C375" t="s">
        <v>1007</v>
      </c>
      <c r="D375">
        <v>70</v>
      </c>
      <c r="E375" t="s">
        <v>1008</v>
      </c>
      <c r="F375">
        <v>88</v>
      </c>
      <c r="G375" t="s">
        <v>1006</v>
      </c>
      <c r="H375" t="s">
        <v>1009</v>
      </c>
      <c r="I375" t="s">
        <v>14</v>
      </c>
    </row>
    <row r="376" spans="2:9" x14ac:dyDescent="0.3">
      <c r="B376">
        <v>92</v>
      </c>
      <c r="C376" t="s">
        <v>1010</v>
      </c>
      <c r="D376">
        <v>65</v>
      </c>
      <c r="E376" t="s">
        <v>1008</v>
      </c>
      <c r="F376">
        <v>95</v>
      </c>
      <c r="G376" t="s">
        <v>1011</v>
      </c>
      <c r="H376" t="s">
        <v>1009</v>
      </c>
      <c r="I376" t="s">
        <v>14</v>
      </c>
    </row>
    <row r="377" spans="2:9" x14ac:dyDescent="0.3">
      <c r="B377">
        <v>85</v>
      </c>
      <c r="C377" t="s">
        <v>1007</v>
      </c>
      <c r="D377">
        <v>78</v>
      </c>
      <c r="E377" t="s">
        <v>1005</v>
      </c>
      <c r="F377">
        <v>90</v>
      </c>
      <c r="G377" t="s">
        <v>1006</v>
      </c>
      <c r="H377" t="s">
        <v>1015</v>
      </c>
      <c r="I377" t="s">
        <v>11</v>
      </c>
    </row>
    <row r="378" spans="2:9" x14ac:dyDescent="0.3">
      <c r="B378">
        <v>62</v>
      </c>
      <c r="C378" t="s">
        <v>1008</v>
      </c>
      <c r="D378">
        <v>85</v>
      </c>
      <c r="E378" t="s">
        <v>1007</v>
      </c>
      <c r="F378">
        <v>85</v>
      </c>
      <c r="G378" t="s">
        <v>1009</v>
      </c>
      <c r="H378" t="s">
        <v>1015</v>
      </c>
      <c r="I378" t="s">
        <v>11</v>
      </c>
    </row>
    <row r="379" spans="2:9" x14ac:dyDescent="0.3">
      <c r="B379">
        <v>72</v>
      </c>
      <c r="C379" t="s">
        <v>1005</v>
      </c>
      <c r="D379">
        <v>60</v>
      </c>
      <c r="E379" t="s">
        <v>1012</v>
      </c>
      <c r="F379">
        <v>85</v>
      </c>
      <c r="G379" t="s">
        <v>1009</v>
      </c>
      <c r="H379" t="s">
        <v>1016</v>
      </c>
      <c r="I379" t="s">
        <v>11</v>
      </c>
    </row>
    <row r="380" spans="2:9" x14ac:dyDescent="0.3">
      <c r="B380">
        <v>87</v>
      </c>
      <c r="C380" t="s">
        <v>1007</v>
      </c>
      <c r="D380">
        <v>85</v>
      </c>
      <c r="E380" t="s">
        <v>1007</v>
      </c>
      <c r="F380">
        <v>82</v>
      </c>
      <c r="G380" t="s">
        <v>1006</v>
      </c>
      <c r="H380" t="s">
        <v>1015</v>
      </c>
      <c r="I380" t="s">
        <v>11</v>
      </c>
    </row>
    <row r="381" spans="2:9" x14ac:dyDescent="0.3">
      <c r="B381">
        <v>72</v>
      </c>
      <c r="C381" t="s">
        <v>1005</v>
      </c>
      <c r="D381">
        <v>82</v>
      </c>
      <c r="E381" t="s">
        <v>1007</v>
      </c>
      <c r="F381">
        <v>95</v>
      </c>
      <c r="G381" t="s">
        <v>1009</v>
      </c>
      <c r="H381" t="s">
        <v>1015</v>
      </c>
      <c r="I381" t="s">
        <v>11</v>
      </c>
    </row>
    <row r="382" spans="2:9" x14ac:dyDescent="0.3">
      <c r="B382">
        <v>78</v>
      </c>
      <c r="C382" t="s">
        <v>1005</v>
      </c>
      <c r="D382">
        <v>85</v>
      </c>
      <c r="E382" t="s">
        <v>1007</v>
      </c>
      <c r="F382">
        <v>85</v>
      </c>
      <c r="G382" t="s">
        <v>1006</v>
      </c>
      <c r="H382" t="s">
        <v>1015</v>
      </c>
      <c r="I382" t="s">
        <v>11</v>
      </c>
    </row>
    <row r="383" spans="2:9" x14ac:dyDescent="0.3">
      <c r="B383">
        <v>80</v>
      </c>
      <c r="C383" t="s">
        <v>1005</v>
      </c>
      <c r="D383">
        <v>82</v>
      </c>
      <c r="E383" t="s">
        <v>1007</v>
      </c>
      <c r="F383">
        <v>92</v>
      </c>
      <c r="G383" t="s">
        <v>1006</v>
      </c>
      <c r="H383" t="s">
        <v>1015</v>
      </c>
      <c r="I383" t="s">
        <v>14</v>
      </c>
    </row>
    <row r="384" spans="2:9" x14ac:dyDescent="0.3">
      <c r="B384">
        <v>80</v>
      </c>
      <c r="C384" t="s">
        <v>1005</v>
      </c>
      <c r="D384">
        <v>85</v>
      </c>
      <c r="E384" t="s">
        <v>1007</v>
      </c>
      <c r="F384">
        <v>95</v>
      </c>
      <c r="G384" t="s">
        <v>1006</v>
      </c>
      <c r="H384" t="s">
        <v>1015</v>
      </c>
      <c r="I384" t="s">
        <v>14</v>
      </c>
    </row>
    <row r="385" spans="2:9" x14ac:dyDescent="0.3">
      <c r="B385">
        <v>90</v>
      </c>
      <c r="C385" t="s">
        <v>1007</v>
      </c>
      <c r="D385">
        <v>82</v>
      </c>
      <c r="E385" t="s">
        <v>1007</v>
      </c>
      <c r="F385">
        <v>85.510416666666671</v>
      </c>
      <c r="G385" t="s">
        <v>1006</v>
      </c>
      <c r="H385" t="s">
        <v>1015</v>
      </c>
      <c r="I385" t="s">
        <v>14</v>
      </c>
    </row>
    <row r="386" spans="2:9" x14ac:dyDescent="0.3">
      <c r="B386">
        <v>68</v>
      </c>
      <c r="C386" t="s">
        <v>1008</v>
      </c>
      <c r="D386">
        <v>60</v>
      </c>
      <c r="E386" t="s">
        <v>1012</v>
      </c>
      <c r="F386">
        <v>70</v>
      </c>
      <c r="G386" t="s">
        <v>1009</v>
      </c>
      <c r="H386" t="s">
        <v>1016</v>
      </c>
      <c r="I386" t="s">
        <v>14</v>
      </c>
    </row>
    <row r="387" spans="2:9" x14ac:dyDescent="0.3">
      <c r="B387">
        <v>88</v>
      </c>
      <c r="C387" t="s">
        <v>1007</v>
      </c>
      <c r="D387">
        <v>86</v>
      </c>
      <c r="E387" t="s">
        <v>1007</v>
      </c>
      <c r="F387">
        <v>91</v>
      </c>
      <c r="G387" t="s">
        <v>1006</v>
      </c>
      <c r="H387" t="s">
        <v>1015</v>
      </c>
      <c r="I387" t="s">
        <v>14</v>
      </c>
    </row>
    <row r="388" spans="2:9" x14ac:dyDescent="0.3">
      <c r="B388">
        <v>87</v>
      </c>
      <c r="C388" t="s">
        <v>1007</v>
      </c>
      <c r="D388">
        <v>60</v>
      </c>
      <c r="E388" t="s">
        <v>1012</v>
      </c>
      <c r="F388">
        <v>85</v>
      </c>
      <c r="G388" t="s">
        <v>1006</v>
      </c>
      <c r="H388" t="s">
        <v>1016</v>
      </c>
      <c r="I388" t="s">
        <v>14</v>
      </c>
    </row>
    <row r="389" spans="2:9" x14ac:dyDescent="0.3">
      <c r="B389">
        <v>62</v>
      </c>
      <c r="C389" t="s">
        <v>1008</v>
      </c>
      <c r="D389">
        <v>70</v>
      </c>
      <c r="E389" t="s">
        <v>1008</v>
      </c>
      <c r="F389">
        <v>95</v>
      </c>
      <c r="G389" t="s">
        <v>1009</v>
      </c>
      <c r="H389" t="s">
        <v>1009</v>
      </c>
      <c r="I389" t="s">
        <v>11</v>
      </c>
    </row>
    <row r="390" spans="2:9" x14ac:dyDescent="0.3">
      <c r="B390">
        <v>68</v>
      </c>
      <c r="C390" t="s">
        <v>1008</v>
      </c>
      <c r="D390">
        <v>86</v>
      </c>
      <c r="E390" t="s">
        <v>1007</v>
      </c>
      <c r="F390">
        <v>78</v>
      </c>
      <c r="G390" t="s">
        <v>1009</v>
      </c>
      <c r="H390" t="s">
        <v>1015</v>
      </c>
      <c r="I390" t="s">
        <v>14</v>
      </c>
    </row>
    <row r="391" spans="2:9" x14ac:dyDescent="0.3">
      <c r="B391">
        <v>80</v>
      </c>
      <c r="C391" t="s">
        <v>1005</v>
      </c>
      <c r="D391">
        <v>90</v>
      </c>
      <c r="E391" t="s">
        <v>1007</v>
      </c>
      <c r="F391">
        <v>85</v>
      </c>
      <c r="G391" t="s">
        <v>1006</v>
      </c>
      <c r="H391" t="s">
        <v>1015</v>
      </c>
      <c r="I391" t="s">
        <v>11</v>
      </c>
    </row>
    <row r="392" spans="2:9" x14ac:dyDescent="0.3">
      <c r="B392">
        <v>87</v>
      </c>
      <c r="C392" t="s">
        <v>1007</v>
      </c>
      <c r="D392">
        <v>77</v>
      </c>
      <c r="E392" t="s">
        <v>1005</v>
      </c>
      <c r="F392">
        <v>90</v>
      </c>
      <c r="G392" t="s">
        <v>1006</v>
      </c>
      <c r="H392" t="s">
        <v>1015</v>
      </c>
      <c r="I392" t="s">
        <v>977</v>
      </c>
    </row>
    <row r="393" spans="2:9" x14ac:dyDescent="0.3">
      <c r="B393">
        <v>72</v>
      </c>
      <c r="C393" t="s">
        <v>1005</v>
      </c>
      <c r="D393">
        <v>77.598759048603924</v>
      </c>
      <c r="E393" t="s">
        <v>1005</v>
      </c>
      <c r="F393">
        <v>85</v>
      </c>
      <c r="G393" t="s">
        <v>1009</v>
      </c>
      <c r="H393" t="s">
        <v>1015</v>
      </c>
      <c r="I393" t="s">
        <v>14</v>
      </c>
    </row>
    <row r="394" spans="2:9" x14ac:dyDescent="0.3">
      <c r="B394">
        <v>78</v>
      </c>
      <c r="C394" t="s">
        <v>1005</v>
      </c>
      <c r="D394">
        <v>88</v>
      </c>
      <c r="E394" t="s">
        <v>1007</v>
      </c>
      <c r="F394">
        <v>85</v>
      </c>
      <c r="G394" t="s">
        <v>1006</v>
      </c>
      <c r="H394" t="s">
        <v>1015</v>
      </c>
      <c r="I394" t="s">
        <v>11</v>
      </c>
    </row>
    <row r="395" spans="2:9" x14ac:dyDescent="0.3">
      <c r="B395">
        <v>90</v>
      </c>
      <c r="C395" t="s">
        <v>1007</v>
      </c>
      <c r="D395">
        <v>90</v>
      </c>
      <c r="E395" t="s">
        <v>1007</v>
      </c>
      <c r="F395">
        <v>90</v>
      </c>
      <c r="G395" t="s">
        <v>1006</v>
      </c>
      <c r="H395" t="s">
        <v>1015</v>
      </c>
      <c r="I395" t="s">
        <v>14</v>
      </c>
    </row>
    <row r="396" spans="2:9" x14ac:dyDescent="0.3">
      <c r="B396">
        <v>85</v>
      </c>
      <c r="C396" t="s">
        <v>1007</v>
      </c>
      <c r="D396">
        <v>65</v>
      </c>
      <c r="E396" t="s">
        <v>1008</v>
      </c>
      <c r="F396">
        <v>78</v>
      </c>
      <c r="G396" t="s">
        <v>1006</v>
      </c>
      <c r="H396" t="s">
        <v>1009</v>
      </c>
      <c r="I396" t="s">
        <v>11</v>
      </c>
    </row>
    <row r="397" spans="2:9" x14ac:dyDescent="0.3">
      <c r="B397">
        <v>80</v>
      </c>
      <c r="C397" t="s">
        <v>1005</v>
      </c>
      <c r="D397">
        <v>88</v>
      </c>
      <c r="E397" t="s">
        <v>1007</v>
      </c>
      <c r="F397">
        <v>85</v>
      </c>
      <c r="G397" t="s">
        <v>1006</v>
      </c>
      <c r="H397" t="s">
        <v>1015</v>
      </c>
      <c r="I397" t="s">
        <v>11</v>
      </c>
    </row>
    <row r="398" spans="2:9" x14ac:dyDescent="0.3">
      <c r="B398">
        <v>72</v>
      </c>
      <c r="C398" t="s">
        <v>1005</v>
      </c>
      <c r="D398">
        <v>65</v>
      </c>
      <c r="E398" t="s">
        <v>1008</v>
      </c>
      <c r="F398">
        <v>91</v>
      </c>
      <c r="G398" t="s">
        <v>1009</v>
      </c>
      <c r="H398" t="s">
        <v>1009</v>
      </c>
      <c r="I398" t="s">
        <v>14</v>
      </c>
    </row>
    <row r="399" spans="2:9" x14ac:dyDescent="0.3">
      <c r="B399">
        <v>88</v>
      </c>
      <c r="C399" t="s">
        <v>1007</v>
      </c>
      <c r="D399">
        <v>65</v>
      </c>
      <c r="E399" t="s">
        <v>1008</v>
      </c>
      <c r="F399">
        <v>91</v>
      </c>
      <c r="G399" t="s">
        <v>1006</v>
      </c>
      <c r="H399" t="s">
        <v>1009</v>
      </c>
      <c r="I399" t="s">
        <v>11</v>
      </c>
    </row>
    <row r="400" spans="2:9" x14ac:dyDescent="0.3">
      <c r="B400">
        <v>68</v>
      </c>
      <c r="C400" t="s">
        <v>1008</v>
      </c>
      <c r="D400">
        <v>88</v>
      </c>
      <c r="E400" t="s">
        <v>1007</v>
      </c>
      <c r="F400">
        <v>88</v>
      </c>
      <c r="G400" t="s">
        <v>1009</v>
      </c>
      <c r="H400" t="s">
        <v>1015</v>
      </c>
      <c r="I400" t="s">
        <v>11</v>
      </c>
    </row>
    <row r="401" spans="2:9" x14ac:dyDescent="0.3">
      <c r="B401">
        <v>85</v>
      </c>
      <c r="C401" t="s">
        <v>1007</v>
      </c>
      <c r="D401">
        <v>90</v>
      </c>
      <c r="E401" t="s">
        <v>1007</v>
      </c>
      <c r="F401">
        <v>82</v>
      </c>
      <c r="G401" t="s">
        <v>1006</v>
      </c>
      <c r="H401" t="s">
        <v>1015</v>
      </c>
      <c r="I401" t="s">
        <v>14</v>
      </c>
    </row>
    <row r="402" spans="2:9" x14ac:dyDescent="0.3">
      <c r="B402">
        <v>88</v>
      </c>
      <c r="C402" t="s">
        <v>1007</v>
      </c>
      <c r="D402">
        <v>70</v>
      </c>
      <c r="E402" t="s">
        <v>1008</v>
      </c>
      <c r="F402">
        <v>90</v>
      </c>
      <c r="G402" t="s">
        <v>1006</v>
      </c>
      <c r="H402" t="s">
        <v>1009</v>
      </c>
      <c r="I402" t="s">
        <v>14</v>
      </c>
    </row>
    <row r="403" spans="2:9" x14ac:dyDescent="0.3">
      <c r="B403">
        <v>62</v>
      </c>
      <c r="C403" t="s">
        <v>1008</v>
      </c>
      <c r="D403">
        <v>70</v>
      </c>
      <c r="E403" t="s">
        <v>1008</v>
      </c>
      <c r="F403">
        <v>70</v>
      </c>
      <c r="G403" t="s">
        <v>1009</v>
      </c>
      <c r="H403" t="s">
        <v>1009</v>
      </c>
      <c r="I403" t="s">
        <v>14</v>
      </c>
    </row>
    <row r="404" spans="2:9" x14ac:dyDescent="0.3">
      <c r="B404">
        <v>85</v>
      </c>
      <c r="C404" t="s">
        <v>1007</v>
      </c>
      <c r="D404">
        <v>82</v>
      </c>
      <c r="E404" t="s">
        <v>1007</v>
      </c>
      <c r="F404">
        <v>78</v>
      </c>
      <c r="G404" t="s">
        <v>1006</v>
      </c>
      <c r="H404" t="s">
        <v>1015</v>
      </c>
      <c r="I404" t="s">
        <v>14</v>
      </c>
    </row>
    <row r="405" spans="2:9" x14ac:dyDescent="0.3">
      <c r="B405">
        <v>72</v>
      </c>
      <c r="C405" t="s">
        <v>1005</v>
      </c>
      <c r="D405">
        <v>70</v>
      </c>
      <c r="E405" t="s">
        <v>1008</v>
      </c>
      <c r="F405">
        <v>90</v>
      </c>
      <c r="G405" t="s">
        <v>1009</v>
      </c>
      <c r="H405" t="s">
        <v>1009</v>
      </c>
      <c r="I405" t="s">
        <v>14</v>
      </c>
    </row>
    <row r="406" spans="2:9" x14ac:dyDescent="0.3">
      <c r="B406">
        <v>80</v>
      </c>
      <c r="C406" t="s">
        <v>1005</v>
      </c>
      <c r="D406">
        <v>88</v>
      </c>
      <c r="E406" t="s">
        <v>1007</v>
      </c>
      <c r="F406">
        <v>70</v>
      </c>
      <c r="G406" t="s">
        <v>1006</v>
      </c>
      <c r="H406" t="s">
        <v>1015</v>
      </c>
      <c r="I406" t="s">
        <v>14</v>
      </c>
    </row>
    <row r="407" spans="2:9" x14ac:dyDescent="0.3">
      <c r="B407">
        <v>92</v>
      </c>
      <c r="C407" t="s">
        <v>1010</v>
      </c>
      <c r="D407">
        <v>86</v>
      </c>
      <c r="E407" t="s">
        <v>1007</v>
      </c>
      <c r="F407">
        <v>85.510416666666671</v>
      </c>
      <c r="G407" t="s">
        <v>1011</v>
      </c>
      <c r="H407" t="s">
        <v>1015</v>
      </c>
      <c r="I407" t="s">
        <v>14</v>
      </c>
    </row>
    <row r="408" spans="2:9" x14ac:dyDescent="0.3">
      <c r="B408">
        <v>85</v>
      </c>
      <c r="C408" t="s">
        <v>1007</v>
      </c>
      <c r="D408">
        <v>60</v>
      </c>
      <c r="E408" t="s">
        <v>1012</v>
      </c>
      <c r="F408">
        <v>82</v>
      </c>
      <c r="G408" t="s">
        <v>1006</v>
      </c>
      <c r="H408" t="s">
        <v>1016</v>
      </c>
      <c r="I408" t="s">
        <v>11</v>
      </c>
    </row>
    <row r="409" spans="2:9" x14ac:dyDescent="0.3">
      <c r="B409">
        <v>90</v>
      </c>
      <c r="C409" t="s">
        <v>1007</v>
      </c>
      <c r="D409">
        <v>65</v>
      </c>
      <c r="E409" t="s">
        <v>1008</v>
      </c>
      <c r="F409">
        <v>95</v>
      </c>
      <c r="G409" t="s">
        <v>1006</v>
      </c>
      <c r="H409" t="s">
        <v>1009</v>
      </c>
      <c r="I409" t="s">
        <v>11</v>
      </c>
    </row>
    <row r="410" spans="2:9" x14ac:dyDescent="0.3">
      <c r="B410">
        <v>72</v>
      </c>
      <c r="C410" t="s">
        <v>1005</v>
      </c>
      <c r="D410">
        <v>70</v>
      </c>
      <c r="E410" t="s">
        <v>1008</v>
      </c>
      <c r="F410">
        <v>90</v>
      </c>
      <c r="G410" t="s">
        <v>1009</v>
      </c>
      <c r="H410" t="s">
        <v>1009</v>
      </c>
      <c r="I410" t="s">
        <v>14</v>
      </c>
    </row>
    <row r="411" spans="2:9" x14ac:dyDescent="0.3">
      <c r="B411">
        <v>90</v>
      </c>
      <c r="C411" t="s">
        <v>1007</v>
      </c>
      <c r="D411">
        <v>90</v>
      </c>
      <c r="E411" t="s">
        <v>1007</v>
      </c>
      <c r="F411">
        <v>90</v>
      </c>
      <c r="G411" t="s">
        <v>1006</v>
      </c>
      <c r="H411" t="s">
        <v>1015</v>
      </c>
      <c r="I411" t="s">
        <v>14</v>
      </c>
    </row>
    <row r="412" spans="2:9" x14ac:dyDescent="0.3">
      <c r="B412">
        <v>92</v>
      </c>
      <c r="C412" t="s">
        <v>1010</v>
      </c>
      <c r="D412">
        <v>85</v>
      </c>
      <c r="E412" t="s">
        <v>1007</v>
      </c>
      <c r="F412">
        <v>82</v>
      </c>
      <c r="G412" t="s">
        <v>1011</v>
      </c>
      <c r="H412" t="s">
        <v>1015</v>
      </c>
      <c r="I412" t="s">
        <v>14</v>
      </c>
    </row>
    <row r="413" spans="2:9" x14ac:dyDescent="0.3">
      <c r="B413">
        <v>85</v>
      </c>
      <c r="C413" t="s">
        <v>1007</v>
      </c>
      <c r="D413">
        <v>60</v>
      </c>
      <c r="E413" t="s">
        <v>1012</v>
      </c>
      <c r="F413">
        <v>70</v>
      </c>
      <c r="G413" t="s">
        <v>1006</v>
      </c>
      <c r="H413" t="s">
        <v>1016</v>
      </c>
      <c r="I413" t="s">
        <v>14</v>
      </c>
    </row>
    <row r="414" spans="2:9" x14ac:dyDescent="0.3">
      <c r="B414">
        <v>72</v>
      </c>
      <c r="C414" t="s">
        <v>1005</v>
      </c>
      <c r="D414">
        <v>82</v>
      </c>
      <c r="E414" t="s">
        <v>1007</v>
      </c>
      <c r="F414">
        <v>85</v>
      </c>
      <c r="G414" t="s">
        <v>1009</v>
      </c>
      <c r="H414" t="s">
        <v>1015</v>
      </c>
      <c r="I414" t="s">
        <v>14</v>
      </c>
    </row>
    <row r="415" spans="2:9" x14ac:dyDescent="0.3">
      <c r="B415">
        <v>92</v>
      </c>
      <c r="C415" t="s">
        <v>1010</v>
      </c>
      <c r="D415">
        <v>90</v>
      </c>
      <c r="E415" t="s">
        <v>1007</v>
      </c>
      <c r="F415">
        <v>90</v>
      </c>
      <c r="G415" t="s">
        <v>1011</v>
      </c>
      <c r="H415" t="s">
        <v>1015</v>
      </c>
      <c r="I415" t="s">
        <v>11</v>
      </c>
    </row>
    <row r="416" spans="2:9" x14ac:dyDescent="0.3">
      <c r="B416">
        <v>87</v>
      </c>
      <c r="C416" t="s">
        <v>1007</v>
      </c>
      <c r="D416">
        <v>88</v>
      </c>
      <c r="E416" t="s">
        <v>1007</v>
      </c>
      <c r="F416">
        <v>85</v>
      </c>
      <c r="G416" t="s">
        <v>1006</v>
      </c>
      <c r="H416" t="s">
        <v>1015</v>
      </c>
      <c r="I416" t="s">
        <v>11</v>
      </c>
    </row>
    <row r="417" spans="2:9" x14ac:dyDescent="0.3">
      <c r="B417">
        <v>62</v>
      </c>
      <c r="C417" t="s">
        <v>1008</v>
      </c>
      <c r="D417">
        <v>60</v>
      </c>
      <c r="E417" t="s">
        <v>1012</v>
      </c>
      <c r="F417">
        <v>88</v>
      </c>
      <c r="G417" t="s">
        <v>1009</v>
      </c>
      <c r="H417" t="s">
        <v>1016</v>
      </c>
      <c r="I417" t="s">
        <v>11</v>
      </c>
    </row>
    <row r="418" spans="2:9" x14ac:dyDescent="0.3">
      <c r="B418">
        <v>87</v>
      </c>
      <c r="C418" t="s">
        <v>1007</v>
      </c>
      <c r="D418">
        <v>86</v>
      </c>
      <c r="E418" t="s">
        <v>1007</v>
      </c>
      <c r="F418">
        <v>91</v>
      </c>
      <c r="G418" t="s">
        <v>1006</v>
      </c>
      <c r="H418" t="s">
        <v>1015</v>
      </c>
      <c r="I418" t="s">
        <v>11</v>
      </c>
    </row>
    <row r="419" spans="2:9" x14ac:dyDescent="0.3">
      <c r="B419">
        <v>62</v>
      </c>
      <c r="C419" t="s">
        <v>1008</v>
      </c>
      <c r="D419">
        <v>82</v>
      </c>
      <c r="E419" t="s">
        <v>1007</v>
      </c>
      <c r="F419">
        <v>91</v>
      </c>
      <c r="G419" t="s">
        <v>1009</v>
      </c>
      <c r="H419" t="s">
        <v>1015</v>
      </c>
      <c r="I419" t="s">
        <v>14</v>
      </c>
    </row>
    <row r="420" spans="2:9" x14ac:dyDescent="0.3">
      <c r="B420">
        <v>68</v>
      </c>
      <c r="C420" t="s">
        <v>1008</v>
      </c>
      <c r="D420">
        <v>70</v>
      </c>
      <c r="E420" t="s">
        <v>1008</v>
      </c>
      <c r="F420">
        <v>78</v>
      </c>
      <c r="G420" t="s">
        <v>1009</v>
      </c>
      <c r="H420" t="s">
        <v>1009</v>
      </c>
      <c r="I420" t="s">
        <v>11</v>
      </c>
    </row>
    <row r="421" spans="2:9" x14ac:dyDescent="0.3">
      <c r="B421">
        <v>62</v>
      </c>
      <c r="C421" t="s">
        <v>1008</v>
      </c>
      <c r="D421">
        <v>78</v>
      </c>
      <c r="E421" t="s">
        <v>1005</v>
      </c>
      <c r="F421">
        <v>90</v>
      </c>
      <c r="G421" t="s">
        <v>1009</v>
      </c>
      <c r="H421" t="s">
        <v>1015</v>
      </c>
      <c r="I421" t="s">
        <v>11</v>
      </c>
    </row>
    <row r="422" spans="2:9" x14ac:dyDescent="0.3">
      <c r="B422">
        <v>68</v>
      </c>
      <c r="C422" t="s">
        <v>1008</v>
      </c>
      <c r="D422">
        <v>70</v>
      </c>
      <c r="E422" t="s">
        <v>1008</v>
      </c>
      <c r="F422">
        <v>92</v>
      </c>
      <c r="G422" t="s">
        <v>1009</v>
      </c>
      <c r="H422" t="s">
        <v>1009</v>
      </c>
      <c r="I422" t="s">
        <v>14</v>
      </c>
    </row>
    <row r="423" spans="2:9" x14ac:dyDescent="0.3">
      <c r="B423">
        <v>72</v>
      </c>
      <c r="C423" t="s">
        <v>1005</v>
      </c>
      <c r="D423">
        <v>70</v>
      </c>
      <c r="E423" t="s">
        <v>1008</v>
      </c>
      <c r="F423">
        <v>91</v>
      </c>
      <c r="G423" t="s">
        <v>1009</v>
      </c>
      <c r="H423" t="s">
        <v>1009</v>
      </c>
      <c r="I423" t="s">
        <v>977</v>
      </c>
    </row>
    <row r="424" spans="2:9" x14ac:dyDescent="0.3">
      <c r="B424">
        <v>68</v>
      </c>
      <c r="C424" t="s">
        <v>1008</v>
      </c>
      <c r="D424">
        <v>77</v>
      </c>
      <c r="E424" t="s">
        <v>1005</v>
      </c>
      <c r="F424">
        <v>92</v>
      </c>
      <c r="G424" t="s">
        <v>1009</v>
      </c>
      <c r="H424" t="s">
        <v>1015</v>
      </c>
      <c r="I424" t="s">
        <v>977</v>
      </c>
    </row>
    <row r="425" spans="2:9" x14ac:dyDescent="0.3">
      <c r="B425">
        <v>88</v>
      </c>
      <c r="C425" t="s">
        <v>1007</v>
      </c>
      <c r="D425">
        <v>77</v>
      </c>
      <c r="E425" t="s">
        <v>1005</v>
      </c>
      <c r="F425">
        <v>92</v>
      </c>
      <c r="G425" t="s">
        <v>1006</v>
      </c>
      <c r="H425" t="s">
        <v>1015</v>
      </c>
      <c r="I425" t="s">
        <v>11</v>
      </c>
    </row>
    <row r="426" spans="2:9" x14ac:dyDescent="0.3">
      <c r="B426">
        <v>92</v>
      </c>
      <c r="C426" t="s">
        <v>1010</v>
      </c>
      <c r="D426">
        <v>78</v>
      </c>
      <c r="E426" t="s">
        <v>1005</v>
      </c>
      <c r="F426">
        <v>85.510416666666671</v>
      </c>
      <c r="G426" t="s">
        <v>1011</v>
      </c>
      <c r="H426" t="s">
        <v>1015</v>
      </c>
      <c r="I426" t="s">
        <v>14</v>
      </c>
    </row>
    <row r="427" spans="2:9" x14ac:dyDescent="0.3">
      <c r="B427">
        <v>90</v>
      </c>
      <c r="C427" t="s">
        <v>1007</v>
      </c>
      <c r="D427">
        <v>77</v>
      </c>
      <c r="E427" t="s">
        <v>1005</v>
      </c>
      <c r="F427">
        <v>78</v>
      </c>
      <c r="G427" t="s">
        <v>1006</v>
      </c>
      <c r="H427" t="s">
        <v>1015</v>
      </c>
      <c r="I427" t="s">
        <v>14</v>
      </c>
    </row>
    <row r="428" spans="2:9" x14ac:dyDescent="0.3">
      <c r="B428">
        <v>87</v>
      </c>
      <c r="C428" t="s">
        <v>1007</v>
      </c>
      <c r="D428">
        <v>70</v>
      </c>
      <c r="E428" t="s">
        <v>1008</v>
      </c>
      <c r="F428">
        <v>88</v>
      </c>
      <c r="G428" t="s">
        <v>1006</v>
      </c>
      <c r="H428" t="s">
        <v>1009</v>
      </c>
      <c r="I428" t="s">
        <v>11</v>
      </c>
    </row>
    <row r="429" spans="2:9" x14ac:dyDescent="0.3">
      <c r="B429">
        <v>78</v>
      </c>
      <c r="C429" t="s">
        <v>1005</v>
      </c>
      <c r="D429">
        <v>82</v>
      </c>
      <c r="E429" t="s">
        <v>1007</v>
      </c>
      <c r="F429">
        <v>85</v>
      </c>
      <c r="G429" t="s">
        <v>1006</v>
      </c>
      <c r="H429" t="s">
        <v>1015</v>
      </c>
      <c r="I429" t="s">
        <v>11</v>
      </c>
    </row>
    <row r="430" spans="2:9" x14ac:dyDescent="0.3">
      <c r="B430">
        <v>72</v>
      </c>
      <c r="C430" t="s">
        <v>1005</v>
      </c>
      <c r="D430">
        <v>65</v>
      </c>
      <c r="E430" t="s">
        <v>1008</v>
      </c>
      <c r="F430">
        <v>91</v>
      </c>
      <c r="G430" t="s">
        <v>1009</v>
      </c>
      <c r="H430" t="s">
        <v>1009</v>
      </c>
      <c r="I430" t="s">
        <v>11</v>
      </c>
    </row>
    <row r="431" spans="2:9" x14ac:dyDescent="0.3">
      <c r="B431">
        <v>88</v>
      </c>
      <c r="C431" t="s">
        <v>1007</v>
      </c>
      <c r="D431">
        <v>77</v>
      </c>
      <c r="E431" t="s">
        <v>1005</v>
      </c>
      <c r="F431">
        <v>82</v>
      </c>
      <c r="G431" t="s">
        <v>1006</v>
      </c>
      <c r="H431" t="s">
        <v>1015</v>
      </c>
      <c r="I431" t="s">
        <v>11</v>
      </c>
    </row>
    <row r="432" spans="2:9" x14ac:dyDescent="0.3">
      <c r="B432">
        <v>85</v>
      </c>
      <c r="C432" t="s">
        <v>1007</v>
      </c>
      <c r="D432">
        <v>77</v>
      </c>
      <c r="E432" t="s">
        <v>1005</v>
      </c>
      <c r="F432">
        <v>85</v>
      </c>
      <c r="G432" t="s">
        <v>1006</v>
      </c>
      <c r="H432" t="s">
        <v>1015</v>
      </c>
      <c r="I432" t="s">
        <v>977</v>
      </c>
    </row>
    <row r="433" spans="2:9" x14ac:dyDescent="0.3">
      <c r="B433">
        <v>90</v>
      </c>
      <c r="C433" t="s">
        <v>1007</v>
      </c>
      <c r="D433">
        <v>77</v>
      </c>
      <c r="E433" t="s">
        <v>1005</v>
      </c>
      <c r="F433">
        <v>70</v>
      </c>
      <c r="G433" t="s">
        <v>1006</v>
      </c>
      <c r="H433" t="s">
        <v>1015</v>
      </c>
      <c r="I433" t="s">
        <v>14</v>
      </c>
    </row>
    <row r="434" spans="2:9" x14ac:dyDescent="0.3">
      <c r="B434">
        <v>87</v>
      </c>
      <c r="C434" t="s">
        <v>1007</v>
      </c>
      <c r="D434">
        <v>88</v>
      </c>
      <c r="E434" t="s">
        <v>1007</v>
      </c>
      <c r="F434">
        <v>70</v>
      </c>
      <c r="G434" t="s">
        <v>1006</v>
      </c>
      <c r="H434" t="s">
        <v>1015</v>
      </c>
      <c r="I434" t="s">
        <v>11</v>
      </c>
    </row>
    <row r="435" spans="2:9" x14ac:dyDescent="0.3">
      <c r="B435">
        <v>80</v>
      </c>
      <c r="C435" t="s">
        <v>1005</v>
      </c>
      <c r="D435">
        <v>77</v>
      </c>
      <c r="E435" t="s">
        <v>1005</v>
      </c>
      <c r="F435">
        <v>95</v>
      </c>
      <c r="G435" t="s">
        <v>1006</v>
      </c>
      <c r="H435" t="s">
        <v>1015</v>
      </c>
      <c r="I435" t="s">
        <v>14</v>
      </c>
    </row>
    <row r="436" spans="2:9" x14ac:dyDescent="0.3">
      <c r="B436">
        <v>68</v>
      </c>
      <c r="C436" t="s">
        <v>1008</v>
      </c>
      <c r="D436">
        <v>82</v>
      </c>
      <c r="E436" t="s">
        <v>1007</v>
      </c>
      <c r="F436">
        <v>90</v>
      </c>
      <c r="G436" t="s">
        <v>1009</v>
      </c>
      <c r="H436" t="s">
        <v>1015</v>
      </c>
      <c r="I436" t="s">
        <v>11</v>
      </c>
    </row>
    <row r="437" spans="2:9" x14ac:dyDescent="0.3">
      <c r="B437">
        <v>92</v>
      </c>
      <c r="C437" t="s">
        <v>1010</v>
      </c>
      <c r="D437">
        <v>77</v>
      </c>
      <c r="E437" t="s">
        <v>1005</v>
      </c>
      <c r="F437">
        <v>95</v>
      </c>
      <c r="G437" t="s">
        <v>1011</v>
      </c>
      <c r="H437" t="s">
        <v>1015</v>
      </c>
      <c r="I437" t="s">
        <v>14</v>
      </c>
    </row>
    <row r="438" spans="2:9" x14ac:dyDescent="0.3">
      <c r="B438">
        <v>68</v>
      </c>
      <c r="C438" t="s">
        <v>1008</v>
      </c>
      <c r="D438">
        <v>86</v>
      </c>
      <c r="E438" t="s">
        <v>1007</v>
      </c>
      <c r="F438">
        <v>85</v>
      </c>
      <c r="G438" t="s">
        <v>1009</v>
      </c>
      <c r="H438" t="s">
        <v>1015</v>
      </c>
      <c r="I438" t="s">
        <v>11</v>
      </c>
    </row>
    <row r="439" spans="2:9" x14ac:dyDescent="0.3">
      <c r="B439">
        <v>88</v>
      </c>
      <c r="C439" t="s">
        <v>1007</v>
      </c>
      <c r="D439">
        <v>70</v>
      </c>
      <c r="E439" t="s">
        <v>1008</v>
      </c>
      <c r="F439">
        <v>88</v>
      </c>
      <c r="G439" t="s">
        <v>1006</v>
      </c>
      <c r="H439" t="s">
        <v>1009</v>
      </c>
      <c r="I439" t="s">
        <v>11</v>
      </c>
    </row>
    <row r="440" spans="2:9" x14ac:dyDescent="0.3">
      <c r="B440">
        <v>92</v>
      </c>
      <c r="C440" t="s">
        <v>1010</v>
      </c>
      <c r="D440">
        <v>77</v>
      </c>
      <c r="E440" t="s">
        <v>1005</v>
      </c>
      <c r="F440">
        <v>85</v>
      </c>
      <c r="G440" t="s">
        <v>1011</v>
      </c>
      <c r="H440" t="s">
        <v>1015</v>
      </c>
      <c r="I440" t="s">
        <v>11</v>
      </c>
    </row>
    <row r="441" spans="2:9" x14ac:dyDescent="0.3">
      <c r="B441">
        <v>87</v>
      </c>
      <c r="C441" t="s">
        <v>1007</v>
      </c>
      <c r="D441">
        <v>77</v>
      </c>
      <c r="E441" t="s">
        <v>1005</v>
      </c>
      <c r="F441">
        <v>78</v>
      </c>
      <c r="G441" t="s">
        <v>1006</v>
      </c>
      <c r="H441" t="s">
        <v>1015</v>
      </c>
      <c r="I441" t="s">
        <v>14</v>
      </c>
    </row>
    <row r="442" spans="2:9" x14ac:dyDescent="0.3">
      <c r="B442">
        <v>88</v>
      </c>
      <c r="C442" t="s">
        <v>1007</v>
      </c>
      <c r="D442">
        <v>70</v>
      </c>
      <c r="E442" t="s">
        <v>1008</v>
      </c>
      <c r="F442">
        <v>92</v>
      </c>
      <c r="G442" t="s">
        <v>1006</v>
      </c>
      <c r="H442" t="s">
        <v>1009</v>
      </c>
      <c r="I442" t="s">
        <v>11</v>
      </c>
    </row>
    <row r="443" spans="2:9" x14ac:dyDescent="0.3">
      <c r="B443">
        <v>80</v>
      </c>
      <c r="C443" t="s">
        <v>1005</v>
      </c>
      <c r="D443">
        <v>65</v>
      </c>
      <c r="E443" t="s">
        <v>1008</v>
      </c>
      <c r="F443">
        <v>90</v>
      </c>
      <c r="G443" t="s">
        <v>1006</v>
      </c>
      <c r="H443" t="s">
        <v>1009</v>
      </c>
      <c r="I443" t="s">
        <v>11</v>
      </c>
    </row>
    <row r="444" spans="2:9" x14ac:dyDescent="0.3">
      <c r="B444">
        <v>78</v>
      </c>
      <c r="C444" t="s">
        <v>1005</v>
      </c>
      <c r="D444">
        <v>70</v>
      </c>
      <c r="E444" t="s">
        <v>1008</v>
      </c>
      <c r="F444">
        <v>95</v>
      </c>
      <c r="G444" t="s">
        <v>1006</v>
      </c>
      <c r="H444" t="s">
        <v>1009</v>
      </c>
      <c r="I444" t="s">
        <v>14</v>
      </c>
    </row>
    <row r="445" spans="2:9" x14ac:dyDescent="0.3">
      <c r="B445">
        <v>85</v>
      </c>
      <c r="C445" t="s">
        <v>1007</v>
      </c>
      <c r="D445">
        <v>77</v>
      </c>
      <c r="E445" t="s">
        <v>1005</v>
      </c>
      <c r="F445">
        <v>78</v>
      </c>
      <c r="G445" t="s">
        <v>1006</v>
      </c>
      <c r="H445" t="s">
        <v>1015</v>
      </c>
      <c r="I445" t="s">
        <v>14</v>
      </c>
    </row>
    <row r="446" spans="2:9" x14ac:dyDescent="0.3">
      <c r="B446">
        <v>72</v>
      </c>
      <c r="C446" t="s">
        <v>1005</v>
      </c>
      <c r="D446">
        <v>86</v>
      </c>
      <c r="E446" t="s">
        <v>1007</v>
      </c>
      <c r="F446">
        <v>85</v>
      </c>
      <c r="G446" t="s">
        <v>1009</v>
      </c>
      <c r="H446" t="s">
        <v>1015</v>
      </c>
      <c r="I446" t="s">
        <v>11</v>
      </c>
    </row>
    <row r="447" spans="2:9" x14ac:dyDescent="0.3">
      <c r="B447">
        <v>88</v>
      </c>
      <c r="C447" t="s">
        <v>1007</v>
      </c>
      <c r="D447">
        <v>65</v>
      </c>
      <c r="E447" t="s">
        <v>1008</v>
      </c>
      <c r="F447">
        <v>95</v>
      </c>
      <c r="G447" t="s">
        <v>1006</v>
      </c>
      <c r="H447" t="s">
        <v>1009</v>
      </c>
      <c r="I447" t="s">
        <v>14</v>
      </c>
    </row>
    <row r="448" spans="2:9" x14ac:dyDescent="0.3">
      <c r="B448">
        <v>78</v>
      </c>
      <c r="C448" t="s">
        <v>1005</v>
      </c>
      <c r="D448">
        <v>60</v>
      </c>
      <c r="E448" t="s">
        <v>1012</v>
      </c>
      <c r="F448">
        <v>70</v>
      </c>
      <c r="G448" t="s">
        <v>1006</v>
      </c>
      <c r="H448" t="s">
        <v>1016</v>
      </c>
      <c r="I448" t="s">
        <v>14</v>
      </c>
    </row>
    <row r="449" spans="2:9" x14ac:dyDescent="0.3">
      <c r="B449">
        <v>87</v>
      </c>
      <c r="C449" t="s">
        <v>1007</v>
      </c>
      <c r="D449">
        <v>60</v>
      </c>
      <c r="E449" t="s">
        <v>1012</v>
      </c>
      <c r="F449">
        <v>91</v>
      </c>
      <c r="G449" t="s">
        <v>1006</v>
      </c>
      <c r="H449" t="s">
        <v>1016</v>
      </c>
      <c r="I449" t="s">
        <v>14</v>
      </c>
    </row>
    <row r="450" spans="2:9" x14ac:dyDescent="0.3">
      <c r="B450">
        <v>80</v>
      </c>
      <c r="C450" t="s">
        <v>1005</v>
      </c>
      <c r="D450">
        <v>88</v>
      </c>
      <c r="E450" t="s">
        <v>1007</v>
      </c>
      <c r="F450">
        <v>82</v>
      </c>
      <c r="G450" t="s">
        <v>1006</v>
      </c>
      <c r="H450" t="s">
        <v>1015</v>
      </c>
      <c r="I450" t="s">
        <v>11</v>
      </c>
    </row>
    <row r="451" spans="2:9" x14ac:dyDescent="0.3">
      <c r="B451">
        <v>85</v>
      </c>
      <c r="C451" t="s">
        <v>1007</v>
      </c>
      <c r="D451">
        <v>60</v>
      </c>
      <c r="E451" t="s">
        <v>1012</v>
      </c>
      <c r="F451">
        <v>85</v>
      </c>
      <c r="G451" t="s">
        <v>1006</v>
      </c>
      <c r="H451" t="s">
        <v>1016</v>
      </c>
      <c r="I451" t="s">
        <v>11</v>
      </c>
    </row>
    <row r="452" spans="2:9" x14ac:dyDescent="0.3">
      <c r="B452">
        <v>68</v>
      </c>
      <c r="C452" t="s">
        <v>1008</v>
      </c>
      <c r="D452">
        <v>82</v>
      </c>
      <c r="E452" t="s">
        <v>1007</v>
      </c>
      <c r="F452">
        <v>91</v>
      </c>
      <c r="G452" t="s">
        <v>1009</v>
      </c>
      <c r="H452" t="s">
        <v>1015</v>
      </c>
      <c r="I452" t="s">
        <v>14</v>
      </c>
    </row>
    <row r="453" spans="2:9" x14ac:dyDescent="0.3">
      <c r="B453">
        <v>92</v>
      </c>
      <c r="C453" t="s">
        <v>1010</v>
      </c>
      <c r="D453">
        <v>86</v>
      </c>
      <c r="E453" t="s">
        <v>1007</v>
      </c>
      <c r="F453">
        <v>92</v>
      </c>
      <c r="G453" t="s">
        <v>1011</v>
      </c>
      <c r="H453" t="s">
        <v>1015</v>
      </c>
      <c r="I453" t="s">
        <v>14</v>
      </c>
    </row>
    <row r="454" spans="2:9" x14ac:dyDescent="0.3">
      <c r="B454">
        <v>90</v>
      </c>
      <c r="C454" t="s">
        <v>1007</v>
      </c>
      <c r="D454">
        <v>85</v>
      </c>
      <c r="E454" t="s">
        <v>1007</v>
      </c>
      <c r="F454">
        <v>85</v>
      </c>
      <c r="G454" t="s">
        <v>1006</v>
      </c>
      <c r="H454" t="s">
        <v>1015</v>
      </c>
      <c r="I454" t="s">
        <v>11</v>
      </c>
    </row>
    <row r="455" spans="2:9" x14ac:dyDescent="0.3">
      <c r="B455">
        <v>72</v>
      </c>
      <c r="C455" t="s">
        <v>1005</v>
      </c>
      <c r="D455">
        <v>70</v>
      </c>
      <c r="E455" t="s">
        <v>1008</v>
      </c>
      <c r="F455">
        <v>90</v>
      </c>
      <c r="G455" t="s">
        <v>1009</v>
      </c>
      <c r="H455" t="s">
        <v>1009</v>
      </c>
      <c r="I455" t="s">
        <v>11</v>
      </c>
    </row>
    <row r="456" spans="2:9" x14ac:dyDescent="0.3">
      <c r="B456">
        <v>80</v>
      </c>
      <c r="C456" t="s">
        <v>1005</v>
      </c>
      <c r="D456">
        <v>77</v>
      </c>
      <c r="E456" t="s">
        <v>1005</v>
      </c>
      <c r="F456">
        <v>91</v>
      </c>
      <c r="G456" t="s">
        <v>1006</v>
      </c>
      <c r="H456" t="s">
        <v>1015</v>
      </c>
      <c r="I456" t="s">
        <v>977</v>
      </c>
    </row>
    <row r="457" spans="2:9" x14ac:dyDescent="0.3">
      <c r="B457">
        <v>88</v>
      </c>
      <c r="C457" t="s">
        <v>1007</v>
      </c>
      <c r="D457">
        <v>70</v>
      </c>
      <c r="E457" t="s">
        <v>1008</v>
      </c>
      <c r="F457">
        <v>95</v>
      </c>
      <c r="G457" t="s">
        <v>1006</v>
      </c>
      <c r="H457" t="s">
        <v>1009</v>
      </c>
      <c r="I457" t="s">
        <v>14</v>
      </c>
    </row>
    <row r="458" spans="2:9" x14ac:dyDescent="0.3">
      <c r="B458">
        <v>78</v>
      </c>
      <c r="C458" t="s">
        <v>1005</v>
      </c>
      <c r="D458">
        <v>77</v>
      </c>
      <c r="E458" t="s">
        <v>1005</v>
      </c>
      <c r="F458">
        <v>95</v>
      </c>
      <c r="G458" t="s">
        <v>1006</v>
      </c>
      <c r="H458" t="s">
        <v>1015</v>
      </c>
      <c r="I458" t="s">
        <v>11</v>
      </c>
    </row>
    <row r="459" spans="2:9" x14ac:dyDescent="0.3">
      <c r="B459">
        <v>80</v>
      </c>
      <c r="C459" t="s">
        <v>1005</v>
      </c>
      <c r="D459">
        <v>88</v>
      </c>
      <c r="E459" t="s">
        <v>1007</v>
      </c>
      <c r="F459">
        <v>95</v>
      </c>
      <c r="G459" t="s">
        <v>1006</v>
      </c>
      <c r="H459" t="s">
        <v>1015</v>
      </c>
      <c r="I459" t="s">
        <v>11</v>
      </c>
    </row>
    <row r="460" spans="2:9" x14ac:dyDescent="0.3">
      <c r="B460">
        <v>78</v>
      </c>
      <c r="C460" t="s">
        <v>1005</v>
      </c>
      <c r="D460">
        <v>85</v>
      </c>
      <c r="E460" t="s">
        <v>1007</v>
      </c>
      <c r="F460">
        <v>70</v>
      </c>
      <c r="G460" t="s">
        <v>1006</v>
      </c>
      <c r="H460" t="s">
        <v>1015</v>
      </c>
      <c r="I460" t="s">
        <v>11</v>
      </c>
    </row>
    <row r="461" spans="2:9" x14ac:dyDescent="0.3">
      <c r="B461">
        <v>92</v>
      </c>
      <c r="C461" t="s">
        <v>1010</v>
      </c>
      <c r="D461">
        <v>90</v>
      </c>
      <c r="E461" t="s">
        <v>1007</v>
      </c>
      <c r="F461">
        <v>85</v>
      </c>
      <c r="G461" t="s">
        <v>1011</v>
      </c>
      <c r="H461" t="s">
        <v>1015</v>
      </c>
      <c r="I461" t="s">
        <v>11</v>
      </c>
    </row>
    <row r="462" spans="2:9" x14ac:dyDescent="0.3">
      <c r="B462">
        <v>72</v>
      </c>
      <c r="C462" t="s">
        <v>1005</v>
      </c>
      <c r="D462">
        <v>77</v>
      </c>
      <c r="E462" t="s">
        <v>1005</v>
      </c>
      <c r="F462">
        <v>90</v>
      </c>
      <c r="G462" t="s">
        <v>1009</v>
      </c>
      <c r="H462" t="s">
        <v>1015</v>
      </c>
      <c r="I462" t="s">
        <v>11</v>
      </c>
    </row>
    <row r="463" spans="2:9" x14ac:dyDescent="0.3">
      <c r="B463">
        <v>85</v>
      </c>
      <c r="C463" t="s">
        <v>1007</v>
      </c>
      <c r="D463">
        <v>77</v>
      </c>
      <c r="E463" t="s">
        <v>1005</v>
      </c>
      <c r="F463">
        <v>91</v>
      </c>
      <c r="G463" t="s">
        <v>1006</v>
      </c>
      <c r="H463" t="s">
        <v>1015</v>
      </c>
      <c r="I463" t="s">
        <v>14</v>
      </c>
    </row>
    <row r="464" spans="2:9" x14ac:dyDescent="0.3">
      <c r="B464">
        <v>62</v>
      </c>
      <c r="C464" t="s">
        <v>1008</v>
      </c>
      <c r="D464">
        <v>78</v>
      </c>
      <c r="E464" t="s">
        <v>1005</v>
      </c>
      <c r="F464">
        <v>85</v>
      </c>
      <c r="G464" t="s">
        <v>1009</v>
      </c>
      <c r="H464" t="s">
        <v>1015</v>
      </c>
      <c r="I464" t="s">
        <v>14</v>
      </c>
    </row>
    <row r="465" spans="2:9" x14ac:dyDescent="0.3">
      <c r="B465">
        <v>92</v>
      </c>
      <c r="C465" t="s">
        <v>1010</v>
      </c>
      <c r="D465">
        <v>88</v>
      </c>
      <c r="E465" t="s">
        <v>1007</v>
      </c>
      <c r="F465">
        <v>82</v>
      </c>
      <c r="G465" t="s">
        <v>1011</v>
      </c>
      <c r="H465" t="s">
        <v>1015</v>
      </c>
      <c r="I465" t="s">
        <v>11</v>
      </c>
    </row>
    <row r="466" spans="2:9" x14ac:dyDescent="0.3">
      <c r="B466">
        <v>78</v>
      </c>
      <c r="C466" t="s">
        <v>1005</v>
      </c>
      <c r="D466">
        <v>77.598759048603924</v>
      </c>
      <c r="E466" t="s">
        <v>1005</v>
      </c>
      <c r="F466">
        <v>78</v>
      </c>
      <c r="G466" t="s">
        <v>1006</v>
      </c>
      <c r="H466" t="s">
        <v>1015</v>
      </c>
      <c r="I466" t="s">
        <v>14</v>
      </c>
    </row>
    <row r="467" spans="2:9" x14ac:dyDescent="0.3">
      <c r="B467">
        <v>62</v>
      </c>
      <c r="C467" t="s">
        <v>1008</v>
      </c>
      <c r="D467">
        <v>60</v>
      </c>
      <c r="E467" t="s">
        <v>1012</v>
      </c>
      <c r="F467">
        <v>70</v>
      </c>
      <c r="G467" t="s">
        <v>1009</v>
      </c>
      <c r="H467" t="s">
        <v>1016</v>
      </c>
      <c r="I467" t="s">
        <v>977</v>
      </c>
    </row>
    <row r="468" spans="2:9" x14ac:dyDescent="0.3">
      <c r="B468">
        <v>92</v>
      </c>
      <c r="C468" t="s">
        <v>1010</v>
      </c>
      <c r="D468">
        <v>70</v>
      </c>
      <c r="E468" t="s">
        <v>1008</v>
      </c>
      <c r="F468">
        <v>88</v>
      </c>
      <c r="G468" t="s">
        <v>1011</v>
      </c>
      <c r="H468" t="s">
        <v>1009</v>
      </c>
      <c r="I468" t="s">
        <v>11</v>
      </c>
    </row>
    <row r="469" spans="2:9" x14ac:dyDescent="0.3">
      <c r="B469">
        <v>72</v>
      </c>
      <c r="C469" t="s">
        <v>1005</v>
      </c>
      <c r="D469">
        <v>77</v>
      </c>
      <c r="E469" t="s">
        <v>1005</v>
      </c>
      <c r="F469">
        <v>78</v>
      </c>
      <c r="G469" t="s">
        <v>1009</v>
      </c>
      <c r="H469" t="s">
        <v>1015</v>
      </c>
      <c r="I469" t="s">
        <v>11</v>
      </c>
    </row>
    <row r="470" spans="2:9" x14ac:dyDescent="0.3">
      <c r="B470">
        <v>68</v>
      </c>
      <c r="C470" t="s">
        <v>1008</v>
      </c>
      <c r="D470">
        <v>78</v>
      </c>
      <c r="E470" t="s">
        <v>1005</v>
      </c>
      <c r="F470">
        <v>82</v>
      </c>
      <c r="G470" t="s">
        <v>1009</v>
      </c>
      <c r="H470" t="s">
        <v>1015</v>
      </c>
      <c r="I470" t="s">
        <v>14</v>
      </c>
    </row>
    <row r="471" spans="2:9" x14ac:dyDescent="0.3">
      <c r="B471">
        <v>72</v>
      </c>
      <c r="C471" t="s">
        <v>1005</v>
      </c>
      <c r="D471">
        <v>88</v>
      </c>
      <c r="E471" t="s">
        <v>1007</v>
      </c>
      <c r="F471">
        <v>95</v>
      </c>
      <c r="G471" t="s">
        <v>1009</v>
      </c>
      <c r="H471" t="s">
        <v>1015</v>
      </c>
      <c r="I471" t="s">
        <v>14</v>
      </c>
    </row>
    <row r="472" spans="2:9" x14ac:dyDescent="0.3">
      <c r="B472">
        <v>88</v>
      </c>
      <c r="C472" t="s">
        <v>1007</v>
      </c>
      <c r="D472">
        <v>86</v>
      </c>
      <c r="E472" t="s">
        <v>1007</v>
      </c>
      <c r="F472">
        <v>90</v>
      </c>
      <c r="G472" t="s">
        <v>1006</v>
      </c>
      <c r="H472" t="s">
        <v>1015</v>
      </c>
      <c r="I472" t="s">
        <v>14</v>
      </c>
    </row>
    <row r="473" spans="2:9" x14ac:dyDescent="0.3">
      <c r="B473">
        <v>62</v>
      </c>
      <c r="C473" t="s">
        <v>1008</v>
      </c>
      <c r="D473">
        <v>77</v>
      </c>
      <c r="E473" t="s">
        <v>1005</v>
      </c>
      <c r="F473">
        <v>95</v>
      </c>
      <c r="G473" t="s">
        <v>1009</v>
      </c>
      <c r="H473" t="s">
        <v>1015</v>
      </c>
      <c r="I473" t="s">
        <v>14</v>
      </c>
    </row>
    <row r="474" spans="2:9" x14ac:dyDescent="0.3">
      <c r="B474">
        <v>87</v>
      </c>
      <c r="C474" t="s">
        <v>1007</v>
      </c>
      <c r="D474">
        <v>86</v>
      </c>
      <c r="E474" t="s">
        <v>1007</v>
      </c>
      <c r="F474">
        <v>70</v>
      </c>
      <c r="G474" t="s">
        <v>1006</v>
      </c>
      <c r="H474" t="s">
        <v>1015</v>
      </c>
      <c r="I474" t="s">
        <v>14</v>
      </c>
    </row>
    <row r="475" spans="2:9" x14ac:dyDescent="0.3">
      <c r="B475">
        <v>90</v>
      </c>
      <c r="C475" t="s">
        <v>1007</v>
      </c>
      <c r="D475">
        <v>60</v>
      </c>
      <c r="E475" t="s">
        <v>1012</v>
      </c>
      <c r="F475">
        <v>88</v>
      </c>
      <c r="G475" t="s">
        <v>1006</v>
      </c>
      <c r="H475" t="s">
        <v>1016</v>
      </c>
      <c r="I475" t="s">
        <v>14</v>
      </c>
    </row>
    <row r="476" spans="2:9" x14ac:dyDescent="0.3">
      <c r="B476">
        <v>85</v>
      </c>
      <c r="C476" t="s">
        <v>1007</v>
      </c>
      <c r="D476">
        <v>65</v>
      </c>
      <c r="E476" t="s">
        <v>1008</v>
      </c>
      <c r="F476">
        <v>78</v>
      </c>
      <c r="G476" t="s">
        <v>1006</v>
      </c>
      <c r="H476" t="s">
        <v>1009</v>
      </c>
      <c r="I476" t="s">
        <v>11</v>
      </c>
    </row>
    <row r="477" spans="2:9" x14ac:dyDescent="0.3">
      <c r="B477">
        <v>72</v>
      </c>
      <c r="C477" t="s">
        <v>1005</v>
      </c>
      <c r="D477">
        <v>85</v>
      </c>
      <c r="E477" t="s">
        <v>1007</v>
      </c>
      <c r="F477">
        <v>70</v>
      </c>
      <c r="G477" t="s">
        <v>1009</v>
      </c>
      <c r="H477" t="s">
        <v>1015</v>
      </c>
      <c r="I477" t="s">
        <v>977</v>
      </c>
    </row>
    <row r="478" spans="2:9" x14ac:dyDescent="0.3">
      <c r="B478">
        <v>62</v>
      </c>
      <c r="C478" t="s">
        <v>1008</v>
      </c>
      <c r="D478">
        <v>86</v>
      </c>
      <c r="E478" t="s">
        <v>1007</v>
      </c>
      <c r="F478">
        <v>90</v>
      </c>
      <c r="G478" t="s">
        <v>1009</v>
      </c>
      <c r="H478" t="s">
        <v>1015</v>
      </c>
      <c r="I478" t="s">
        <v>11</v>
      </c>
    </row>
    <row r="479" spans="2:9" x14ac:dyDescent="0.3">
      <c r="B479">
        <v>90</v>
      </c>
      <c r="C479" t="s">
        <v>1007</v>
      </c>
      <c r="D479">
        <v>65</v>
      </c>
      <c r="E479" t="s">
        <v>1008</v>
      </c>
      <c r="F479">
        <v>78</v>
      </c>
      <c r="G479" t="s">
        <v>1006</v>
      </c>
      <c r="H479" t="s">
        <v>1009</v>
      </c>
      <c r="I479" t="s">
        <v>11</v>
      </c>
    </row>
    <row r="480" spans="2:9" x14ac:dyDescent="0.3">
      <c r="B480">
        <v>88</v>
      </c>
      <c r="C480" t="s">
        <v>1007</v>
      </c>
      <c r="D480">
        <v>65</v>
      </c>
      <c r="E480" t="s">
        <v>1008</v>
      </c>
      <c r="F480">
        <v>82</v>
      </c>
      <c r="G480" t="s">
        <v>1006</v>
      </c>
      <c r="H480" t="s">
        <v>1009</v>
      </c>
      <c r="I480" t="s">
        <v>14</v>
      </c>
    </row>
    <row r="481" spans="2:9" x14ac:dyDescent="0.3">
      <c r="B481">
        <v>78</v>
      </c>
      <c r="C481" t="s">
        <v>1005</v>
      </c>
      <c r="D481">
        <v>70</v>
      </c>
      <c r="E481" t="s">
        <v>1008</v>
      </c>
      <c r="F481">
        <v>95</v>
      </c>
      <c r="G481" t="s">
        <v>1006</v>
      </c>
      <c r="H481" t="s">
        <v>1009</v>
      </c>
      <c r="I481" t="s">
        <v>14</v>
      </c>
    </row>
    <row r="482" spans="2:9" x14ac:dyDescent="0.3">
      <c r="B482">
        <v>85</v>
      </c>
      <c r="C482" t="s">
        <v>1007</v>
      </c>
      <c r="D482">
        <v>70</v>
      </c>
      <c r="E482" t="s">
        <v>1008</v>
      </c>
      <c r="F482">
        <v>85</v>
      </c>
      <c r="G482" t="s">
        <v>1006</v>
      </c>
      <c r="H482" t="s">
        <v>1009</v>
      </c>
      <c r="I482" t="s">
        <v>977</v>
      </c>
    </row>
    <row r="483" spans="2:9" x14ac:dyDescent="0.3">
      <c r="B483">
        <v>80</v>
      </c>
      <c r="C483" t="s">
        <v>1005</v>
      </c>
      <c r="D483">
        <v>82</v>
      </c>
      <c r="E483" t="s">
        <v>1007</v>
      </c>
      <c r="F483">
        <v>85</v>
      </c>
      <c r="G483" t="s">
        <v>1006</v>
      </c>
      <c r="H483" t="s">
        <v>1015</v>
      </c>
      <c r="I483" t="s">
        <v>14</v>
      </c>
    </row>
    <row r="484" spans="2:9" x14ac:dyDescent="0.3">
      <c r="B484">
        <v>85</v>
      </c>
      <c r="C484" t="s">
        <v>1007</v>
      </c>
      <c r="D484">
        <v>60</v>
      </c>
      <c r="E484" t="s">
        <v>1012</v>
      </c>
      <c r="F484">
        <v>92</v>
      </c>
      <c r="G484" t="s">
        <v>1006</v>
      </c>
      <c r="H484" t="s">
        <v>1016</v>
      </c>
      <c r="I484" t="s">
        <v>14</v>
      </c>
    </row>
    <row r="485" spans="2:9" x14ac:dyDescent="0.3">
      <c r="B485">
        <v>87</v>
      </c>
      <c r="C485" t="s">
        <v>1007</v>
      </c>
      <c r="D485">
        <v>82</v>
      </c>
      <c r="E485" t="s">
        <v>1007</v>
      </c>
      <c r="F485">
        <v>88</v>
      </c>
      <c r="G485" t="s">
        <v>1006</v>
      </c>
      <c r="H485" t="s">
        <v>1015</v>
      </c>
      <c r="I485" t="s">
        <v>14</v>
      </c>
    </row>
    <row r="486" spans="2:9" x14ac:dyDescent="0.3">
      <c r="B486">
        <v>80</v>
      </c>
      <c r="C486" t="s">
        <v>1005</v>
      </c>
      <c r="D486">
        <v>77</v>
      </c>
      <c r="E486" t="s">
        <v>1005</v>
      </c>
      <c r="F486">
        <v>88</v>
      </c>
      <c r="G486" t="s">
        <v>1006</v>
      </c>
      <c r="H486" t="s">
        <v>1015</v>
      </c>
      <c r="I486" t="s">
        <v>14</v>
      </c>
    </row>
    <row r="487" spans="2:9" x14ac:dyDescent="0.3">
      <c r="B487">
        <v>80</v>
      </c>
      <c r="C487" t="s">
        <v>1005</v>
      </c>
      <c r="D487">
        <v>65</v>
      </c>
      <c r="E487" t="s">
        <v>1008</v>
      </c>
      <c r="F487">
        <v>88</v>
      </c>
      <c r="G487" t="s">
        <v>1006</v>
      </c>
      <c r="H487" t="s">
        <v>1009</v>
      </c>
      <c r="I487" t="s">
        <v>11</v>
      </c>
    </row>
    <row r="488" spans="2:9" x14ac:dyDescent="0.3">
      <c r="B488">
        <v>78</v>
      </c>
      <c r="C488" t="s">
        <v>1005</v>
      </c>
      <c r="D488">
        <v>82</v>
      </c>
      <c r="E488" t="s">
        <v>1007</v>
      </c>
      <c r="F488">
        <v>95</v>
      </c>
      <c r="G488" t="s">
        <v>1006</v>
      </c>
      <c r="H488" t="s">
        <v>1015</v>
      </c>
      <c r="I488" t="s">
        <v>11</v>
      </c>
    </row>
    <row r="489" spans="2:9" x14ac:dyDescent="0.3">
      <c r="B489">
        <v>78</v>
      </c>
      <c r="C489" t="s">
        <v>1005</v>
      </c>
      <c r="D489">
        <v>60</v>
      </c>
      <c r="E489" t="s">
        <v>1012</v>
      </c>
      <c r="F489">
        <v>85</v>
      </c>
      <c r="G489" t="s">
        <v>1006</v>
      </c>
      <c r="H489" t="s">
        <v>1016</v>
      </c>
      <c r="I489" t="s">
        <v>11</v>
      </c>
    </row>
    <row r="490" spans="2:9" x14ac:dyDescent="0.3">
      <c r="B490">
        <v>80</v>
      </c>
      <c r="C490" t="s">
        <v>1005</v>
      </c>
      <c r="D490">
        <v>77</v>
      </c>
      <c r="E490" t="s">
        <v>1005</v>
      </c>
      <c r="F490">
        <v>92</v>
      </c>
      <c r="G490" t="s">
        <v>1006</v>
      </c>
      <c r="H490" t="s">
        <v>1015</v>
      </c>
      <c r="I490" t="s">
        <v>11</v>
      </c>
    </row>
    <row r="491" spans="2:9" x14ac:dyDescent="0.3">
      <c r="B491">
        <v>80</v>
      </c>
      <c r="C491" t="s">
        <v>1005</v>
      </c>
      <c r="D491">
        <v>82</v>
      </c>
      <c r="E491" t="s">
        <v>1007</v>
      </c>
      <c r="F491">
        <v>85</v>
      </c>
      <c r="G491" t="s">
        <v>1006</v>
      </c>
      <c r="H491" t="s">
        <v>1015</v>
      </c>
      <c r="I491" t="s">
        <v>11</v>
      </c>
    </row>
    <row r="492" spans="2:9" x14ac:dyDescent="0.3">
      <c r="B492">
        <v>92</v>
      </c>
      <c r="C492" t="s">
        <v>1010</v>
      </c>
      <c r="D492">
        <v>88</v>
      </c>
      <c r="E492" t="s">
        <v>1007</v>
      </c>
      <c r="F492">
        <v>88</v>
      </c>
      <c r="G492" t="s">
        <v>1011</v>
      </c>
      <c r="H492" t="s">
        <v>1015</v>
      </c>
      <c r="I492" t="s">
        <v>14</v>
      </c>
    </row>
    <row r="493" spans="2:9" x14ac:dyDescent="0.3">
      <c r="B493">
        <v>92</v>
      </c>
      <c r="C493" t="s">
        <v>1010</v>
      </c>
      <c r="D493">
        <v>86</v>
      </c>
      <c r="E493" t="s">
        <v>1007</v>
      </c>
      <c r="F493">
        <v>78</v>
      </c>
      <c r="G493" t="s">
        <v>1011</v>
      </c>
      <c r="H493" t="s">
        <v>1015</v>
      </c>
      <c r="I493" t="s">
        <v>11</v>
      </c>
    </row>
    <row r="494" spans="2:9" x14ac:dyDescent="0.3">
      <c r="B494">
        <v>88</v>
      </c>
      <c r="C494" t="s">
        <v>1007</v>
      </c>
      <c r="D494">
        <v>65</v>
      </c>
      <c r="E494" t="s">
        <v>1008</v>
      </c>
      <c r="F494">
        <v>90</v>
      </c>
      <c r="G494" t="s">
        <v>1006</v>
      </c>
      <c r="H494" t="s">
        <v>1009</v>
      </c>
      <c r="I494" t="s">
        <v>14</v>
      </c>
    </row>
    <row r="495" spans="2:9" x14ac:dyDescent="0.3">
      <c r="B495">
        <v>92</v>
      </c>
      <c r="C495" t="s">
        <v>1010</v>
      </c>
      <c r="D495">
        <v>85</v>
      </c>
      <c r="E495" t="s">
        <v>1007</v>
      </c>
      <c r="F495">
        <v>78</v>
      </c>
      <c r="G495" t="s">
        <v>1011</v>
      </c>
      <c r="H495" t="s">
        <v>1015</v>
      </c>
      <c r="I495" t="s">
        <v>14</v>
      </c>
    </row>
    <row r="496" spans="2:9" x14ac:dyDescent="0.3">
      <c r="B496">
        <v>80</v>
      </c>
      <c r="C496" t="s">
        <v>1005</v>
      </c>
      <c r="D496">
        <v>88</v>
      </c>
      <c r="E496" t="s">
        <v>1007</v>
      </c>
      <c r="F496">
        <v>85</v>
      </c>
      <c r="G496" t="s">
        <v>1006</v>
      </c>
      <c r="H496" t="s">
        <v>1015</v>
      </c>
      <c r="I496" t="s">
        <v>11</v>
      </c>
    </row>
    <row r="497" spans="2:9" x14ac:dyDescent="0.3">
      <c r="B497">
        <v>80.030208333333334</v>
      </c>
      <c r="C497" t="s">
        <v>1007</v>
      </c>
      <c r="D497">
        <v>65</v>
      </c>
      <c r="E497" t="s">
        <v>1008</v>
      </c>
      <c r="F497">
        <v>92</v>
      </c>
      <c r="G497" t="s">
        <v>1006</v>
      </c>
      <c r="H497" t="s">
        <v>1009</v>
      </c>
      <c r="I497" t="s">
        <v>14</v>
      </c>
    </row>
    <row r="498" spans="2:9" x14ac:dyDescent="0.3">
      <c r="B498">
        <v>78</v>
      </c>
      <c r="C498" t="s">
        <v>1005</v>
      </c>
      <c r="D498">
        <v>82</v>
      </c>
      <c r="E498" t="s">
        <v>1007</v>
      </c>
      <c r="F498">
        <v>85</v>
      </c>
      <c r="G498" t="s">
        <v>1006</v>
      </c>
      <c r="H498" t="s">
        <v>1015</v>
      </c>
      <c r="I498" t="s">
        <v>11</v>
      </c>
    </row>
    <row r="499" spans="2:9" x14ac:dyDescent="0.3">
      <c r="B499">
        <v>87</v>
      </c>
      <c r="C499" t="s">
        <v>1007</v>
      </c>
      <c r="D499">
        <v>86</v>
      </c>
      <c r="E499" t="s">
        <v>1007</v>
      </c>
      <c r="F499">
        <v>91</v>
      </c>
      <c r="G499" t="s">
        <v>1006</v>
      </c>
      <c r="H499" t="s">
        <v>1015</v>
      </c>
      <c r="I499" t="s">
        <v>11</v>
      </c>
    </row>
    <row r="500" spans="2:9" x14ac:dyDescent="0.3">
      <c r="B500">
        <v>62</v>
      </c>
      <c r="C500" t="s">
        <v>1008</v>
      </c>
      <c r="D500">
        <v>86</v>
      </c>
      <c r="E500" t="s">
        <v>1007</v>
      </c>
      <c r="F500">
        <v>82</v>
      </c>
      <c r="G500" t="s">
        <v>1009</v>
      </c>
      <c r="H500" t="s">
        <v>1015</v>
      </c>
      <c r="I500" t="s">
        <v>14</v>
      </c>
    </row>
    <row r="501" spans="2:9" x14ac:dyDescent="0.3">
      <c r="B501">
        <v>87</v>
      </c>
      <c r="C501" t="s">
        <v>1007</v>
      </c>
      <c r="D501">
        <v>65</v>
      </c>
      <c r="E501" t="s">
        <v>1008</v>
      </c>
      <c r="F501">
        <v>85</v>
      </c>
      <c r="G501" t="s">
        <v>1006</v>
      </c>
      <c r="H501" t="s">
        <v>1009</v>
      </c>
      <c r="I501" t="s">
        <v>11</v>
      </c>
    </row>
    <row r="502" spans="2:9" x14ac:dyDescent="0.3">
      <c r="B502">
        <v>90</v>
      </c>
      <c r="C502" t="s">
        <v>1007</v>
      </c>
      <c r="D502">
        <v>86</v>
      </c>
      <c r="E502" t="s">
        <v>1007</v>
      </c>
      <c r="F502">
        <v>82</v>
      </c>
      <c r="G502" t="s">
        <v>1006</v>
      </c>
      <c r="H502" t="s">
        <v>1015</v>
      </c>
      <c r="I502" t="s">
        <v>14</v>
      </c>
    </row>
    <row r="503" spans="2:9" x14ac:dyDescent="0.3">
      <c r="B503">
        <v>72</v>
      </c>
      <c r="C503" t="s">
        <v>1005</v>
      </c>
      <c r="D503">
        <v>77</v>
      </c>
      <c r="E503" t="s">
        <v>1005</v>
      </c>
      <c r="F503">
        <v>85</v>
      </c>
      <c r="G503" t="s">
        <v>1009</v>
      </c>
      <c r="H503" t="s">
        <v>1015</v>
      </c>
      <c r="I503" t="s">
        <v>11</v>
      </c>
    </row>
    <row r="504" spans="2:9" x14ac:dyDescent="0.3">
      <c r="B504">
        <v>92</v>
      </c>
      <c r="C504" t="s">
        <v>1010</v>
      </c>
      <c r="D504">
        <v>85</v>
      </c>
      <c r="E504" t="s">
        <v>1007</v>
      </c>
      <c r="F504">
        <v>82</v>
      </c>
      <c r="G504" t="s">
        <v>1011</v>
      </c>
      <c r="H504" t="s">
        <v>1015</v>
      </c>
      <c r="I504" t="s">
        <v>14</v>
      </c>
    </row>
    <row r="505" spans="2:9" x14ac:dyDescent="0.3">
      <c r="B505">
        <v>68</v>
      </c>
      <c r="C505" t="s">
        <v>1008</v>
      </c>
      <c r="D505">
        <v>70</v>
      </c>
      <c r="E505" t="s">
        <v>1008</v>
      </c>
      <c r="F505">
        <v>92</v>
      </c>
      <c r="G505" t="s">
        <v>1009</v>
      </c>
      <c r="H505" t="s">
        <v>1009</v>
      </c>
      <c r="I505" t="s">
        <v>14</v>
      </c>
    </row>
    <row r="506" spans="2:9" x14ac:dyDescent="0.3">
      <c r="B506">
        <v>72</v>
      </c>
      <c r="C506" t="s">
        <v>1005</v>
      </c>
      <c r="D506">
        <v>85</v>
      </c>
      <c r="E506" t="s">
        <v>1007</v>
      </c>
      <c r="F506">
        <v>85</v>
      </c>
      <c r="G506" t="s">
        <v>1009</v>
      </c>
      <c r="H506" t="s">
        <v>1015</v>
      </c>
      <c r="I506" t="s">
        <v>14</v>
      </c>
    </row>
    <row r="507" spans="2:9" x14ac:dyDescent="0.3">
      <c r="B507">
        <v>62</v>
      </c>
      <c r="C507" t="s">
        <v>1008</v>
      </c>
      <c r="D507">
        <v>70</v>
      </c>
      <c r="E507" t="s">
        <v>1008</v>
      </c>
      <c r="F507">
        <v>95</v>
      </c>
      <c r="G507" t="s">
        <v>1009</v>
      </c>
      <c r="H507" t="s">
        <v>1009</v>
      </c>
      <c r="I507" t="s">
        <v>14</v>
      </c>
    </row>
    <row r="508" spans="2:9" x14ac:dyDescent="0.3">
      <c r="B508">
        <v>78</v>
      </c>
      <c r="C508" t="s">
        <v>1005</v>
      </c>
      <c r="D508">
        <v>82</v>
      </c>
      <c r="E508" t="s">
        <v>1007</v>
      </c>
      <c r="F508">
        <v>70</v>
      </c>
      <c r="G508" t="s">
        <v>1006</v>
      </c>
      <c r="H508" t="s">
        <v>1015</v>
      </c>
      <c r="I508" t="s">
        <v>11</v>
      </c>
    </row>
    <row r="509" spans="2:9" x14ac:dyDescent="0.3">
      <c r="B509">
        <v>92</v>
      </c>
      <c r="C509" t="s">
        <v>1010</v>
      </c>
      <c r="D509">
        <v>82</v>
      </c>
      <c r="E509" t="s">
        <v>1007</v>
      </c>
      <c r="F509">
        <v>82</v>
      </c>
      <c r="G509" t="s">
        <v>1011</v>
      </c>
      <c r="H509" t="s">
        <v>1015</v>
      </c>
      <c r="I509" t="s">
        <v>11</v>
      </c>
    </row>
    <row r="510" spans="2:9" x14ac:dyDescent="0.3">
      <c r="B510">
        <v>68</v>
      </c>
      <c r="C510" t="s">
        <v>1008</v>
      </c>
      <c r="D510">
        <v>77</v>
      </c>
      <c r="E510" t="s">
        <v>1005</v>
      </c>
      <c r="F510">
        <v>90</v>
      </c>
      <c r="G510" t="s">
        <v>1009</v>
      </c>
      <c r="H510" t="s">
        <v>1015</v>
      </c>
      <c r="I510" t="s">
        <v>977</v>
      </c>
    </row>
    <row r="511" spans="2:9" x14ac:dyDescent="0.3">
      <c r="B511">
        <v>92</v>
      </c>
      <c r="C511" t="s">
        <v>1010</v>
      </c>
      <c r="D511">
        <v>86</v>
      </c>
      <c r="E511" t="s">
        <v>1007</v>
      </c>
      <c r="F511">
        <v>88</v>
      </c>
      <c r="G511" t="s">
        <v>1011</v>
      </c>
      <c r="H511" t="s">
        <v>1015</v>
      </c>
      <c r="I511" t="s">
        <v>14</v>
      </c>
    </row>
    <row r="512" spans="2:9" x14ac:dyDescent="0.3">
      <c r="B512">
        <v>85</v>
      </c>
      <c r="C512" t="s">
        <v>1007</v>
      </c>
      <c r="D512">
        <v>85</v>
      </c>
      <c r="E512" t="s">
        <v>1007</v>
      </c>
      <c r="F512">
        <v>85</v>
      </c>
      <c r="G512" t="s">
        <v>1006</v>
      </c>
      <c r="H512" t="s">
        <v>1015</v>
      </c>
      <c r="I512" t="s">
        <v>11</v>
      </c>
    </row>
    <row r="513" spans="2:9" x14ac:dyDescent="0.3">
      <c r="B513">
        <v>92</v>
      </c>
      <c r="C513" t="s">
        <v>1010</v>
      </c>
      <c r="D513">
        <v>60</v>
      </c>
      <c r="E513" t="s">
        <v>1012</v>
      </c>
      <c r="F513">
        <v>95</v>
      </c>
      <c r="G513" t="s">
        <v>1011</v>
      </c>
      <c r="H513" t="s">
        <v>1016</v>
      </c>
      <c r="I513" t="s">
        <v>11</v>
      </c>
    </row>
    <row r="514" spans="2:9" x14ac:dyDescent="0.3">
      <c r="B514">
        <v>88</v>
      </c>
      <c r="C514" t="s">
        <v>1007</v>
      </c>
      <c r="D514">
        <v>78</v>
      </c>
      <c r="E514" t="s">
        <v>1005</v>
      </c>
      <c r="F514">
        <v>88</v>
      </c>
      <c r="G514" t="s">
        <v>1006</v>
      </c>
      <c r="H514" t="s">
        <v>1015</v>
      </c>
      <c r="I514" t="s">
        <v>11</v>
      </c>
    </row>
    <row r="515" spans="2:9" x14ac:dyDescent="0.3">
      <c r="B515">
        <v>87</v>
      </c>
      <c r="C515" t="s">
        <v>1007</v>
      </c>
      <c r="D515">
        <v>86</v>
      </c>
      <c r="E515" t="s">
        <v>1007</v>
      </c>
      <c r="F515">
        <v>70</v>
      </c>
      <c r="G515" t="s">
        <v>1006</v>
      </c>
      <c r="H515" t="s">
        <v>1015</v>
      </c>
      <c r="I515" t="s">
        <v>11</v>
      </c>
    </row>
    <row r="516" spans="2:9" x14ac:dyDescent="0.3">
      <c r="B516">
        <v>80</v>
      </c>
      <c r="C516" t="s">
        <v>1005</v>
      </c>
      <c r="D516">
        <v>77</v>
      </c>
      <c r="E516" t="s">
        <v>1005</v>
      </c>
      <c r="F516">
        <v>95</v>
      </c>
      <c r="G516" t="s">
        <v>1006</v>
      </c>
      <c r="H516" t="s">
        <v>1015</v>
      </c>
      <c r="I516" t="s">
        <v>11</v>
      </c>
    </row>
    <row r="517" spans="2:9" x14ac:dyDescent="0.3">
      <c r="B517">
        <v>78</v>
      </c>
      <c r="C517" t="s">
        <v>1005</v>
      </c>
      <c r="D517">
        <v>77</v>
      </c>
      <c r="E517" t="s">
        <v>1005</v>
      </c>
      <c r="F517">
        <v>78</v>
      </c>
      <c r="G517" t="s">
        <v>1006</v>
      </c>
      <c r="H517" t="s">
        <v>1015</v>
      </c>
      <c r="I517" t="s">
        <v>977</v>
      </c>
    </row>
    <row r="518" spans="2:9" x14ac:dyDescent="0.3">
      <c r="B518">
        <v>88</v>
      </c>
      <c r="C518" t="s">
        <v>1007</v>
      </c>
      <c r="D518">
        <v>82</v>
      </c>
      <c r="E518" t="s">
        <v>1007</v>
      </c>
      <c r="F518">
        <v>92</v>
      </c>
      <c r="G518" t="s">
        <v>1006</v>
      </c>
      <c r="H518" t="s">
        <v>1015</v>
      </c>
      <c r="I518" t="s">
        <v>11</v>
      </c>
    </row>
    <row r="519" spans="2:9" x14ac:dyDescent="0.3">
      <c r="B519">
        <v>80</v>
      </c>
      <c r="C519" t="s">
        <v>1005</v>
      </c>
      <c r="D519">
        <v>88</v>
      </c>
      <c r="E519" t="s">
        <v>1007</v>
      </c>
      <c r="F519">
        <v>95</v>
      </c>
      <c r="G519" t="s">
        <v>1006</v>
      </c>
      <c r="H519" t="s">
        <v>1015</v>
      </c>
      <c r="I519" t="s">
        <v>14</v>
      </c>
    </row>
    <row r="520" spans="2:9" x14ac:dyDescent="0.3">
      <c r="B520">
        <v>90</v>
      </c>
      <c r="C520" t="s">
        <v>1007</v>
      </c>
      <c r="D520">
        <v>90</v>
      </c>
      <c r="E520" t="s">
        <v>1007</v>
      </c>
      <c r="F520">
        <v>85</v>
      </c>
      <c r="G520" t="s">
        <v>1006</v>
      </c>
      <c r="H520" t="s">
        <v>1015</v>
      </c>
      <c r="I520" t="s">
        <v>11</v>
      </c>
    </row>
    <row r="521" spans="2:9" x14ac:dyDescent="0.3">
      <c r="B521">
        <v>90</v>
      </c>
      <c r="C521" t="s">
        <v>1007</v>
      </c>
      <c r="D521">
        <v>65</v>
      </c>
      <c r="E521" t="s">
        <v>1008</v>
      </c>
      <c r="F521">
        <v>85.510416666666671</v>
      </c>
      <c r="G521" t="s">
        <v>1006</v>
      </c>
      <c r="H521" t="s">
        <v>1009</v>
      </c>
      <c r="I521" t="s">
        <v>11</v>
      </c>
    </row>
    <row r="522" spans="2:9" x14ac:dyDescent="0.3">
      <c r="B522">
        <v>92</v>
      </c>
      <c r="C522" t="s">
        <v>1010</v>
      </c>
      <c r="D522">
        <v>90</v>
      </c>
      <c r="E522" t="s">
        <v>1007</v>
      </c>
      <c r="F522">
        <v>85</v>
      </c>
      <c r="G522" t="s">
        <v>1011</v>
      </c>
      <c r="H522" t="s">
        <v>1015</v>
      </c>
      <c r="I522" t="s">
        <v>14</v>
      </c>
    </row>
    <row r="523" spans="2:9" x14ac:dyDescent="0.3">
      <c r="B523">
        <v>72</v>
      </c>
      <c r="C523" t="s">
        <v>1005</v>
      </c>
      <c r="D523">
        <v>78</v>
      </c>
      <c r="E523" t="s">
        <v>1005</v>
      </c>
      <c r="F523">
        <v>91</v>
      </c>
      <c r="G523" t="s">
        <v>1009</v>
      </c>
      <c r="H523" t="s">
        <v>1015</v>
      </c>
      <c r="I523" t="s">
        <v>14</v>
      </c>
    </row>
    <row r="524" spans="2:9" x14ac:dyDescent="0.3">
      <c r="B524">
        <v>80</v>
      </c>
      <c r="C524" t="s">
        <v>1005</v>
      </c>
      <c r="D524">
        <v>78</v>
      </c>
      <c r="E524" t="s">
        <v>1005</v>
      </c>
      <c r="F524">
        <v>91</v>
      </c>
      <c r="G524" t="s">
        <v>1006</v>
      </c>
      <c r="H524" t="s">
        <v>1015</v>
      </c>
      <c r="I524" t="s">
        <v>11</v>
      </c>
    </row>
    <row r="525" spans="2:9" x14ac:dyDescent="0.3">
      <c r="B525">
        <v>72</v>
      </c>
      <c r="C525" t="s">
        <v>1005</v>
      </c>
      <c r="D525">
        <v>60</v>
      </c>
      <c r="E525" t="s">
        <v>1012</v>
      </c>
      <c r="F525">
        <v>85</v>
      </c>
      <c r="G525" t="s">
        <v>1009</v>
      </c>
      <c r="H525" t="s">
        <v>1016</v>
      </c>
      <c r="I525" t="s">
        <v>11</v>
      </c>
    </row>
    <row r="526" spans="2:9" x14ac:dyDescent="0.3">
      <c r="B526">
        <v>80.030208333333334</v>
      </c>
      <c r="C526" t="s">
        <v>1007</v>
      </c>
      <c r="D526">
        <v>70</v>
      </c>
      <c r="E526" t="s">
        <v>1008</v>
      </c>
      <c r="F526">
        <v>78</v>
      </c>
      <c r="G526" t="s">
        <v>1006</v>
      </c>
      <c r="H526" t="s">
        <v>1009</v>
      </c>
      <c r="I526" t="s">
        <v>11</v>
      </c>
    </row>
    <row r="527" spans="2:9" x14ac:dyDescent="0.3">
      <c r="B527">
        <v>90</v>
      </c>
      <c r="C527" t="s">
        <v>1007</v>
      </c>
      <c r="D527">
        <v>78</v>
      </c>
      <c r="E527" t="s">
        <v>1005</v>
      </c>
      <c r="F527">
        <v>70</v>
      </c>
      <c r="G527" t="s">
        <v>1006</v>
      </c>
      <c r="H527" t="s">
        <v>1015</v>
      </c>
      <c r="I527" t="s">
        <v>14</v>
      </c>
    </row>
    <row r="528" spans="2:9" x14ac:dyDescent="0.3">
      <c r="B528">
        <v>85</v>
      </c>
      <c r="C528" t="s">
        <v>1007</v>
      </c>
      <c r="D528">
        <v>60</v>
      </c>
      <c r="E528" t="s">
        <v>1012</v>
      </c>
      <c r="F528">
        <v>85</v>
      </c>
      <c r="G528" t="s">
        <v>1006</v>
      </c>
      <c r="H528" t="s">
        <v>1016</v>
      </c>
      <c r="I528" t="s">
        <v>14</v>
      </c>
    </row>
    <row r="529" spans="2:9" x14ac:dyDescent="0.3">
      <c r="B529">
        <v>92</v>
      </c>
      <c r="C529" t="s">
        <v>1010</v>
      </c>
      <c r="D529">
        <v>86</v>
      </c>
      <c r="E529" t="s">
        <v>1007</v>
      </c>
      <c r="F529">
        <v>70</v>
      </c>
      <c r="G529" t="s">
        <v>1011</v>
      </c>
      <c r="H529" t="s">
        <v>1015</v>
      </c>
      <c r="I529" t="s">
        <v>11</v>
      </c>
    </row>
    <row r="530" spans="2:9" x14ac:dyDescent="0.3">
      <c r="B530">
        <v>72</v>
      </c>
      <c r="C530" t="s">
        <v>1005</v>
      </c>
      <c r="D530">
        <v>90</v>
      </c>
      <c r="E530" t="s">
        <v>1007</v>
      </c>
      <c r="F530">
        <v>82</v>
      </c>
      <c r="G530" t="s">
        <v>1009</v>
      </c>
      <c r="H530" t="s">
        <v>1015</v>
      </c>
      <c r="I530" t="s">
        <v>14</v>
      </c>
    </row>
    <row r="531" spans="2:9" x14ac:dyDescent="0.3">
      <c r="B531">
        <v>87</v>
      </c>
      <c r="C531" t="s">
        <v>1007</v>
      </c>
      <c r="D531">
        <v>86</v>
      </c>
      <c r="E531" t="s">
        <v>1007</v>
      </c>
      <c r="F531">
        <v>70</v>
      </c>
      <c r="G531" t="s">
        <v>1006</v>
      </c>
      <c r="H531" t="s">
        <v>1015</v>
      </c>
      <c r="I531" t="s">
        <v>11</v>
      </c>
    </row>
    <row r="532" spans="2:9" x14ac:dyDescent="0.3">
      <c r="B532">
        <v>80.030208333333334</v>
      </c>
      <c r="C532" t="s">
        <v>1007</v>
      </c>
      <c r="D532">
        <v>88</v>
      </c>
      <c r="E532" t="s">
        <v>1007</v>
      </c>
      <c r="F532">
        <v>78</v>
      </c>
      <c r="G532" t="s">
        <v>1006</v>
      </c>
      <c r="H532" t="s">
        <v>1015</v>
      </c>
      <c r="I532" t="s">
        <v>14</v>
      </c>
    </row>
    <row r="533" spans="2:9" x14ac:dyDescent="0.3">
      <c r="B533">
        <v>88</v>
      </c>
      <c r="C533" t="s">
        <v>1007</v>
      </c>
      <c r="D533">
        <v>65</v>
      </c>
      <c r="E533" t="s">
        <v>1008</v>
      </c>
      <c r="F533">
        <v>85.510416666666671</v>
      </c>
      <c r="G533" t="s">
        <v>1006</v>
      </c>
      <c r="H533" t="s">
        <v>1009</v>
      </c>
      <c r="I533" t="s">
        <v>11</v>
      </c>
    </row>
    <row r="534" spans="2:9" x14ac:dyDescent="0.3">
      <c r="B534">
        <v>72</v>
      </c>
      <c r="C534" t="s">
        <v>1005</v>
      </c>
      <c r="D534">
        <v>85</v>
      </c>
      <c r="E534" t="s">
        <v>1007</v>
      </c>
      <c r="F534">
        <v>85</v>
      </c>
      <c r="G534" t="s">
        <v>1009</v>
      </c>
      <c r="H534" t="s">
        <v>1015</v>
      </c>
      <c r="I534" t="s">
        <v>11</v>
      </c>
    </row>
    <row r="535" spans="2:9" x14ac:dyDescent="0.3">
      <c r="B535">
        <v>92</v>
      </c>
      <c r="C535" t="s">
        <v>1010</v>
      </c>
      <c r="D535">
        <v>65</v>
      </c>
      <c r="E535" t="s">
        <v>1008</v>
      </c>
      <c r="F535">
        <v>85</v>
      </c>
      <c r="G535" t="s">
        <v>1011</v>
      </c>
      <c r="H535" t="s">
        <v>1009</v>
      </c>
      <c r="I535" t="s">
        <v>14</v>
      </c>
    </row>
    <row r="536" spans="2:9" x14ac:dyDescent="0.3">
      <c r="B536">
        <v>80.030208333333334</v>
      </c>
      <c r="C536" t="s">
        <v>1007</v>
      </c>
      <c r="D536">
        <v>90</v>
      </c>
      <c r="E536" t="s">
        <v>1007</v>
      </c>
      <c r="F536">
        <v>92</v>
      </c>
      <c r="G536" t="s">
        <v>1006</v>
      </c>
      <c r="H536" t="s">
        <v>1015</v>
      </c>
      <c r="I536" t="s">
        <v>14</v>
      </c>
    </row>
    <row r="537" spans="2:9" x14ac:dyDescent="0.3">
      <c r="B537">
        <v>62</v>
      </c>
      <c r="C537" t="s">
        <v>1008</v>
      </c>
      <c r="D537">
        <v>78</v>
      </c>
      <c r="E537" t="s">
        <v>1005</v>
      </c>
      <c r="F537">
        <v>70</v>
      </c>
      <c r="G537" t="s">
        <v>1009</v>
      </c>
      <c r="H537" t="s">
        <v>1015</v>
      </c>
      <c r="I537" t="s">
        <v>11</v>
      </c>
    </row>
    <row r="538" spans="2:9" x14ac:dyDescent="0.3">
      <c r="B538">
        <v>72</v>
      </c>
      <c r="C538" t="s">
        <v>1005</v>
      </c>
      <c r="D538">
        <v>78</v>
      </c>
      <c r="E538" t="s">
        <v>1005</v>
      </c>
      <c r="F538">
        <v>85</v>
      </c>
      <c r="G538" t="s">
        <v>1009</v>
      </c>
      <c r="H538" t="s">
        <v>1015</v>
      </c>
      <c r="I538" t="s">
        <v>11</v>
      </c>
    </row>
    <row r="539" spans="2:9" x14ac:dyDescent="0.3">
      <c r="B539">
        <v>85</v>
      </c>
      <c r="C539" t="s">
        <v>1007</v>
      </c>
      <c r="D539">
        <v>77</v>
      </c>
      <c r="E539" t="s">
        <v>1005</v>
      </c>
      <c r="F539">
        <v>92</v>
      </c>
      <c r="G539" t="s">
        <v>1006</v>
      </c>
      <c r="H539" t="s">
        <v>1015</v>
      </c>
      <c r="I539" t="s">
        <v>11</v>
      </c>
    </row>
    <row r="540" spans="2:9" x14ac:dyDescent="0.3">
      <c r="B540">
        <v>68</v>
      </c>
      <c r="C540" t="s">
        <v>1008</v>
      </c>
      <c r="D540">
        <v>85</v>
      </c>
      <c r="E540" t="s">
        <v>1007</v>
      </c>
      <c r="F540">
        <v>85</v>
      </c>
      <c r="G540" t="s">
        <v>1009</v>
      </c>
      <c r="H540" t="s">
        <v>1015</v>
      </c>
      <c r="I540" t="s">
        <v>11</v>
      </c>
    </row>
    <row r="541" spans="2:9" x14ac:dyDescent="0.3">
      <c r="B541">
        <v>88</v>
      </c>
      <c r="C541" t="s">
        <v>1007</v>
      </c>
      <c r="D541">
        <v>78</v>
      </c>
      <c r="E541" t="s">
        <v>1005</v>
      </c>
      <c r="F541">
        <v>95</v>
      </c>
      <c r="G541" t="s">
        <v>1006</v>
      </c>
      <c r="H541" t="s">
        <v>1015</v>
      </c>
      <c r="I541" t="s">
        <v>14</v>
      </c>
    </row>
    <row r="542" spans="2:9" x14ac:dyDescent="0.3">
      <c r="B542">
        <v>78</v>
      </c>
      <c r="C542" t="s">
        <v>1005</v>
      </c>
      <c r="D542">
        <v>85</v>
      </c>
      <c r="E542" t="s">
        <v>1007</v>
      </c>
      <c r="F542">
        <v>95</v>
      </c>
      <c r="G542" t="s">
        <v>1006</v>
      </c>
      <c r="H542" t="s">
        <v>1015</v>
      </c>
      <c r="I542" t="s">
        <v>14</v>
      </c>
    </row>
    <row r="543" spans="2:9" x14ac:dyDescent="0.3">
      <c r="B543">
        <v>90</v>
      </c>
      <c r="C543" t="s">
        <v>1007</v>
      </c>
      <c r="D543">
        <v>60</v>
      </c>
      <c r="E543" t="s">
        <v>1012</v>
      </c>
      <c r="F543">
        <v>70</v>
      </c>
      <c r="G543" t="s">
        <v>1006</v>
      </c>
      <c r="H543" t="s">
        <v>1016</v>
      </c>
      <c r="I543" t="s">
        <v>11</v>
      </c>
    </row>
    <row r="544" spans="2:9" x14ac:dyDescent="0.3">
      <c r="B544">
        <v>78</v>
      </c>
      <c r="C544" t="s">
        <v>1005</v>
      </c>
      <c r="D544">
        <v>60</v>
      </c>
      <c r="E544" t="s">
        <v>1012</v>
      </c>
      <c r="F544">
        <v>78</v>
      </c>
      <c r="G544" t="s">
        <v>1006</v>
      </c>
      <c r="H544" t="s">
        <v>1016</v>
      </c>
      <c r="I544" t="s">
        <v>11</v>
      </c>
    </row>
    <row r="545" spans="2:9" x14ac:dyDescent="0.3">
      <c r="B545">
        <v>78</v>
      </c>
      <c r="C545" t="s">
        <v>1005</v>
      </c>
      <c r="D545">
        <v>82</v>
      </c>
      <c r="E545" t="s">
        <v>1007</v>
      </c>
      <c r="F545">
        <v>85</v>
      </c>
      <c r="G545" t="s">
        <v>1006</v>
      </c>
      <c r="H545" t="s">
        <v>1015</v>
      </c>
      <c r="I545" t="s">
        <v>11</v>
      </c>
    </row>
    <row r="546" spans="2:9" x14ac:dyDescent="0.3">
      <c r="B546">
        <v>78</v>
      </c>
      <c r="C546" t="s">
        <v>1005</v>
      </c>
      <c r="D546">
        <v>77</v>
      </c>
      <c r="E546" t="s">
        <v>1005</v>
      </c>
      <c r="F546">
        <v>92</v>
      </c>
      <c r="G546" t="s">
        <v>1006</v>
      </c>
      <c r="H546" t="s">
        <v>1015</v>
      </c>
      <c r="I546" t="s">
        <v>11</v>
      </c>
    </row>
    <row r="547" spans="2:9" x14ac:dyDescent="0.3">
      <c r="B547">
        <v>68</v>
      </c>
      <c r="C547" t="s">
        <v>1008</v>
      </c>
      <c r="D547">
        <v>90</v>
      </c>
      <c r="E547" t="s">
        <v>1007</v>
      </c>
      <c r="F547">
        <v>91</v>
      </c>
      <c r="G547" t="s">
        <v>1009</v>
      </c>
      <c r="H547" t="s">
        <v>1015</v>
      </c>
      <c r="I547" t="s">
        <v>14</v>
      </c>
    </row>
    <row r="548" spans="2:9" x14ac:dyDescent="0.3">
      <c r="B548">
        <v>80</v>
      </c>
      <c r="C548" t="s">
        <v>1005</v>
      </c>
      <c r="D548">
        <v>82</v>
      </c>
      <c r="E548" t="s">
        <v>1007</v>
      </c>
      <c r="F548">
        <v>91</v>
      </c>
      <c r="G548" t="s">
        <v>1006</v>
      </c>
      <c r="H548" t="s">
        <v>1015</v>
      </c>
      <c r="I548" t="s">
        <v>11</v>
      </c>
    </row>
    <row r="549" spans="2:9" x14ac:dyDescent="0.3">
      <c r="B549">
        <v>85</v>
      </c>
      <c r="C549" t="s">
        <v>1007</v>
      </c>
      <c r="D549">
        <v>88</v>
      </c>
      <c r="E549" t="s">
        <v>1007</v>
      </c>
      <c r="F549">
        <v>85</v>
      </c>
      <c r="G549" t="s">
        <v>1006</v>
      </c>
      <c r="H549" t="s">
        <v>1015</v>
      </c>
      <c r="I549" t="s">
        <v>11</v>
      </c>
    </row>
    <row r="550" spans="2:9" x14ac:dyDescent="0.3">
      <c r="B550">
        <v>80.030208333333334</v>
      </c>
      <c r="C550" t="s">
        <v>1007</v>
      </c>
      <c r="D550">
        <v>77.598759048603924</v>
      </c>
      <c r="E550" t="s">
        <v>1005</v>
      </c>
      <c r="F550">
        <v>88</v>
      </c>
      <c r="G550" t="s">
        <v>1006</v>
      </c>
      <c r="H550" t="s">
        <v>1015</v>
      </c>
      <c r="I550" t="s">
        <v>11</v>
      </c>
    </row>
    <row r="551" spans="2:9" x14ac:dyDescent="0.3">
      <c r="B551">
        <v>88</v>
      </c>
      <c r="C551" t="s">
        <v>1007</v>
      </c>
      <c r="D551">
        <v>70</v>
      </c>
      <c r="E551" t="s">
        <v>1008</v>
      </c>
      <c r="F551">
        <v>90</v>
      </c>
      <c r="G551" t="s">
        <v>1006</v>
      </c>
      <c r="H551" t="s">
        <v>1009</v>
      </c>
      <c r="I551" t="s">
        <v>11</v>
      </c>
    </row>
    <row r="552" spans="2:9" x14ac:dyDescent="0.3">
      <c r="B552">
        <v>68</v>
      </c>
      <c r="C552" t="s">
        <v>1008</v>
      </c>
      <c r="D552">
        <v>86</v>
      </c>
      <c r="E552" t="s">
        <v>1007</v>
      </c>
      <c r="F552">
        <v>88</v>
      </c>
      <c r="G552" t="s">
        <v>1009</v>
      </c>
      <c r="H552" t="s">
        <v>1015</v>
      </c>
      <c r="I552" t="s">
        <v>14</v>
      </c>
    </row>
    <row r="553" spans="2:9" x14ac:dyDescent="0.3">
      <c r="B553">
        <v>87</v>
      </c>
      <c r="C553" t="s">
        <v>1007</v>
      </c>
      <c r="D553">
        <v>82</v>
      </c>
      <c r="E553" t="s">
        <v>1007</v>
      </c>
      <c r="F553">
        <v>91</v>
      </c>
      <c r="G553" t="s">
        <v>1006</v>
      </c>
      <c r="H553" t="s">
        <v>1015</v>
      </c>
      <c r="I553" t="s">
        <v>11</v>
      </c>
    </row>
    <row r="554" spans="2:9" x14ac:dyDescent="0.3">
      <c r="B554">
        <v>92</v>
      </c>
      <c r="C554" t="s">
        <v>1010</v>
      </c>
      <c r="D554">
        <v>88</v>
      </c>
      <c r="E554" t="s">
        <v>1007</v>
      </c>
      <c r="F554">
        <v>70</v>
      </c>
      <c r="G554" t="s">
        <v>1011</v>
      </c>
      <c r="H554" t="s">
        <v>1015</v>
      </c>
      <c r="I554" t="s">
        <v>14</v>
      </c>
    </row>
    <row r="555" spans="2:9" x14ac:dyDescent="0.3">
      <c r="B555">
        <v>80</v>
      </c>
      <c r="C555" t="s">
        <v>1005</v>
      </c>
      <c r="D555">
        <v>70</v>
      </c>
      <c r="E555" t="s">
        <v>1008</v>
      </c>
      <c r="F555">
        <v>88</v>
      </c>
      <c r="G555" t="s">
        <v>1006</v>
      </c>
      <c r="H555" t="s">
        <v>1009</v>
      </c>
      <c r="I555" t="s">
        <v>11</v>
      </c>
    </row>
    <row r="556" spans="2:9" x14ac:dyDescent="0.3">
      <c r="B556">
        <v>78</v>
      </c>
      <c r="C556" t="s">
        <v>1005</v>
      </c>
      <c r="D556">
        <v>88</v>
      </c>
      <c r="E556" t="s">
        <v>1007</v>
      </c>
      <c r="F556">
        <v>78</v>
      </c>
      <c r="G556" t="s">
        <v>1006</v>
      </c>
      <c r="H556" t="s">
        <v>1015</v>
      </c>
      <c r="I556" t="s">
        <v>11</v>
      </c>
    </row>
    <row r="557" spans="2:9" x14ac:dyDescent="0.3">
      <c r="B557">
        <v>80</v>
      </c>
      <c r="C557" t="s">
        <v>1005</v>
      </c>
      <c r="D557">
        <v>88</v>
      </c>
      <c r="E557" t="s">
        <v>1007</v>
      </c>
      <c r="F557">
        <v>85</v>
      </c>
      <c r="G557" t="s">
        <v>1006</v>
      </c>
      <c r="H557" t="s">
        <v>1015</v>
      </c>
      <c r="I557" t="s">
        <v>11</v>
      </c>
    </row>
    <row r="558" spans="2:9" x14ac:dyDescent="0.3">
      <c r="B558">
        <v>68</v>
      </c>
      <c r="C558" t="s">
        <v>1008</v>
      </c>
      <c r="D558">
        <v>77.598759048603924</v>
      </c>
      <c r="E558" t="s">
        <v>1005</v>
      </c>
      <c r="F558">
        <v>92</v>
      </c>
      <c r="G558" t="s">
        <v>1009</v>
      </c>
      <c r="H558" t="s">
        <v>1015</v>
      </c>
      <c r="I558" t="s">
        <v>11</v>
      </c>
    </row>
    <row r="559" spans="2:9" x14ac:dyDescent="0.3">
      <c r="B559">
        <v>87</v>
      </c>
      <c r="C559" t="s">
        <v>1007</v>
      </c>
      <c r="D559">
        <v>60</v>
      </c>
      <c r="E559" t="s">
        <v>1012</v>
      </c>
      <c r="F559">
        <v>91</v>
      </c>
      <c r="G559" t="s">
        <v>1006</v>
      </c>
      <c r="H559" t="s">
        <v>1016</v>
      </c>
      <c r="I559" t="s">
        <v>977</v>
      </c>
    </row>
    <row r="560" spans="2:9" x14ac:dyDescent="0.3">
      <c r="B560">
        <v>90</v>
      </c>
      <c r="C560" t="s">
        <v>1007</v>
      </c>
      <c r="D560">
        <v>85</v>
      </c>
      <c r="E560" t="s">
        <v>1007</v>
      </c>
      <c r="F560">
        <v>88</v>
      </c>
      <c r="G560" t="s">
        <v>1006</v>
      </c>
      <c r="H560" t="s">
        <v>1015</v>
      </c>
      <c r="I560" t="s">
        <v>11</v>
      </c>
    </row>
    <row r="561" spans="2:9" x14ac:dyDescent="0.3">
      <c r="B561">
        <v>80.030208333333334</v>
      </c>
      <c r="C561" t="s">
        <v>1007</v>
      </c>
      <c r="D561">
        <v>88</v>
      </c>
      <c r="E561" t="s">
        <v>1007</v>
      </c>
      <c r="F561">
        <v>78</v>
      </c>
      <c r="G561" t="s">
        <v>1006</v>
      </c>
      <c r="H561" t="s">
        <v>1015</v>
      </c>
      <c r="I561" t="s">
        <v>14</v>
      </c>
    </row>
    <row r="562" spans="2:9" x14ac:dyDescent="0.3">
      <c r="B562">
        <v>90</v>
      </c>
      <c r="C562" t="s">
        <v>1007</v>
      </c>
      <c r="D562">
        <v>77</v>
      </c>
      <c r="E562" t="s">
        <v>1005</v>
      </c>
      <c r="F562">
        <v>92</v>
      </c>
      <c r="G562" t="s">
        <v>1006</v>
      </c>
      <c r="H562" t="s">
        <v>1015</v>
      </c>
      <c r="I562" t="s">
        <v>11</v>
      </c>
    </row>
    <row r="563" spans="2:9" x14ac:dyDescent="0.3">
      <c r="B563">
        <v>85</v>
      </c>
      <c r="C563" t="s">
        <v>1007</v>
      </c>
      <c r="D563">
        <v>70</v>
      </c>
      <c r="E563" t="s">
        <v>1008</v>
      </c>
      <c r="F563">
        <v>85</v>
      </c>
      <c r="G563" t="s">
        <v>1006</v>
      </c>
      <c r="H563" t="s">
        <v>1009</v>
      </c>
      <c r="I563" t="s">
        <v>11</v>
      </c>
    </row>
    <row r="564" spans="2:9" x14ac:dyDescent="0.3">
      <c r="B564">
        <v>88</v>
      </c>
      <c r="C564" t="s">
        <v>1007</v>
      </c>
      <c r="D564">
        <v>70</v>
      </c>
      <c r="E564" t="s">
        <v>1008</v>
      </c>
      <c r="F564">
        <v>85</v>
      </c>
      <c r="G564" t="s">
        <v>1006</v>
      </c>
      <c r="H564" t="s">
        <v>1009</v>
      </c>
      <c r="I564" t="s">
        <v>14</v>
      </c>
    </row>
    <row r="565" spans="2:9" x14ac:dyDescent="0.3">
      <c r="B565">
        <v>78</v>
      </c>
      <c r="C565" t="s">
        <v>1005</v>
      </c>
      <c r="D565">
        <v>82</v>
      </c>
      <c r="E565" t="s">
        <v>1007</v>
      </c>
      <c r="F565">
        <v>92</v>
      </c>
      <c r="G565" t="s">
        <v>1006</v>
      </c>
      <c r="H565" t="s">
        <v>1015</v>
      </c>
      <c r="I565" t="s">
        <v>11</v>
      </c>
    </row>
    <row r="566" spans="2:9" x14ac:dyDescent="0.3">
      <c r="B566">
        <v>87</v>
      </c>
      <c r="C566" t="s">
        <v>1007</v>
      </c>
      <c r="D566">
        <v>86</v>
      </c>
      <c r="E566" t="s">
        <v>1007</v>
      </c>
      <c r="F566">
        <v>90</v>
      </c>
      <c r="G566" t="s">
        <v>1006</v>
      </c>
      <c r="H566" t="s">
        <v>1015</v>
      </c>
      <c r="I566" t="s">
        <v>977</v>
      </c>
    </row>
    <row r="567" spans="2:9" x14ac:dyDescent="0.3">
      <c r="B567">
        <v>85</v>
      </c>
      <c r="C567" t="s">
        <v>1007</v>
      </c>
      <c r="D567">
        <v>90</v>
      </c>
      <c r="E567" t="s">
        <v>1007</v>
      </c>
      <c r="F567">
        <v>88</v>
      </c>
      <c r="G567" t="s">
        <v>1006</v>
      </c>
      <c r="H567" t="s">
        <v>1015</v>
      </c>
      <c r="I567" t="s">
        <v>11</v>
      </c>
    </row>
    <row r="568" spans="2:9" x14ac:dyDescent="0.3">
      <c r="B568">
        <v>80</v>
      </c>
      <c r="C568" t="s">
        <v>1005</v>
      </c>
      <c r="D568">
        <v>78</v>
      </c>
      <c r="E568" t="s">
        <v>1005</v>
      </c>
      <c r="F568">
        <v>85</v>
      </c>
      <c r="G568" t="s">
        <v>1006</v>
      </c>
      <c r="H568" t="s">
        <v>1015</v>
      </c>
      <c r="I568" t="s">
        <v>11</v>
      </c>
    </row>
    <row r="569" spans="2:9" x14ac:dyDescent="0.3">
      <c r="B569">
        <v>78</v>
      </c>
      <c r="C569" t="s">
        <v>1005</v>
      </c>
      <c r="D569">
        <v>90</v>
      </c>
      <c r="E569" t="s">
        <v>1007</v>
      </c>
      <c r="F569">
        <v>88</v>
      </c>
      <c r="G569" t="s">
        <v>1006</v>
      </c>
      <c r="H569" t="s">
        <v>1015</v>
      </c>
      <c r="I569" t="s">
        <v>14</v>
      </c>
    </row>
    <row r="570" spans="2:9" x14ac:dyDescent="0.3">
      <c r="B570">
        <v>68</v>
      </c>
      <c r="C570" t="s">
        <v>1008</v>
      </c>
      <c r="D570">
        <v>77</v>
      </c>
      <c r="E570" t="s">
        <v>1005</v>
      </c>
      <c r="F570">
        <v>88</v>
      </c>
      <c r="G570" t="s">
        <v>1009</v>
      </c>
      <c r="H570" t="s">
        <v>1015</v>
      </c>
      <c r="I570" t="s">
        <v>14</v>
      </c>
    </row>
    <row r="571" spans="2:9" x14ac:dyDescent="0.3">
      <c r="B571">
        <v>80</v>
      </c>
      <c r="C571" t="s">
        <v>1005</v>
      </c>
      <c r="D571">
        <v>88</v>
      </c>
      <c r="E571" t="s">
        <v>1007</v>
      </c>
      <c r="F571">
        <v>78</v>
      </c>
      <c r="G571" t="s">
        <v>1006</v>
      </c>
      <c r="H571" t="s">
        <v>1015</v>
      </c>
      <c r="I571" t="s">
        <v>14</v>
      </c>
    </row>
    <row r="572" spans="2:9" x14ac:dyDescent="0.3">
      <c r="B572">
        <v>68</v>
      </c>
      <c r="C572" t="s">
        <v>1008</v>
      </c>
      <c r="D572">
        <v>88</v>
      </c>
      <c r="E572" t="s">
        <v>1007</v>
      </c>
      <c r="F572">
        <v>78</v>
      </c>
      <c r="G572" t="s">
        <v>1009</v>
      </c>
      <c r="H572" t="s">
        <v>1015</v>
      </c>
      <c r="I572" t="s">
        <v>14</v>
      </c>
    </row>
    <row r="573" spans="2:9" x14ac:dyDescent="0.3">
      <c r="B573">
        <v>62</v>
      </c>
      <c r="C573" t="s">
        <v>1008</v>
      </c>
      <c r="D573">
        <v>77</v>
      </c>
      <c r="E573" t="s">
        <v>1005</v>
      </c>
      <c r="F573">
        <v>88</v>
      </c>
      <c r="G573" t="s">
        <v>1009</v>
      </c>
      <c r="H573" t="s">
        <v>1015</v>
      </c>
      <c r="I573" t="s">
        <v>11</v>
      </c>
    </row>
    <row r="574" spans="2:9" x14ac:dyDescent="0.3">
      <c r="B574">
        <v>62</v>
      </c>
      <c r="C574" t="s">
        <v>1008</v>
      </c>
      <c r="D574">
        <v>90</v>
      </c>
      <c r="E574" t="s">
        <v>1007</v>
      </c>
      <c r="F574">
        <v>90</v>
      </c>
      <c r="G574" t="s">
        <v>1009</v>
      </c>
      <c r="H574" t="s">
        <v>1015</v>
      </c>
      <c r="I574" t="s">
        <v>14</v>
      </c>
    </row>
    <row r="575" spans="2:9" x14ac:dyDescent="0.3">
      <c r="B575">
        <v>78</v>
      </c>
      <c r="C575" t="s">
        <v>1005</v>
      </c>
      <c r="D575">
        <v>85</v>
      </c>
      <c r="E575" t="s">
        <v>1007</v>
      </c>
      <c r="F575">
        <v>91</v>
      </c>
      <c r="G575" t="s">
        <v>1006</v>
      </c>
      <c r="H575" t="s">
        <v>1015</v>
      </c>
      <c r="I575" t="s">
        <v>11</v>
      </c>
    </row>
    <row r="576" spans="2:9" x14ac:dyDescent="0.3">
      <c r="B576">
        <v>88</v>
      </c>
      <c r="C576" t="s">
        <v>1007</v>
      </c>
      <c r="D576">
        <v>86</v>
      </c>
      <c r="E576" t="s">
        <v>1007</v>
      </c>
      <c r="F576">
        <v>70</v>
      </c>
      <c r="G576" t="s">
        <v>1006</v>
      </c>
      <c r="H576" t="s">
        <v>1015</v>
      </c>
      <c r="I576" t="s">
        <v>14</v>
      </c>
    </row>
    <row r="577" spans="2:9" x14ac:dyDescent="0.3">
      <c r="B577">
        <v>80</v>
      </c>
      <c r="C577" t="s">
        <v>1005</v>
      </c>
      <c r="D577">
        <v>65</v>
      </c>
      <c r="E577" t="s">
        <v>1008</v>
      </c>
      <c r="F577">
        <v>90</v>
      </c>
      <c r="G577" t="s">
        <v>1006</v>
      </c>
      <c r="H577" t="s">
        <v>1009</v>
      </c>
      <c r="I577" t="s">
        <v>11</v>
      </c>
    </row>
    <row r="578" spans="2:9" x14ac:dyDescent="0.3">
      <c r="B578">
        <v>92</v>
      </c>
      <c r="C578" t="s">
        <v>1010</v>
      </c>
      <c r="D578">
        <v>86</v>
      </c>
      <c r="E578" t="s">
        <v>1007</v>
      </c>
      <c r="F578">
        <v>70</v>
      </c>
      <c r="G578" t="s">
        <v>1011</v>
      </c>
      <c r="H578" t="s">
        <v>1015</v>
      </c>
      <c r="I578" t="s">
        <v>14</v>
      </c>
    </row>
    <row r="579" spans="2:9" x14ac:dyDescent="0.3">
      <c r="B579">
        <v>72</v>
      </c>
      <c r="C579" t="s">
        <v>1005</v>
      </c>
      <c r="D579">
        <v>86</v>
      </c>
      <c r="E579" t="s">
        <v>1007</v>
      </c>
      <c r="F579">
        <v>95</v>
      </c>
      <c r="G579" t="s">
        <v>1009</v>
      </c>
      <c r="H579" t="s">
        <v>1015</v>
      </c>
      <c r="I579" t="s">
        <v>14</v>
      </c>
    </row>
    <row r="580" spans="2:9" x14ac:dyDescent="0.3">
      <c r="B580">
        <v>87</v>
      </c>
      <c r="C580" t="s">
        <v>1007</v>
      </c>
      <c r="D580">
        <v>78</v>
      </c>
      <c r="E580" t="s">
        <v>1005</v>
      </c>
      <c r="F580">
        <v>82</v>
      </c>
      <c r="G580" t="s">
        <v>1006</v>
      </c>
      <c r="H580" t="s">
        <v>1015</v>
      </c>
      <c r="I580" t="s">
        <v>14</v>
      </c>
    </row>
    <row r="581" spans="2:9" x14ac:dyDescent="0.3">
      <c r="B581">
        <v>72</v>
      </c>
      <c r="C581" t="s">
        <v>1005</v>
      </c>
      <c r="D581">
        <v>60</v>
      </c>
      <c r="E581" t="s">
        <v>1012</v>
      </c>
      <c r="F581">
        <v>95</v>
      </c>
      <c r="G581" t="s">
        <v>1009</v>
      </c>
      <c r="H581" t="s">
        <v>1016</v>
      </c>
      <c r="I581" t="s">
        <v>14</v>
      </c>
    </row>
    <row r="582" spans="2:9" x14ac:dyDescent="0.3">
      <c r="B582">
        <v>85</v>
      </c>
      <c r="C582" t="s">
        <v>1007</v>
      </c>
      <c r="D582">
        <v>88</v>
      </c>
      <c r="E582" t="s">
        <v>1007</v>
      </c>
      <c r="F582">
        <v>82</v>
      </c>
      <c r="G582" t="s">
        <v>1006</v>
      </c>
      <c r="H582" t="s">
        <v>1015</v>
      </c>
      <c r="I582" t="s">
        <v>11</v>
      </c>
    </row>
    <row r="583" spans="2:9" x14ac:dyDescent="0.3">
      <c r="B583">
        <v>62</v>
      </c>
      <c r="C583" t="s">
        <v>1008</v>
      </c>
      <c r="D583">
        <v>65</v>
      </c>
      <c r="E583" t="s">
        <v>1008</v>
      </c>
      <c r="F583">
        <v>90</v>
      </c>
      <c r="G583" t="s">
        <v>1009</v>
      </c>
      <c r="H583" t="s">
        <v>1009</v>
      </c>
      <c r="I583" t="s">
        <v>11</v>
      </c>
    </row>
    <row r="584" spans="2:9" x14ac:dyDescent="0.3">
      <c r="B584">
        <v>78</v>
      </c>
      <c r="C584" t="s">
        <v>1005</v>
      </c>
      <c r="D584">
        <v>60</v>
      </c>
      <c r="E584" t="s">
        <v>1012</v>
      </c>
      <c r="F584">
        <v>85</v>
      </c>
      <c r="G584" t="s">
        <v>1006</v>
      </c>
      <c r="H584" t="s">
        <v>1016</v>
      </c>
      <c r="I584" t="s">
        <v>14</v>
      </c>
    </row>
    <row r="585" spans="2:9" x14ac:dyDescent="0.3">
      <c r="B585">
        <v>88</v>
      </c>
      <c r="C585" t="s">
        <v>1007</v>
      </c>
      <c r="D585">
        <v>60</v>
      </c>
      <c r="E585" t="s">
        <v>1012</v>
      </c>
      <c r="F585">
        <v>92</v>
      </c>
      <c r="G585" t="s">
        <v>1006</v>
      </c>
      <c r="H585" t="s">
        <v>1016</v>
      </c>
      <c r="I585" t="s">
        <v>14</v>
      </c>
    </row>
    <row r="586" spans="2:9" x14ac:dyDescent="0.3">
      <c r="B586">
        <v>80</v>
      </c>
      <c r="C586" t="s">
        <v>1005</v>
      </c>
      <c r="D586">
        <v>86</v>
      </c>
      <c r="E586" t="s">
        <v>1007</v>
      </c>
      <c r="F586">
        <v>70</v>
      </c>
      <c r="G586" t="s">
        <v>1006</v>
      </c>
      <c r="H586" t="s">
        <v>1015</v>
      </c>
      <c r="I586" t="s">
        <v>14</v>
      </c>
    </row>
    <row r="587" spans="2:9" x14ac:dyDescent="0.3">
      <c r="B587">
        <v>72</v>
      </c>
      <c r="C587" t="s">
        <v>1005</v>
      </c>
      <c r="D587">
        <v>77.598759048603924</v>
      </c>
      <c r="E587" t="s">
        <v>1005</v>
      </c>
      <c r="F587">
        <v>90</v>
      </c>
      <c r="G587" t="s">
        <v>1009</v>
      </c>
      <c r="H587" t="s">
        <v>1015</v>
      </c>
      <c r="I587" t="s">
        <v>14</v>
      </c>
    </row>
    <row r="588" spans="2:9" x14ac:dyDescent="0.3">
      <c r="B588">
        <v>80</v>
      </c>
      <c r="C588" t="s">
        <v>1005</v>
      </c>
      <c r="D588">
        <v>86</v>
      </c>
      <c r="E588" t="s">
        <v>1007</v>
      </c>
      <c r="F588">
        <v>90</v>
      </c>
      <c r="G588" t="s">
        <v>1006</v>
      </c>
      <c r="H588" t="s">
        <v>1015</v>
      </c>
      <c r="I588" t="s">
        <v>14</v>
      </c>
    </row>
    <row r="589" spans="2:9" x14ac:dyDescent="0.3">
      <c r="B589">
        <v>90</v>
      </c>
      <c r="C589" t="s">
        <v>1007</v>
      </c>
      <c r="D589">
        <v>86</v>
      </c>
      <c r="E589" t="s">
        <v>1007</v>
      </c>
      <c r="F589">
        <v>82</v>
      </c>
      <c r="G589" t="s">
        <v>1006</v>
      </c>
      <c r="H589" t="s">
        <v>1015</v>
      </c>
      <c r="I589" t="s">
        <v>14</v>
      </c>
    </row>
    <row r="590" spans="2:9" x14ac:dyDescent="0.3">
      <c r="B590">
        <v>78</v>
      </c>
      <c r="C590" t="s">
        <v>1005</v>
      </c>
      <c r="D590">
        <v>86</v>
      </c>
      <c r="E590" t="s">
        <v>1007</v>
      </c>
      <c r="F590">
        <v>91</v>
      </c>
      <c r="G590" t="s">
        <v>1006</v>
      </c>
      <c r="H590" t="s">
        <v>1015</v>
      </c>
      <c r="I590" t="s">
        <v>11</v>
      </c>
    </row>
    <row r="591" spans="2:9" x14ac:dyDescent="0.3">
      <c r="B591">
        <v>87</v>
      </c>
      <c r="C591" t="s">
        <v>1007</v>
      </c>
      <c r="D591">
        <v>85</v>
      </c>
      <c r="E591" t="s">
        <v>1007</v>
      </c>
      <c r="F591">
        <v>88</v>
      </c>
      <c r="G591" t="s">
        <v>1006</v>
      </c>
      <c r="H591" t="s">
        <v>1015</v>
      </c>
      <c r="I591" t="s">
        <v>11</v>
      </c>
    </row>
    <row r="592" spans="2:9" x14ac:dyDescent="0.3">
      <c r="B592">
        <v>68</v>
      </c>
      <c r="C592" t="s">
        <v>1008</v>
      </c>
      <c r="D592">
        <v>78</v>
      </c>
      <c r="E592" t="s">
        <v>1005</v>
      </c>
      <c r="F592">
        <v>88</v>
      </c>
      <c r="G592" t="s">
        <v>1009</v>
      </c>
      <c r="H592" t="s">
        <v>1015</v>
      </c>
      <c r="I592" t="s">
        <v>14</v>
      </c>
    </row>
    <row r="593" spans="2:9" x14ac:dyDescent="0.3">
      <c r="B593">
        <v>72</v>
      </c>
      <c r="C593" t="s">
        <v>1005</v>
      </c>
      <c r="D593">
        <v>90</v>
      </c>
      <c r="E593" t="s">
        <v>1007</v>
      </c>
      <c r="F593">
        <v>78</v>
      </c>
      <c r="G593" t="s">
        <v>1009</v>
      </c>
      <c r="H593" t="s">
        <v>1015</v>
      </c>
      <c r="I593" t="s">
        <v>14</v>
      </c>
    </row>
    <row r="594" spans="2:9" x14ac:dyDescent="0.3">
      <c r="B594">
        <v>78</v>
      </c>
      <c r="C594" t="s">
        <v>1005</v>
      </c>
      <c r="D594">
        <v>60</v>
      </c>
      <c r="E594" t="s">
        <v>1012</v>
      </c>
      <c r="F594">
        <v>85</v>
      </c>
      <c r="G594" t="s">
        <v>1006</v>
      </c>
      <c r="H594" t="s">
        <v>1016</v>
      </c>
      <c r="I594" t="s">
        <v>11</v>
      </c>
    </row>
    <row r="595" spans="2:9" x14ac:dyDescent="0.3">
      <c r="B595">
        <v>62</v>
      </c>
      <c r="C595" t="s">
        <v>1008</v>
      </c>
      <c r="D595">
        <v>78</v>
      </c>
      <c r="E595" t="s">
        <v>1005</v>
      </c>
      <c r="F595">
        <v>88</v>
      </c>
      <c r="G595" t="s">
        <v>1009</v>
      </c>
      <c r="H595" t="s">
        <v>1015</v>
      </c>
      <c r="I595" t="s">
        <v>11</v>
      </c>
    </row>
    <row r="596" spans="2:9" x14ac:dyDescent="0.3">
      <c r="B596">
        <v>80</v>
      </c>
      <c r="C596" t="s">
        <v>1005</v>
      </c>
      <c r="D596">
        <v>65</v>
      </c>
      <c r="E596" t="s">
        <v>1008</v>
      </c>
      <c r="F596">
        <v>85</v>
      </c>
      <c r="G596" t="s">
        <v>1006</v>
      </c>
      <c r="H596" t="s">
        <v>1009</v>
      </c>
      <c r="I596" t="s">
        <v>14</v>
      </c>
    </row>
    <row r="597" spans="2:9" x14ac:dyDescent="0.3">
      <c r="B597">
        <v>85</v>
      </c>
      <c r="C597" t="s">
        <v>1007</v>
      </c>
      <c r="D597">
        <v>88</v>
      </c>
      <c r="E597" t="s">
        <v>1007</v>
      </c>
      <c r="F597">
        <v>90</v>
      </c>
      <c r="G597" t="s">
        <v>1006</v>
      </c>
      <c r="H597" t="s">
        <v>1015</v>
      </c>
      <c r="I597" t="s">
        <v>977</v>
      </c>
    </row>
    <row r="598" spans="2:9" x14ac:dyDescent="0.3">
      <c r="B598">
        <v>90</v>
      </c>
      <c r="C598" t="s">
        <v>1007</v>
      </c>
      <c r="D598">
        <v>86</v>
      </c>
      <c r="E598" t="s">
        <v>1007</v>
      </c>
      <c r="F598">
        <v>85</v>
      </c>
      <c r="G598" t="s">
        <v>1006</v>
      </c>
      <c r="H598" t="s">
        <v>1015</v>
      </c>
      <c r="I598" t="s">
        <v>14</v>
      </c>
    </row>
    <row r="599" spans="2:9" x14ac:dyDescent="0.3">
      <c r="B599">
        <v>72</v>
      </c>
      <c r="C599" t="s">
        <v>1005</v>
      </c>
      <c r="D599">
        <v>78</v>
      </c>
      <c r="E599" t="s">
        <v>1005</v>
      </c>
      <c r="F599">
        <v>85</v>
      </c>
      <c r="G599" t="s">
        <v>1009</v>
      </c>
      <c r="H599" t="s">
        <v>1015</v>
      </c>
      <c r="I599" t="s">
        <v>11</v>
      </c>
    </row>
    <row r="600" spans="2:9" x14ac:dyDescent="0.3">
      <c r="B600">
        <v>87</v>
      </c>
      <c r="C600" t="s">
        <v>1007</v>
      </c>
      <c r="D600">
        <v>78</v>
      </c>
      <c r="E600" t="s">
        <v>1005</v>
      </c>
      <c r="F600">
        <v>88</v>
      </c>
      <c r="G600" t="s">
        <v>1006</v>
      </c>
      <c r="H600" t="s">
        <v>1015</v>
      </c>
      <c r="I600" t="s">
        <v>14</v>
      </c>
    </row>
    <row r="601" spans="2:9" x14ac:dyDescent="0.3">
      <c r="B601">
        <v>88</v>
      </c>
      <c r="C601" t="s">
        <v>1007</v>
      </c>
      <c r="D601">
        <v>65</v>
      </c>
      <c r="E601" t="s">
        <v>1008</v>
      </c>
      <c r="F601">
        <v>90</v>
      </c>
      <c r="G601" t="s">
        <v>1006</v>
      </c>
      <c r="H601" t="s">
        <v>1009</v>
      </c>
      <c r="I601" t="s">
        <v>11</v>
      </c>
    </row>
    <row r="602" spans="2:9" x14ac:dyDescent="0.3">
      <c r="B602">
        <v>62</v>
      </c>
      <c r="C602" t="s">
        <v>1008</v>
      </c>
      <c r="D602">
        <v>85</v>
      </c>
      <c r="E602" t="s">
        <v>1007</v>
      </c>
      <c r="F602">
        <v>88</v>
      </c>
      <c r="G602" t="s">
        <v>1009</v>
      </c>
      <c r="H602" t="s">
        <v>1015</v>
      </c>
      <c r="I602" t="s">
        <v>14</v>
      </c>
    </row>
    <row r="603" spans="2:9" x14ac:dyDescent="0.3">
      <c r="B603">
        <v>90</v>
      </c>
      <c r="C603" t="s">
        <v>1007</v>
      </c>
      <c r="D603">
        <v>78</v>
      </c>
      <c r="E603" t="s">
        <v>1005</v>
      </c>
      <c r="F603">
        <v>90</v>
      </c>
      <c r="G603" t="s">
        <v>1006</v>
      </c>
      <c r="H603" t="s">
        <v>1015</v>
      </c>
      <c r="I603" t="s">
        <v>11</v>
      </c>
    </row>
    <row r="604" spans="2:9" x14ac:dyDescent="0.3">
      <c r="B604">
        <v>68</v>
      </c>
      <c r="C604" t="s">
        <v>1008</v>
      </c>
      <c r="D604">
        <v>90</v>
      </c>
      <c r="E604" t="s">
        <v>1007</v>
      </c>
      <c r="F604">
        <v>90</v>
      </c>
      <c r="G604" t="s">
        <v>1009</v>
      </c>
      <c r="H604" t="s">
        <v>1015</v>
      </c>
      <c r="I604" t="s">
        <v>14</v>
      </c>
    </row>
    <row r="605" spans="2:9" x14ac:dyDescent="0.3">
      <c r="B605">
        <v>85</v>
      </c>
      <c r="C605" t="s">
        <v>1007</v>
      </c>
      <c r="D605">
        <v>85</v>
      </c>
      <c r="E605" t="s">
        <v>1007</v>
      </c>
      <c r="F605">
        <v>92</v>
      </c>
      <c r="G605" t="s">
        <v>1006</v>
      </c>
      <c r="H605" t="s">
        <v>1015</v>
      </c>
      <c r="I605" t="s">
        <v>14</v>
      </c>
    </row>
    <row r="606" spans="2:9" x14ac:dyDescent="0.3">
      <c r="B606">
        <v>62</v>
      </c>
      <c r="C606" t="s">
        <v>1008</v>
      </c>
      <c r="D606">
        <v>65</v>
      </c>
      <c r="E606" t="s">
        <v>1008</v>
      </c>
      <c r="F606">
        <v>85</v>
      </c>
      <c r="G606" t="s">
        <v>1009</v>
      </c>
      <c r="H606" t="s">
        <v>1009</v>
      </c>
      <c r="I606" t="s">
        <v>14</v>
      </c>
    </row>
    <row r="607" spans="2:9" x14ac:dyDescent="0.3">
      <c r="B607">
        <v>87</v>
      </c>
      <c r="C607" t="s">
        <v>1007</v>
      </c>
      <c r="D607">
        <v>77</v>
      </c>
      <c r="E607" t="s">
        <v>1005</v>
      </c>
      <c r="F607">
        <v>82</v>
      </c>
      <c r="G607" t="s">
        <v>1006</v>
      </c>
      <c r="H607" t="s">
        <v>1015</v>
      </c>
      <c r="I607" t="s">
        <v>11</v>
      </c>
    </row>
    <row r="608" spans="2:9" x14ac:dyDescent="0.3">
      <c r="B608">
        <v>85</v>
      </c>
      <c r="C608" t="s">
        <v>1007</v>
      </c>
      <c r="D608">
        <v>88</v>
      </c>
      <c r="E608" t="s">
        <v>1007</v>
      </c>
      <c r="F608">
        <v>91</v>
      </c>
      <c r="G608" t="s">
        <v>1006</v>
      </c>
      <c r="H608" t="s">
        <v>1015</v>
      </c>
      <c r="I608" t="s">
        <v>11</v>
      </c>
    </row>
    <row r="609" spans="2:9" x14ac:dyDescent="0.3">
      <c r="B609">
        <v>72</v>
      </c>
      <c r="C609" t="s">
        <v>1005</v>
      </c>
      <c r="D609">
        <v>77.598759048603924</v>
      </c>
      <c r="E609" t="s">
        <v>1005</v>
      </c>
      <c r="F609">
        <v>90</v>
      </c>
      <c r="G609" t="s">
        <v>1009</v>
      </c>
      <c r="H609" t="s">
        <v>1015</v>
      </c>
      <c r="I609" t="s">
        <v>14</v>
      </c>
    </row>
    <row r="610" spans="2:9" x14ac:dyDescent="0.3">
      <c r="B610">
        <v>78</v>
      </c>
      <c r="C610" t="s">
        <v>1005</v>
      </c>
      <c r="D610">
        <v>77</v>
      </c>
      <c r="E610" t="s">
        <v>1005</v>
      </c>
      <c r="F610">
        <v>90</v>
      </c>
      <c r="G610" t="s">
        <v>1006</v>
      </c>
      <c r="H610" t="s">
        <v>1015</v>
      </c>
      <c r="I610" t="s">
        <v>14</v>
      </c>
    </row>
    <row r="611" spans="2:9" x14ac:dyDescent="0.3">
      <c r="B611">
        <v>72</v>
      </c>
      <c r="C611" t="s">
        <v>1005</v>
      </c>
      <c r="D611">
        <v>77</v>
      </c>
      <c r="E611" t="s">
        <v>1005</v>
      </c>
      <c r="F611">
        <v>91</v>
      </c>
      <c r="G611" t="s">
        <v>1009</v>
      </c>
      <c r="H611" t="s">
        <v>1015</v>
      </c>
      <c r="I611" t="s">
        <v>11</v>
      </c>
    </row>
    <row r="612" spans="2:9" x14ac:dyDescent="0.3">
      <c r="B612">
        <v>87</v>
      </c>
      <c r="C612" t="s">
        <v>1007</v>
      </c>
      <c r="D612">
        <v>88</v>
      </c>
      <c r="E612" t="s">
        <v>1007</v>
      </c>
      <c r="F612">
        <v>95</v>
      </c>
      <c r="G612" t="s">
        <v>1006</v>
      </c>
      <c r="H612" t="s">
        <v>1015</v>
      </c>
      <c r="I612" t="s">
        <v>11</v>
      </c>
    </row>
    <row r="613" spans="2:9" x14ac:dyDescent="0.3">
      <c r="B613">
        <v>68</v>
      </c>
      <c r="C613" t="s">
        <v>1008</v>
      </c>
      <c r="D613">
        <v>85</v>
      </c>
      <c r="E613" t="s">
        <v>1007</v>
      </c>
      <c r="F613">
        <v>91</v>
      </c>
      <c r="G613" t="s">
        <v>1009</v>
      </c>
      <c r="H613" t="s">
        <v>1015</v>
      </c>
      <c r="I613" t="s">
        <v>11</v>
      </c>
    </row>
    <row r="614" spans="2:9" x14ac:dyDescent="0.3">
      <c r="B614">
        <v>87</v>
      </c>
      <c r="C614" t="s">
        <v>1007</v>
      </c>
      <c r="D614">
        <v>65</v>
      </c>
      <c r="E614" t="s">
        <v>1008</v>
      </c>
      <c r="F614">
        <v>78</v>
      </c>
      <c r="G614" t="s">
        <v>1006</v>
      </c>
      <c r="H614" t="s">
        <v>1009</v>
      </c>
      <c r="I614" t="s">
        <v>11</v>
      </c>
    </row>
    <row r="615" spans="2:9" x14ac:dyDescent="0.3">
      <c r="B615">
        <v>92</v>
      </c>
      <c r="C615" t="s">
        <v>1010</v>
      </c>
      <c r="D615">
        <v>86</v>
      </c>
      <c r="E615" t="s">
        <v>1007</v>
      </c>
      <c r="F615">
        <v>85</v>
      </c>
      <c r="G615" t="s">
        <v>1011</v>
      </c>
      <c r="H615" t="s">
        <v>1015</v>
      </c>
      <c r="I615" t="s">
        <v>11</v>
      </c>
    </row>
    <row r="616" spans="2:9" x14ac:dyDescent="0.3">
      <c r="B616">
        <v>80.030208333333334</v>
      </c>
      <c r="C616" t="s">
        <v>1007</v>
      </c>
      <c r="D616">
        <v>65</v>
      </c>
      <c r="E616" t="s">
        <v>1008</v>
      </c>
      <c r="F616">
        <v>85.510416666666671</v>
      </c>
      <c r="G616" t="s">
        <v>1006</v>
      </c>
      <c r="H616" t="s">
        <v>1009</v>
      </c>
      <c r="I616" t="s">
        <v>11</v>
      </c>
    </row>
    <row r="617" spans="2:9" x14ac:dyDescent="0.3">
      <c r="B617">
        <v>68</v>
      </c>
      <c r="C617" t="s">
        <v>1008</v>
      </c>
      <c r="D617">
        <v>65</v>
      </c>
      <c r="E617" t="s">
        <v>1008</v>
      </c>
      <c r="F617">
        <v>78</v>
      </c>
      <c r="G617" t="s">
        <v>1009</v>
      </c>
      <c r="H617" t="s">
        <v>1009</v>
      </c>
      <c r="I617" t="s">
        <v>14</v>
      </c>
    </row>
    <row r="618" spans="2:9" x14ac:dyDescent="0.3">
      <c r="B618">
        <v>87</v>
      </c>
      <c r="C618" t="s">
        <v>1007</v>
      </c>
      <c r="D618">
        <v>65</v>
      </c>
      <c r="E618" t="s">
        <v>1008</v>
      </c>
      <c r="F618">
        <v>91</v>
      </c>
      <c r="G618" t="s">
        <v>1006</v>
      </c>
      <c r="H618" t="s">
        <v>1009</v>
      </c>
      <c r="I618" t="s">
        <v>11</v>
      </c>
    </row>
    <row r="619" spans="2:9" x14ac:dyDescent="0.3">
      <c r="B619">
        <v>85</v>
      </c>
      <c r="C619" t="s">
        <v>1007</v>
      </c>
      <c r="D619">
        <v>90</v>
      </c>
      <c r="E619" t="s">
        <v>1007</v>
      </c>
      <c r="F619">
        <v>85</v>
      </c>
      <c r="G619" t="s">
        <v>1006</v>
      </c>
      <c r="H619" t="s">
        <v>1015</v>
      </c>
      <c r="I619" t="s">
        <v>14</v>
      </c>
    </row>
    <row r="620" spans="2:9" x14ac:dyDescent="0.3">
      <c r="B620">
        <v>85</v>
      </c>
      <c r="C620" t="s">
        <v>1007</v>
      </c>
      <c r="D620">
        <v>77</v>
      </c>
      <c r="E620" t="s">
        <v>1005</v>
      </c>
      <c r="F620">
        <v>91</v>
      </c>
      <c r="G620" t="s">
        <v>1006</v>
      </c>
      <c r="H620" t="s">
        <v>1015</v>
      </c>
      <c r="I620" t="s">
        <v>11</v>
      </c>
    </row>
    <row r="621" spans="2:9" x14ac:dyDescent="0.3">
      <c r="B621">
        <v>72</v>
      </c>
      <c r="C621" t="s">
        <v>1005</v>
      </c>
      <c r="D621">
        <v>86</v>
      </c>
      <c r="E621" t="s">
        <v>1007</v>
      </c>
      <c r="F621">
        <v>82</v>
      </c>
      <c r="G621" t="s">
        <v>1009</v>
      </c>
      <c r="H621" t="s">
        <v>1015</v>
      </c>
      <c r="I621" t="s">
        <v>11</v>
      </c>
    </row>
    <row r="622" spans="2:9" x14ac:dyDescent="0.3">
      <c r="B622">
        <v>80.030208333333334</v>
      </c>
      <c r="C622" t="s">
        <v>1007</v>
      </c>
      <c r="D622">
        <v>65</v>
      </c>
      <c r="E622" t="s">
        <v>1008</v>
      </c>
      <c r="F622">
        <v>92</v>
      </c>
      <c r="G622" t="s">
        <v>1006</v>
      </c>
      <c r="H622" t="s">
        <v>1009</v>
      </c>
      <c r="I622" t="s">
        <v>11</v>
      </c>
    </row>
    <row r="623" spans="2:9" x14ac:dyDescent="0.3">
      <c r="B623">
        <v>80.030208333333334</v>
      </c>
      <c r="C623" t="s">
        <v>1007</v>
      </c>
      <c r="D623">
        <v>82</v>
      </c>
      <c r="E623" t="s">
        <v>1007</v>
      </c>
      <c r="F623">
        <v>92</v>
      </c>
      <c r="G623" t="s">
        <v>1006</v>
      </c>
      <c r="H623" t="s">
        <v>1015</v>
      </c>
      <c r="I623" t="s">
        <v>14</v>
      </c>
    </row>
    <row r="624" spans="2:9" x14ac:dyDescent="0.3">
      <c r="B624">
        <v>87</v>
      </c>
      <c r="C624" t="s">
        <v>1007</v>
      </c>
      <c r="D624">
        <v>77</v>
      </c>
      <c r="E624" t="s">
        <v>1005</v>
      </c>
      <c r="F624">
        <v>78</v>
      </c>
      <c r="G624" t="s">
        <v>1006</v>
      </c>
      <c r="H624" t="s">
        <v>1015</v>
      </c>
      <c r="I624" t="s">
        <v>11</v>
      </c>
    </row>
    <row r="625" spans="2:9" x14ac:dyDescent="0.3">
      <c r="B625">
        <v>92</v>
      </c>
      <c r="C625" t="s">
        <v>1010</v>
      </c>
      <c r="D625">
        <v>90</v>
      </c>
      <c r="E625" t="s">
        <v>1007</v>
      </c>
      <c r="F625">
        <v>92</v>
      </c>
      <c r="G625" t="s">
        <v>1011</v>
      </c>
      <c r="H625" t="s">
        <v>1015</v>
      </c>
      <c r="I625" t="s">
        <v>14</v>
      </c>
    </row>
    <row r="626" spans="2:9" x14ac:dyDescent="0.3">
      <c r="B626">
        <v>80</v>
      </c>
      <c r="C626" t="s">
        <v>1005</v>
      </c>
      <c r="D626">
        <v>77</v>
      </c>
      <c r="E626" t="s">
        <v>1005</v>
      </c>
      <c r="F626">
        <v>92</v>
      </c>
      <c r="G626" t="s">
        <v>1006</v>
      </c>
      <c r="H626" t="s">
        <v>1015</v>
      </c>
      <c r="I626" t="s">
        <v>14</v>
      </c>
    </row>
    <row r="627" spans="2:9" x14ac:dyDescent="0.3">
      <c r="B627">
        <v>92</v>
      </c>
      <c r="C627" t="s">
        <v>1010</v>
      </c>
      <c r="D627">
        <v>65</v>
      </c>
      <c r="E627" t="s">
        <v>1008</v>
      </c>
      <c r="F627">
        <v>70</v>
      </c>
      <c r="G627" t="s">
        <v>1011</v>
      </c>
      <c r="H627" t="s">
        <v>1009</v>
      </c>
      <c r="I627" t="s">
        <v>11</v>
      </c>
    </row>
    <row r="628" spans="2:9" x14ac:dyDescent="0.3">
      <c r="B628">
        <v>87</v>
      </c>
      <c r="C628" t="s">
        <v>1007</v>
      </c>
      <c r="D628">
        <v>78</v>
      </c>
      <c r="E628" t="s">
        <v>1005</v>
      </c>
      <c r="F628">
        <v>85</v>
      </c>
      <c r="G628" t="s">
        <v>1006</v>
      </c>
      <c r="H628" t="s">
        <v>1015</v>
      </c>
      <c r="I628" t="s">
        <v>11</v>
      </c>
    </row>
    <row r="629" spans="2:9" x14ac:dyDescent="0.3">
      <c r="B629">
        <v>88</v>
      </c>
      <c r="C629" t="s">
        <v>1007</v>
      </c>
      <c r="D629">
        <v>86</v>
      </c>
      <c r="E629" t="s">
        <v>1007</v>
      </c>
      <c r="F629">
        <v>92</v>
      </c>
      <c r="G629" t="s">
        <v>1006</v>
      </c>
      <c r="H629" t="s">
        <v>1015</v>
      </c>
      <c r="I629" t="s">
        <v>14</v>
      </c>
    </row>
    <row r="630" spans="2:9" x14ac:dyDescent="0.3">
      <c r="B630">
        <v>80.030208333333334</v>
      </c>
      <c r="C630" t="s">
        <v>1007</v>
      </c>
      <c r="D630">
        <v>90</v>
      </c>
      <c r="E630" t="s">
        <v>1007</v>
      </c>
      <c r="F630">
        <v>82</v>
      </c>
      <c r="G630" t="s">
        <v>1006</v>
      </c>
      <c r="H630" t="s">
        <v>1015</v>
      </c>
      <c r="I630" t="s">
        <v>14</v>
      </c>
    </row>
    <row r="631" spans="2:9" x14ac:dyDescent="0.3">
      <c r="B631">
        <v>68</v>
      </c>
      <c r="C631" t="s">
        <v>1008</v>
      </c>
      <c r="D631">
        <v>86</v>
      </c>
      <c r="E631" t="s">
        <v>1007</v>
      </c>
      <c r="F631">
        <v>95</v>
      </c>
      <c r="G631" t="s">
        <v>1009</v>
      </c>
      <c r="H631" t="s">
        <v>1015</v>
      </c>
      <c r="I631" t="s">
        <v>11</v>
      </c>
    </row>
    <row r="632" spans="2:9" x14ac:dyDescent="0.3">
      <c r="B632">
        <v>62</v>
      </c>
      <c r="C632" t="s">
        <v>1008</v>
      </c>
      <c r="D632">
        <v>78</v>
      </c>
      <c r="E632" t="s">
        <v>1005</v>
      </c>
      <c r="F632">
        <v>85</v>
      </c>
      <c r="G632" t="s">
        <v>1009</v>
      </c>
      <c r="H632" t="s">
        <v>1015</v>
      </c>
      <c r="I632" t="s">
        <v>11</v>
      </c>
    </row>
    <row r="633" spans="2:9" x14ac:dyDescent="0.3">
      <c r="B633">
        <v>62</v>
      </c>
      <c r="C633" t="s">
        <v>1008</v>
      </c>
      <c r="D633">
        <v>70</v>
      </c>
      <c r="E633" t="s">
        <v>1008</v>
      </c>
      <c r="F633">
        <v>92</v>
      </c>
      <c r="G633" t="s">
        <v>1009</v>
      </c>
      <c r="H633" t="s">
        <v>1009</v>
      </c>
      <c r="I633" t="s">
        <v>977</v>
      </c>
    </row>
    <row r="634" spans="2:9" x14ac:dyDescent="0.3">
      <c r="B634">
        <v>78</v>
      </c>
      <c r="C634" t="s">
        <v>1005</v>
      </c>
      <c r="D634">
        <v>77.598759048603924</v>
      </c>
      <c r="E634" t="s">
        <v>1005</v>
      </c>
      <c r="F634">
        <v>90</v>
      </c>
      <c r="G634" t="s">
        <v>1006</v>
      </c>
      <c r="H634" t="s">
        <v>1015</v>
      </c>
      <c r="I634" t="s">
        <v>11</v>
      </c>
    </row>
    <row r="635" spans="2:9" x14ac:dyDescent="0.3">
      <c r="B635">
        <v>78</v>
      </c>
      <c r="C635" t="s">
        <v>1005</v>
      </c>
      <c r="D635">
        <v>65</v>
      </c>
      <c r="E635" t="s">
        <v>1008</v>
      </c>
      <c r="F635">
        <v>78</v>
      </c>
      <c r="G635" t="s">
        <v>1006</v>
      </c>
      <c r="H635" t="s">
        <v>1009</v>
      </c>
      <c r="I635" t="s">
        <v>14</v>
      </c>
    </row>
    <row r="636" spans="2:9" x14ac:dyDescent="0.3">
      <c r="B636">
        <v>88</v>
      </c>
      <c r="C636" t="s">
        <v>1007</v>
      </c>
      <c r="D636">
        <v>82</v>
      </c>
      <c r="E636" t="s">
        <v>1007</v>
      </c>
      <c r="F636">
        <v>82</v>
      </c>
      <c r="G636" t="s">
        <v>1006</v>
      </c>
      <c r="H636" t="s">
        <v>1015</v>
      </c>
      <c r="I636" t="s">
        <v>14</v>
      </c>
    </row>
    <row r="637" spans="2:9" x14ac:dyDescent="0.3">
      <c r="B637">
        <v>62</v>
      </c>
      <c r="C637" t="s">
        <v>1008</v>
      </c>
      <c r="D637">
        <v>88</v>
      </c>
      <c r="E637" t="s">
        <v>1007</v>
      </c>
      <c r="F637">
        <v>85</v>
      </c>
      <c r="G637" t="s">
        <v>1009</v>
      </c>
      <c r="H637" t="s">
        <v>1015</v>
      </c>
      <c r="I637" t="s">
        <v>14</v>
      </c>
    </row>
    <row r="638" spans="2:9" x14ac:dyDescent="0.3">
      <c r="B638">
        <v>92</v>
      </c>
      <c r="C638" t="s">
        <v>1010</v>
      </c>
      <c r="D638">
        <v>85</v>
      </c>
      <c r="E638" t="s">
        <v>1007</v>
      </c>
      <c r="F638">
        <v>78</v>
      </c>
      <c r="G638" t="s">
        <v>1011</v>
      </c>
      <c r="H638" t="s">
        <v>1015</v>
      </c>
      <c r="I638" t="s">
        <v>14</v>
      </c>
    </row>
    <row r="639" spans="2:9" x14ac:dyDescent="0.3">
      <c r="B639">
        <v>90</v>
      </c>
      <c r="C639" t="s">
        <v>1007</v>
      </c>
      <c r="D639">
        <v>90</v>
      </c>
      <c r="E639" t="s">
        <v>1007</v>
      </c>
      <c r="F639">
        <v>85</v>
      </c>
      <c r="G639" t="s">
        <v>1006</v>
      </c>
      <c r="H639" t="s">
        <v>1015</v>
      </c>
      <c r="I639" t="s">
        <v>11</v>
      </c>
    </row>
    <row r="640" spans="2:9" x14ac:dyDescent="0.3">
      <c r="B640">
        <v>72</v>
      </c>
      <c r="C640" t="s">
        <v>1005</v>
      </c>
      <c r="D640">
        <v>88</v>
      </c>
      <c r="E640" t="s">
        <v>1007</v>
      </c>
      <c r="F640">
        <v>90</v>
      </c>
      <c r="G640" t="s">
        <v>1009</v>
      </c>
      <c r="H640" t="s">
        <v>1015</v>
      </c>
      <c r="I640" t="s">
        <v>977</v>
      </c>
    </row>
    <row r="641" spans="2:9" x14ac:dyDescent="0.3">
      <c r="B641">
        <v>78</v>
      </c>
      <c r="C641" t="s">
        <v>1005</v>
      </c>
      <c r="D641">
        <v>88</v>
      </c>
      <c r="E641" t="s">
        <v>1007</v>
      </c>
      <c r="F641">
        <v>85</v>
      </c>
      <c r="G641" t="s">
        <v>1006</v>
      </c>
      <c r="H641" t="s">
        <v>1015</v>
      </c>
      <c r="I641" t="s">
        <v>14</v>
      </c>
    </row>
    <row r="642" spans="2:9" x14ac:dyDescent="0.3">
      <c r="B642">
        <v>68</v>
      </c>
      <c r="C642" t="s">
        <v>1008</v>
      </c>
      <c r="D642">
        <v>82</v>
      </c>
      <c r="E642" t="s">
        <v>1007</v>
      </c>
      <c r="F642">
        <v>90</v>
      </c>
      <c r="G642" t="s">
        <v>1009</v>
      </c>
      <c r="H642" t="s">
        <v>1015</v>
      </c>
      <c r="I642" t="s">
        <v>11</v>
      </c>
    </row>
    <row r="643" spans="2:9" x14ac:dyDescent="0.3">
      <c r="B643">
        <v>78</v>
      </c>
      <c r="C643" t="s">
        <v>1005</v>
      </c>
      <c r="D643">
        <v>77</v>
      </c>
      <c r="E643" t="s">
        <v>1005</v>
      </c>
      <c r="F643">
        <v>82</v>
      </c>
      <c r="G643" t="s">
        <v>1006</v>
      </c>
      <c r="H643" t="s">
        <v>1015</v>
      </c>
      <c r="I643" t="s">
        <v>14</v>
      </c>
    </row>
    <row r="644" spans="2:9" x14ac:dyDescent="0.3">
      <c r="B644">
        <v>88</v>
      </c>
      <c r="C644" t="s">
        <v>1007</v>
      </c>
      <c r="D644">
        <v>70</v>
      </c>
      <c r="E644" t="s">
        <v>1008</v>
      </c>
      <c r="F644">
        <v>85</v>
      </c>
      <c r="G644" t="s">
        <v>1006</v>
      </c>
      <c r="H644" t="s">
        <v>1009</v>
      </c>
      <c r="I644" t="s">
        <v>11</v>
      </c>
    </row>
    <row r="645" spans="2:9" x14ac:dyDescent="0.3">
      <c r="B645">
        <v>68</v>
      </c>
      <c r="C645" t="s">
        <v>1008</v>
      </c>
      <c r="D645">
        <v>77.598759048603924</v>
      </c>
      <c r="E645" t="s">
        <v>1005</v>
      </c>
      <c r="F645">
        <v>85</v>
      </c>
      <c r="G645" t="s">
        <v>1009</v>
      </c>
      <c r="H645" t="s">
        <v>1015</v>
      </c>
      <c r="I645" t="s">
        <v>14</v>
      </c>
    </row>
    <row r="646" spans="2:9" x14ac:dyDescent="0.3">
      <c r="B646">
        <v>68</v>
      </c>
      <c r="C646" t="s">
        <v>1008</v>
      </c>
      <c r="D646">
        <v>88</v>
      </c>
      <c r="E646" t="s">
        <v>1007</v>
      </c>
      <c r="F646">
        <v>85</v>
      </c>
      <c r="G646" t="s">
        <v>1009</v>
      </c>
      <c r="H646" t="s">
        <v>1015</v>
      </c>
      <c r="I646" t="s">
        <v>14</v>
      </c>
    </row>
    <row r="647" spans="2:9" x14ac:dyDescent="0.3">
      <c r="B647">
        <v>90</v>
      </c>
      <c r="C647" t="s">
        <v>1007</v>
      </c>
      <c r="D647">
        <v>90</v>
      </c>
      <c r="E647" t="s">
        <v>1007</v>
      </c>
      <c r="F647">
        <v>78</v>
      </c>
      <c r="G647" t="s">
        <v>1006</v>
      </c>
      <c r="H647" t="s">
        <v>1015</v>
      </c>
      <c r="I647" t="s">
        <v>11</v>
      </c>
    </row>
    <row r="648" spans="2:9" x14ac:dyDescent="0.3">
      <c r="B648">
        <v>68</v>
      </c>
      <c r="C648" t="s">
        <v>1008</v>
      </c>
      <c r="D648">
        <v>77.598759048603924</v>
      </c>
      <c r="E648" t="s">
        <v>1005</v>
      </c>
      <c r="F648">
        <v>92</v>
      </c>
      <c r="G648" t="s">
        <v>1009</v>
      </c>
      <c r="H648" t="s">
        <v>1015</v>
      </c>
      <c r="I648" t="s">
        <v>11</v>
      </c>
    </row>
    <row r="649" spans="2:9" x14ac:dyDescent="0.3">
      <c r="B649">
        <v>78</v>
      </c>
      <c r="C649" t="s">
        <v>1005</v>
      </c>
      <c r="D649">
        <v>60</v>
      </c>
      <c r="E649" t="s">
        <v>1012</v>
      </c>
      <c r="F649">
        <v>90</v>
      </c>
      <c r="G649" t="s">
        <v>1006</v>
      </c>
      <c r="H649" t="s">
        <v>1016</v>
      </c>
      <c r="I649" t="s">
        <v>14</v>
      </c>
    </row>
    <row r="650" spans="2:9" x14ac:dyDescent="0.3">
      <c r="B650">
        <v>68</v>
      </c>
      <c r="C650" t="s">
        <v>1008</v>
      </c>
      <c r="D650">
        <v>82</v>
      </c>
      <c r="E650" t="s">
        <v>1007</v>
      </c>
      <c r="F650">
        <v>88</v>
      </c>
      <c r="G650" t="s">
        <v>1009</v>
      </c>
      <c r="H650" t="s">
        <v>1015</v>
      </c>
      <c r="I650" t="s">
        <v>977</v>
      </c>
    </row>
    <row r="651" spans="2:9" x14ac:dyDescent="0.3">
      <c r="B651">
        <v>85</v>
      </c>
      <c r="C651" t="s">
        <v>1007</v>
      </c>
      <c r="D651">
        <v>77.598759048603924</v>
      </c>
      <c r="E651" t="s">
        <v>1005</v>
      </c>
      <c r="F651">
        <v>85</v>
      </c>
      <c r="G651" t="s">
        <v>1006</v>
      </c>
      <c r="H651" t="s">
        <v>1015</v>
      </c>
      <c r="I651" t="s">
        <v>11</v>
      </c>
    </row>
    <row r="652" spans="2:9" x14ac:dyDescent="0.3">
      <c r="B652">
        <v>92</v>
      </c>
      <c r="C652" t="s">
        <v>1010</v>
      </c>
      <c r="D652">
        <v>78</v>
      </c>
      <c r="E652" t="s">
        <v>1005</v>
      </c>
      <c r="F652">
        <v>90</v>
      </c>
      <c r="G652" t="s">
        <v>1011</v>
      </c>
      <c r="H652" t="s">
        <v>1015</v>
      </c>
      <c r="I652" t="s">
        <v>14</v>
      </c>
    </row>
    <row r="653" spans="2:9" x14ac:dyDescent="0.3">
      <c r="B653">
        <v>62</v>
      </c>
      <c r="C653" t="s">
        <v>1008</v>
      </c>
      <c r="D653">
        <v>77</v>
      </c>
      <c r="E653" t="s">
        <v>1005</v>
      </c>
      <c r="F653">
        <v>90</v>
      </c>
      <c r="G653" t="s">
        <v>1009</v>
      </c>
      <c r="H653" t="s">
        <v>1015</v>
      </c>
      <c r="I653" t="s">
        <v>11</v>
      </c>
    </row>
    <row r="654" spans="2:9" x14ac:dyDescent="0.3">
      <c r="B654">
        <v>80</v>
      </c>
      <c r="C654" t="s">
        <v>1005</v>
      </c>
      <c r="D654">
        <v>88</v>
      </c>
      <c r="E654" t="s">
        <v>1007</v>
      </c>
      <c r="F654">
        <v>78</v>
      </c>
      <c r="G654" t="s">
        <v>1006</v>
      </c>
      <c r="H654" t="s">
        <v>1015</v>
      </c>
      <c r="I654" t="s">
        <v>14</v>
      </c>
    </row>
    <row r="655" spans="2:9" x14ac:dyDescent="0.3">
      <c r="B655">
        <v>68</v>
      </c>
      <c r="C655" t="s">
        <v>1008</v>
      </c>
      <c r="D655">
        <v>60</v>
      </c>
      <c r="E655" t="s">
        <v>1012</v>
      </c>
      <c r="F655">
        <v>92</v>
      </c>
      <c r="G655" t="s">
        <v>1009</v>
      </c>
      <c r="H655" t="s">
        <v>1016</v>
      </c>
      <c r="I655" t="s">
        <v>11</v>
      </c>
    </row>
    <row r="656" spans="2:9" x14ac:dyDescent="0.3">
      <c r="B656">
        <v>90</v>
      </c>
      <c r="C656" t="s">
        <v>1007</v>
      </c>
      <c r="D656">
        <v>82</v>
      </c>
      <c r="E656" t="s">
        <v>1007</v>
      </c>
      <c r="F656">
        <v>78</v>
      </c>
      <c r="G656" t="s">
        <v>1006</v>
      </c>
      <c r="H656" t="s">
        <v>1015</v>
      </c>
      <c r="I656" t="s">
        <v>11</v>
      </c>
    </row>
    <row r="657" spans="2:9" x14ac:dyDescent="0.3">
      <c r="B657">
        <v>78</v>
      </c>
      <c r="C657" t="s">
        <v>1005</v>
      </c>
      <c r="D657">
        <v>60</v>
      </c>
      <c r="E657" t="s">
        <v>1012</v>
      </c>
      <c r="F657">
        <v>70</v>
      </c>
      <c r="G657" t="s">
        <v>1006</v>
      </c>
      <c r="H657" t="s">
        <v>1016</v>
      </c>
      <c r="I657" t="s">
        <v>11</v>
      </c>
    </row>
    <row r="658" spans="2:9" x14ac:dyDescent="0.3">
      <c r="B658">
        <v>85</v>
      </c>
      <c r="C658" t="s">
        <v>1007</v>
      </c>
      <c r="D658">
        <v>70</v>
      </c>
      <c r="E658" t="s">
        <v>1008</v>
      </c>
      <c r="F658">
        <v>70</v>
      </c>
      <c r="G658" t="s">
        <v>1006</v>
      </c>
      <c r="H658" t="s">
        <v>1009</v>
      </c>
      <c r="I658" t="s">
        <v>11</v>
      </c>
    </row>
    <row r="659" spans="2:9" x14ac:dyDescent="0.3">
      <c r="B659">
        <v>78</v>
      </c>
      <c r="C659" t="s">
        <v>1005</v>
      </c>
      <c r="D659">
        <v>65</v>
      </c>
      <c r="E659" t="s">
        <v>1008</v>
      </c>
      <c r="F659">
        <v>85</v>
      </c>
      <c r="G659" t="s">
        <v>1006</v>
      </c>
      <c r="H659" t="s">
        <v>1009</v>
      </c>
      <c r="I659" t="s">
        <v>11</v>
      </c>
    </row>
    <row r="660" spans="2:9" x14ac:dyDescent="0.3">
      <c r="B660">
        <v>78</v>
      </c>
      <c r="C660" t="s">
        <v>1005</v>
      </c>
      <c r="D660">
        <v>78</v>
      </c>
      <c r="E660" t="s">
        <v>1005</v>
      </c>
      <c r="F660">
        <v>85</v>
      </c>
      <c r="G660" t="s">
        <v>1006</v>
      </c>
      <c r="H660" t="s">
        <v>1015</v>
      </c>
      <c r="I660" t="s">
        <v>11</v>
      </c>
    </row>
    <row r="661" spans="2:9" x14ac:dyDescent="0.3">
      <c r="B661">
        <v>88</v>
      </c>
      <c r="C661" t="s">
        <v>1007</v>
      </c>
      <c r="D661">
        <v>85</v>
      </c>
      <c r="E661" t="s">
        <v>1007</v>
      </c>
      <c r="F661">
        <v>88</v>
      </c>
      <c r="G661" t="s">
        <v>1006</v>
      </c>
      <c r="H661" t="s">
        <v>1015</v>
      </c>
      <c r="I661" t="s">
        <v>14</v>
      </c>
    </row>
    <row r="662" spans="2:9" x14ac:dyDescent="0.3">
      <c r="B662">
        <v>80</v>
      </c>
      <c r="C662" t="s">
        <v>1005</v>
      </c>
      <c r="D662">
        <v>65</v>
      </c>
      <c r="E662" t="s">
        <v>1008</v>
      </c>
      <c r="F662">
        <v>95</v>
      </c>
      <c r="G662" t="s">
        <v>1006</v>
      </c>
      <c r="H662" t="s">
        <v>1009</v>
      </c>
      <c r="I662" t="s">
        <v>11</v>
      </c>
    </row>
    <row r="663" spans="2:9" x14ac:dyDescent="0.3">
      <c r="B663">
        <v>68</v>
      </c>
      <c r="C663" t="s">
        <v>1008</v>
      </c>
      <c r="D663">
        <v>85</v>
      </c>
      <c r="E663" t="s">
        <v>1007</v>
      </c>
      <c r="F663">
        <v>88</v>
      </c>
      <c r="G663" t="s">
        <v>1009</v>
      </c>
      <c r="H663" t="s">
        <v>1015</v>
      </c>
      <c r="I663" t="s">
        <v>14</v>
      </c>
    </row>
    <row r="664" spans="2:9" x14ac:dyDescent="0.3">
      <c r="B664">
        <v>72</v>
      </c>
      <c r="C664" t="s">
        <v>1005</v>
      </c>
      <c r="D664">
        <v>82</v>
      </c>
      <c r="E664" t="s">
        <v>1007</v>
      </c>
      <c r="F664">
        <v>95</v>
      </c>
      <c r="G664" t="s">
        <v>1009</v>
      </c>
      <c r="H664" t="s">
        <v>1015</v>
      </c>
      <c r="I664" t="s">
        <v>14</v>
      </c>
    </row>
    <row r="665" spans="2:9" x14ac:dyDescent="0.3">
      <c r="B665">
        <v>87</v>
      </c>
      <c r="C665" t="s">
        <v>1007</v>
      </c>
      <c r="D665">
        <v>60</v>
      </c>
      <c r="E665" t="s">
        <v>1012</v>
      </c>
      <c r="F665">
        <v>95</v>
      </c>
      <c r="G665" t="s">
        <v>1006</v>
      </c>
      <c r="H665" t="s">
        <v>1016</v>
      </c>
      <c r="I665" t="s">
        <v>14</v>
      </c>
    </row>
    <row r="666" spans="2:9" x14ac:dyDescent="0.3">
      <c r="B666">
        <v>80</v>
      </c>
      <c r="C666" t="s">
        <v>1005</v>
      </c>
      <c r="D666">
        <v>85</v>
      </c>
      <c r="E666" t="s">
        <v>1007</v>
      </c>
      <c r="F666">
        <v>70</v>
      </c>
      <c r="G666" t="s">
        <v>1006</v>
      </c>
      <c r="H666" t="s">
        <v>1015</v>
      </c>
      <c r="I666" t="s">
        <v>11</v>
      </c>
    </row>
    <row r="667" spans="2:9" x14ac:dyDescent="0.3">
      <c r="B667">
        <v>85</v>
      </c>
      <c r="C667" t="s">
        <v>1007</v>
      </c>
      <c r="D667">
        <v>88</v>
      </c>
      <c r="E667" t="s">
        <v>1007</v>
      </c>
      <c r="F667">
        <v>91</v>
      </c>
      <c r="G667" t="s">
        <v>1006</v>
      </c>
      <c r="H667" t="s">
        <v>1015</v>
      </c>
      <c r="I667" t="s">
        <v>977</v>
      </c>
    </row>
    <row r="668" spans="2:9" x14ac:dyDescent="0.3">
      <c r="B668">
        <v>87</v>
      </c>
      <c r="C668" t="s">
        <v>1007</v>
      </c>
      <c r="D668">
        <v>65</v>
      </c>
      <c r="E668" t="s">
        <v>1008</v>
      </c>
      <c r="F668">
        <v>92</v>
      </c>
      <c r="G668" t="s">
        <v>1006</v>
      </c>
      <c r="H668" t="s">
        <v>1009</v>
      </c>
      <c r="I668" t="s">
        <v>11</v>
      </c>
    </row>
    <row r="669" spans="2:9" x14ac:dyDescent="0.3">
      <c r="B669">
        <v>80</v>
      </c>
      <c r="C669" t="s">
        <v>1005</v>
      </c>
      <c r="D669">
        <v>78</v>
      </c>
      <c r="E669" t="s">
        <v>1005</v>
      </c>
      <c r="F669">
        <v>85</v>
      </c>
      <c r="G669" t="s">
        <v>1006</v>
      </c>
      <c r="H669" t="s">
        <v>1015</v>
      </c>
      <c r="I669" t="s">
        <v>11</v>
      </c>
    </row>
    <row r="670" spans="2:9" x14ac:dyDescent="0.3">
      <c r="B670">
        <v>80</v>
      </c>
      <c r="C670" t="s">
        <v>1005</v>
      </c>
      <c r="D670">
        <v>77.598759048603924</v>
      </c>
      <c r="E670" t="s">
        <v>1005</v>
      </c>
      <c r="F670">
        <v>88</v>
      </c>
      <c r="G670" t="s">
        <v>1006</v>
      </c>
      <c r="H670" t="s">
        <v>1015</v>
      </c>
      <c r="I670" t="s">
        <v>11</v>
      </c>
    </row>
    <row r="671" spans="2:9" x14ac:dyDescent="0.3">
      <c r="B671">
        <v>85</v>
      </c>
      <c r="C671" t="s">
        <v>1007</v>
      </c>
      <c r="D671">
        <v>78</v>
      </c>
      <c r="E671" t="s">
        <v>1005</v>
      </c>
      <c r="F671">
        <v>78</v>
      </c>
      <c r="G671" t="s">
        <v>1006</v>
      </c>
      <c r="H671" t="s">
        <v>1015</v>
      </c>
      <c r="I671" t="s">
        <v>11</v>
      </c>
    </row>
    <row r="672" spans="2:9" x14ac:dyDescent="0.3">
      <c r="B672">
        <v>80</v>
      </c>
      <c r="C672" t="s">
        <v>1005</v>
      </c>
      <c r="D672">
        <v>85</v>
      </c>
      <c r="E672" t="s">
        <v>1007</v>
      </c>
      <c r="F672">
        <v>82</v>
      </c>
      <c r="G672" t="s">
        <v>1006</v>
      </c>
      <c r="H672" t="s">
        <v>1015</v>
      </c>
      <c r="I672" t="s">
        <v>11</v>
      </c>
    </row>
    <row r="673" spans="2:9" x14ac:dyDescent="0.3">
      <c r="B673">
        <v>78</v>
      </c>
      <c r="C673" t="s">
        <v>1005</v>
      </c>
      <c r="D673">
        <v>85</v>
      </c>
      <c r="E673" t="s">
        <v>1007</v>
      </c>
      <c r="F673">
        <v>82</v>
      </c>
      <c r="G673" t="s">
        <v>1006</v>
      </c>
      <c r="H673" t="s">
        <v>1015</v>
      </c>
      <c r="I673" t="s">
        <v>11</v>
      </c>
    </row>
    <row r="674" spans="2:9" x14ac:dyDescent="0.3">
      <c r="B674">
        <v>72</v>
      </c>
      <c r="C674" t="s">
        <v>1005</v>
      </c>
      <c r="D674">
        <v>60</v>
      </c>
      <c r="E674" t="s">
        <v>1012</v>
      </c>
      <c r="F674">
        <v>78</v>
      </c>
      <c r="G674" t="s">
        <v>1009</v>
      </c>
      <c r="H674" t="s">
        <v>1016</v>
      </c>
      <c r="I674" t="s">
        <v>11</v>
      </c>
    </row>
    <row r="675" spans="2:9" x14ac:dyDescent="0.3">
      <c r="B675">
        <v>85</v>
      </c>
      <c r="C675" t="s">
        <v>1007</v>
      </c>
      <c r="D675">
        <v>65</v>
      </c>
      <c r="E675" t="s">
        <v>1008</v>
      </c>
      <c r="F675">
        <v>90</v>
      </c>
      <c r="G675" t="s">
        <v>1006</v>
      </c>
      <c r="H675" t="s">
        <v>1009</v>
      </c>
      <c r="I675" t="s">
        <v>14</v>
      </c>
    </row>
    <row r="676" spans="2:9" x14ac:dyDescent="0.3">
      <c r="B676">
        <v>85</v>
      </c>
      <c r="C676" t="s">
        <v>1007</v>
      </c>
      <c r="D676">
        <v>82</v>
      </c>
      <c r="E676" t="s">
        <v>1007</v>
      </c>
      <c r="F676">
        <v>85.510416666666671</v>
      </c>
      <c r="G676" t="s">
        <v>1006</v>
      </c>
      <c r="H676" t="s">
        <v>1015</v>
      </c>
      <c r="I676" t="s">
        <v>14</v>
      </c>
    </row>
    <row r="677" spans="2:9" x14ac:dyDescent="0.3">
      <c r="B677">
        <v>90</v>
      </c>
      <c r="C677" t="s">
        <v>1007</v>
      </c>
      <c r="D677">
        <v>85</v>
      </c>
      <c r="E677" t="s">
        <v>1007</v>
      </c>
      <c r="F677">
        <v>70</v>
      </c>
      <c r="G677" t="s">
        <v>1006</v>
      </c>
      <c r="H677" t="s">
        <v>1015</v>
      </c>
      <c r="I677" t="s">
        <v>14</v>
      </c>
    </row>
    <row r="678" spans="2:9" x14ac:dyDescent="0.3">
      <c r="B678">
        <v>62</v>
      </c>
      <c r="C678" t="s">
        <v>1008</v>
      </c>
      <c r="D678">
        <v>85</v>
      </c>
      <c r="E678" t="s">
        <v>1007</v>
      </c>
      <c r="F678">
        <v>85</v>
      </c>
      <c r="G678" t="s">
        <v>1009</v>
      </c>
      <c r="H678" t="s">
        <v>1015</v>
      </c>
      <c r="I678" t="s">
        <v>14</v>
      </c>
    </row>
    <row r="679" spans="2:9" x14ac:dyDescent="0.3">
      <c r="B679">
        <v>62</v>
      </c>
      <c r="C679" t="s">
        <v>1008</v>
      </c>
      <c r="D679">
        <v>88</v>
      </c>
      <c r="E679" t="s">
        <v>1007</v>
      </c>
      <c r="F679">
        <v>95</v>
      </c>
      <c r="G679" t="s">
        <v>1009</v>
      </c>
      <c r="H679" t="s">
        <v>1015</v>
      </c>
      <c r="I679" t="s">
        <v>11</v>
      </c>
    </row>
    <row r="680" spans="2:9" x14ac:dyDescent="0.3">
      <c r="B680">
        <v>78</v>
      </c>
      <c r="C680" t="s">
        <v>1005</v>
      </c>
      <c r="D680">
        <v>77</v>
      </c>
      <c r="E680" t="s">
        <v>1005</v>
      </c>
      <c r="F680">
        <v>70</v>
      </c>
      <c r="G680" t="s">
        <v>1006</v>
      </c>
      <c r="H680" t="s">
        <v>1015</v>
      </c>
      <c r="I680" t="s">
        <v>14</v>
      </c>
    </row>
    <row r="681" spans="2:9" x14ac:dyDescent="0.3">
      <c r="B681">
        <v>68</v>
      </c>
      <c r="C681" t="s">
        <v>1008</v>
      </c>
      <c r="D681">
        <v>77</v>
      </c>
      <c r="E681" t="s">
        <v>1005</v>
      </c>
      <c r="F681">
        <v>88</v>
      </c>
      <c r="G681" t="s">
        <v>1009</v>
      </c>
      <c r="H681" t="s">
        <v>1015</v>
      </c>
      <c r="I681" t="s">
        <v>11</v>
      </c>
    </row>
    <row r="682" spans="2:9" x14ac:dyDescent="0.3">
      <c r="B682">
        <v>90</v>
      </c>
      <c r="C682" t="s">
        <v>1007</v>
      </c>
      <c r="D682">
        <v>60</v>
      </c>
      <c r="E682" t="s">
        <v>1012</v>
      </c>
      <c r="F682">
        <v>85</v>
      </c>
      <c r="G682" t="s">
        <v>1006</v>
      </c>
      <c r="H682" t="s">
        <v>1016</v>
      </c>
      <c r="I682" t="s">
        <v>14</v>
      </c>
    </row>
    <row r="683" spans="2:9" x14ac:dyDescent="0.3">
      <c r="B683">
        <v>72</v>
      </c>
      <c r="C683" t="s">
        <v>1005</v>
      </c>
      <c r="D683">
        <v>82</v>
      </c>
      <c r="E683" t="s">
        <v>1007</v>
      </c>
      <c r="F683">
        <v>85</v>
      </c>
      <c r="G683" t="s">
        <v>1009</v>
      </c>
      <c r="H683" t="s">
        <v>1015</v>
      </c>
      <c r="I683" t="s">
        <v>14</v>
      </c>
    </row>
    <row r="684" spans="2:9" x14ac:dyDescent="0.3">
      <c r="B684">
        <v>78</v>
      </c>
      <c r="C684" t="s">
        <v>1005</v>
      </c>
      <c r="D684">
        <v>77</v>
      </c>
      <c r="E684" t="s">
        <v>1005</v>
      </c>
      <c r="F684">
        <v>90</v>
      </c>
      <c r="G684" t="s">
        <v>1006</v>
      </c>
      <c r="H684" t="s">
        <v>1015</v>
      </c>
      <c r="I684" t="s">
        <v>14</v>
      </c>
    </row>
    <row r="685" spans="2:9" x14ac:dyDescent="0.3">
      <c r="B685">
        <v>62</v>
      </c>
      <c r="C685" t="s">
        <v>1008</v>
      </c>
      <c r="D685">
        <v>65</v>
      </c>
      <c r="E685" t="s">
        <v>1008</v>
      </c>
      <c r="F685">
        <v>85</v>
      </c>
      <c r="G685" t="s">
        <v>1009</v>
      </c>
      <c r="H685" t="s">
        <v>1009</v>
      </c>
      <c r="I685" t="s">
        <v>977</v>
      </c>
    </row>
    <row r="686" spans="2:9" x14ac:dyDescent="0.3">
      <c r="B686">
        <v>62</v>
      </c>
      <c r="C686" t="s">
        <v>1008</v>
      </c>
      <c r="D686">
        <v>65</v>
      </c>
      <c r="E686" t="s">
        <v>1008</v>
      </c>
      <c r="F686">
        <v>85</v>
      </c>
      <c r="G686" t="s">
        <v>1009</v>
      </c>
      <c r="H686" t="s">
        <v>1009</v>
      </c>
      <c r="I686" t="s">
        <v>14</v>
      </c>
    </row>
    <row r="687" spans="2:9" x14ac:dyDescent="0.3">
      <c r="B687">
        <v>68</v>
      </c>
      <c r="C687" t="s">
        <v>1008</v>
      </c>
      <c r="D687">
        <v>78</v>
      </c>
      <c r="E687" t="s">
        <v>1005</v>
      </c>
      <c r="F687">
        <v>95</v>
      </c>
      <c r="G687" t="s">
        <v>1009</v>
      </c>
      <c r="H687" t="s">
        <v>1015</v>
      </c>
      <c r="I687" t="s">
        <v>14</v>
      </c>
    </row>
    <row r="688" spans="2:9" x14ac:dyDescent="0.3">
      <c r="B688">
        <v>90</v>
      </c>
      <c r="C688" t="s">
        <v>1007</v>
      </c>
      <c r="D688">
        <v>88</v>
      </c>
      <c r="E688" t="s">
        <v>1007</v>
      </c>
      <c r="F688">
        <v>90</v>
      </c>
      <c r="G688" t="s">
        <v>1006</v>
      </c>
      <c r="H688" t="s">
        <v>1015</v>
      </c>
      <c r="I688" t="s">
        <v>14</v>
      </c>
    </row>
    <row r="689" spans="2:9" x14ac:dyDescent="0.3">
      <c r="B689">
        <v>90</v>
      </c>
      <c r="C689" t="s">
        <v>1007</v>
      </c>
      <c r="D689">
        <v>85</v>
      </c>
      <c r="E689" t="s">
        <v>1007</v>
      </c>
      <c r="F689">
        <v>91</v>
      </c>
      <c r="G689" t="s">
        <v>1006</v>
      </c>
      <c r="H689" t="s">
        <v>1015</v>
      </c>
      <c r="I689" t="s">
        <v>14</v>
      </c>
    </row>
    <row r="690" spans="2:9" x14ac:dyDescent="0.3">
      <c r="B690">
        <v>80</v>
      </c>
      <c r="C690" t="s">
        <v>1005</v>
      </c>
      <c r="D690">
        <v>70</v>
      </c>
      <c r="E690" t="s">
        <v>1008</v>
      </c>
      <c r="F690">
        <v>70</v>
      </c>
      <c r="G690" t="s">
        <v>1006</v>
      </c>
      <c r="H690" t="s">
        <v>1009</v>
      </c>
      <c r="I690" t="s">
        <v>14</v>
      </c>
    </row>
    <row r="691" spans="2:9" x14ac:dyDescent="0.3">
      <c r="B691">
        <v>78</v>
      </c>
      <c r="C691" t="s">
        <v>1005</v>
      </c>
      <c r="D691">
        <v>88</v>
      </c>
      <c r="E691" t="s">
        <v>1007</v>
      </c>
      <c r="F691">
        <v>85.510416666666671</v>
      </c>
      <c r="G691" t="s">
        <v>1006</v>
      </c>
      <c r="H691" t="s">
        <v>1015</v>
      </c>
      <c r="I691" t="s">
        <v>14</v>
      </c>
    </row>
    <row r="692" spans="2:9" x14ac:dyDescent="0.3">
      <c r="B692">
        <v>90</v>
      </c>
      <c r="C692" t="s">
        <v>1007</v>
      </c>
      <c r="D692">
        <v>65</v>
      </c>
      <c r="E692" t="s">
        <v>1008</v>
      </c>
      <c r="F692">
        <v>82</v>
      </c>
      <c r="G692" t="s">
        <v>1006</v>
      </c>
      <c r="H692" t="s">
        <v>1009</v>
      </c>
      <c r="I692" t="s">
        <v>14</v>
      </c>
    </row>
    <row r="693" spans="2:9" x14ac:dyDescent="0.3">
      <c r="B693">
        <v>62</v>
      </c>
      <c r="C693" t="s">
        <v>1008</v>
      </c>
      <c r="D693">
        <v>78</v>
      </c>
      <c r="E693" t="s">
        <v>1005</v>
      </c>
      <c r="F693">
        <v>88</v>
      </c>
      <c r="G693" t="s">
        <v>1009</v>
      </c>
      <c r="H693" t="s">
        <v>1015</v>
      </c>
      <c r="I693" t="s">
        <v>11</v>
      </c>
    </row>
    <row r="694" spans="2:9" x14ac:dyDescent="0.3">
      <c r="B694">
        <v>62</v>
      </c>
      <c r="C694" t="s">
        <v>1008</v>
      </c>
      <c r="D694">
        <v>86</v>
      </c>
      <c r="E694" t="s">
        <v>1007</v>
      </c>
      <c r="F694">
        <v>88</v>
      </c>
      <c r="G694" t="s">
        <v>1009</v>
      </c>
      <c r="H694" t="s">
        <v>1015</v>
      </c>
      <c r="I694" t="s">
        <v>14</v>
      </c>
    </row>
    <row r="695" spans="2:9" x14ac:dyDescent="0.3">
      <c r="B695">
        <v>62</v>
      </c>
      <c r="C695" t="s">
        <v>1008</v>
      </c>
      <c r="D695">
        <v>88</v>
      </c>
      <c r="E695" t="s">
        <v>1007</v>
      </c>
      <c r="F695">
        <v>70</v>
      </c>
      <c r="G695" t="s">
        <v>1009</v>
      </c>
      <c r="H695" t="s">
        <v>1015</v>
      </c>
      <c r="I695" t="s">
        <v>14</v>
      </c>
    </row>
    <row r="696" spans="2:9" x14ac:dyDescent="0.3">
      <c r="B696">
        <v>92</v>
      </c>
      <c r="C696" t="s">
        <v>1010</v>
      </c>
      <c r="D696">
        <v>65</v>
      </c>
      <c r="E696" t="s">
        <v>1008</v>
      </c>
      <c r="F696">
        <v>85</v>
      </c>
      <c r="G696" t="s">
        <v>1011</v>
      </c>
      <c r="H696" t="s">
        <v>1009</v>
      </c>
      <c r="I696" t="s">
        <v>11</v>
      </c>
    </row>
    <row r="697" spans="2:9" x14ac:dyDescent="0.3">
      <c r="B697">
        <v>78</v>
      </c>
      <c r="C697" t="s">
        <v>1005</v>
      </c>
      <c r="D697">
        <v>70</v>
      </c>
      <c r="E697" t="s">
        <v>1008</v>
      </c>
      <c r="F697">
        <v>91</v>
      </c>
      <c r="G697" t="s">
        <v>1006</v>
      </c>
      <c r="H697" t="s">
        <v>1009</v>
      </c>
      <c r="I697" t="s">
        <v>14</v>
      </c>
    </row>
    <row r="698" spans="2:9" x14ac:dyDescent="0.3">
      <c r="B698">
        <v>85</v>
      </c>
      <c r="C698" t="s">
        <v>1007</v>
      </c>
      <c r="D698">
        <v>90</v>
      </c>
      <c r="E698" t="s">
        <v>1007</v>
      </c>
      <c r="F698">
        <v>95</v>
      </c>
      <c r="G698" t="s">
        <v>1006</v>
      </c>
      <c r="H698" t="s">
        <v>1015</v>
      </c>
      <c r="I698" t="s">
        <v>14</v>
      </c>
    </row>
    <row r="699" spans="2:9" x14ac:dyDescent="0.3">
      <c r="B699">
        <v>85</v>
      </c>
      <c r="C699" t="s">
        <v>1007</v>
      </c>
      <c r="D699">
        <v>90</v>
      </c>
      <c r="E699" t="s">
        <v>1007</v>
      </c>
      <c r="F699">
        <v>90</v>
      </c>
      <c r="G699" t="s">
        <v>1006</v>
      </c>
      <c r="H699" t="s">
        <v>1015</v>
      </c>
      <c r="I699" t="s">
        <v>11</v>
      </c>
    </row>
    <row r="700" spans="2:9" x14ac:dyDescent="0.3">
      <c r="B700">
        <v>85</v>
      </c>
      <c r="C700" t="s">
        <v>1007</v>
      </c>
      <c r="D700">
        <v>82</v>
      </c>
      <c r="E700" t="s">
        <v>1007</v>
      </c>
      <c r="F700">
        <v>92</v>
      </c>
      <c r="G700" t="s">
        <v>1006</v>
      </c>
      <c r="H700" t="s">
        <v>1015</v>
      </c>
      <c r="I700" t="s">
        <v>11</v>
      </c>
    </row>
    <row r="701" spans="2:9" x14ac:dyDescent="0.3">
      <c r="B701">
        <v>85</v>
      </c>
      <c r="C701" t="s">
        <v>1007</v>
      </c>
      <c r="D701">
        <v>85</v>
      </c>
      <c r="E701" t="s">
        <v>1007</v>
      </c>
      <c r="F701">
        <v>85</v>
      </c>
      <c r="G701" t="s">
        <v>1006</v>
      </c>
      <c r="H701" t="s">
        <v>1015</v>
      </c>
      <c r="I701" t="s">
        <v>14</v>
      </c>
    </row>
    <row r="702" spans="2:9" x14ac:dyDescent="0.3">
      <c r="B702">
        <v>72</v>
      </c>
      <c r="C702" t="s">
        <v>1005</v>
      </c>
      <c r="D702">
        <v>85</v>
      </c>
      <c r="E702" t="s">
        <v>1007</v>
      </c>
      <c r="F702">
        <v>78</v>
      </c>
      <c r="G702" t="s">
        <v>1009</v>
      </c>
      <c r="H702" t="s">
        <v>1015</v>
      </c>
      <c r="I702" t="s">
        <v>14</v>
      </c>
    </row>
    <row r="703" spans="2:9" x14ac:dyDescent="0.3">
      <c r="B703">
        <v>88</v>
      </c>
      <c r="C703" t="s">
        <v>1007</v>
      </c>
      <c r="D703">
        <v>85</v>
      </c>
      <c r="E703" t="s">
        <v>1007</v>
      </c>
      <c r="F703">
        <v>92</v>
      </c>
      <c r="G703" t="s">
        <v>1006</v>
      </c>
      <c r="H703" t="s">
        <v>1015</v>
      </c>
      <c r="I703" t="s">
        <v>11</v>
      </c>
    </row>
    <row r="704" spans="2:9" x14ac:dyDescent="0.3">
      <c r="B704">
        <v>78</v>
      </c>
      <c r="C704" t="s">
        <v>1005</v>
      </c>
      <c r="D704">
        <v>65</v>
      </c>
      <c r="E704" t="s">
        <v>1008</v>
      </c>
      <c r="F704">
        <v>78</v>
      </c>
      <c r="G704" t="s">
        <v>1006</v>
      </c>
      <c r="H704" t="s">
        <v>1009</v>
      </c>
      <c r="I704" t="s">
        <v>11</v>
      </c>
    </row>
    <row r="705" spans="2:9" x14ac:dyDescent="0.3">
      <c r="B705">
        <v>92</v>
      </c>
      <c r="C705" t="s">
        <v>1010</v>
      </c>
      <c r="D705">
        <v>70</v>
      </c>
      <c r="E705" t="s">
        <v>1008</v>
      </c>
      <c r="F705">
        <v>90</v>
      </c>
      <c r="G705" t="s">
        <v>1011</v>
      </c>
      <c r="H705" t="s">
        <v>1009</v>
      </c>
      <c r="I705" t="s">
        <v>14</v>
      </c>
    </row>
    <row r="706" spans="2:9" x14ac:dyDescent="0.3">
      <c r="B706">
        <v>80</v>
      </c>
      <c r="C706" t="s">
        <v>1005</v>
      </c>
      <c r="D706">
        <v>78</v>
      </c>
      <c r="E706" t="s">
        <v>1005</v>
      </c>
      <c r="F706">
        <v>95</v>
      </c>
      <c r="G706" t="s">
        <v>1006</v>
      </c>
      <c r="H706" t="s">
        <v>1015</v>
      </c>
      <c r="I706" t="s">
        <v>14</v>
      </c>
    </row>
    <row r="707" spans="2:9" x14ac:dyDescent="0.3">
      <c r="B707">
        <v>78</v>
      </c>
      <c r="C707" t="s">
        <v>1005</v>
      </c>
      <c r="D707">
        <v>85</v>
      </c>
      <c r="E707" t="s">
        <v>1007</v>
      </c>
      <c r="F707">
        <v>88</v>
      </c>
      <c r="G707" t="s">
        <v>1006</v>
      </c>
      <c r="H707" t="s">
        <v>1015</v>
      </c>
      <c r="I707" t="s">
        <v>14</v>
      </c>
    </row>
    <row r="708" spans="2:9" x14ac:dyDescent="0.3">
      <c r="B708">
        <v>90</v>
      </c>
      <c r="C708" t="s">
        <v>1007</v>
      </c>
      <c r="D708">
        <v>90</v>
      </c>
      <c r="E708" t="s">
        <v>1007</v>
      </c>
      <c r="F708">
        <v>92</v>
      </c>
      <c r="G708" t="s">
        <v>1006</v>
      </c>
      <c r="H708" t="s">
        <v>1015</v>
      </c>
      <c r="I708" t="s">
        <v>11</v>
      </c>
    </row>
    <row r="709" spans="2:9" x14ac:dyDescent="0.3">
      <c r="B709">
        <v>62</v>
      </c>
      <c r="C709" t="s">
        <v>1008</v>
      </c>
      <c r="D709">
        <v>77</v>
      </c>
      <c r="E709" t="s">
        <v>1005</v>
      </c>
      <c r="F709">
        <v>90</v>
      </c>
      <c r="G709" t="s">
        <v>1009</v>
      </c>
      <c r="H709" t="s">
        <v>1015</v>
      </c>
      <c r="I709" t="s">
        <v>14</v>
      </c>
    </row>
    <row r="710" spans="2:9" x14ac:dyDescent="0.3">
      <c r="B710">
        <v>80.030208333333334</v>
      </c>
      <c r="C710" t="s">
        <v>1007</v>
      </c>
      <c r="D710">
        <v>86</v>
      </c>
      <c r="E710" t="s">
        <v>1007</v>
      </c>
      <c r="F710">
        <v>95</v>
      </c>
      <c r="G710" t="s">
        <v>1006</v>
      </c>
      <c r="H710" t="s">
        <v>1015</v>
      </c>
      <c r="I710" t="s">
        <v>11</v>
      </c>
    </row>
    <row r="711" spans="2:9" x14ac:dyDescent="0.3">
      <c r="B711">
        <v>85</v>
      </c>
      <c r="C711" t="s">
        <v>1007</v>
      </c>
      <c r="D711">
        <v>60</v>
      </c>
      <c r="E711" t="s">
        <v>1012</v>
      </c>
      <c r="F711">
        <v>78</v>
      </c>
      <c r="G711" t="s">
        <v>1006</v>
      </c>
      <c r="H711" t="s">
        <v>1016</v>
      </c>
      <c r="I711" t="s">
        <v>14</v>
      </c>
    </row>
    <row r="712" spans="2:9" x14ac:dyDescent="0.3">
      <c r="B712">
        <v>78</v>
      </c>
      <c r="C712" t="s">
        <v>1005</v>
      </c>
      <c r="D712">
        <v>86</v>
      </c>
      <c r="E712" t="s">
        <v>1007</v>
      </c>
      <c r="F712">
        <v>82</v>
      </c>
      <c r="G712" t="s">
        <v>1006</v>
      </c>
      <c r="H712" t="s">
        <v>1015</v>
      </c>
      <c r="I712" t="s">
        <v>11</v>
      </c>
    </row>
    <row r="713" spans="2:9" x14ac:dyDescent="0.3">
      <c r="B713">
        <v>62</v>
      </c>
      <c r="C713" t="s">
        <v>1008</v>
      </c>
      <c r="D713">
        <v>82</v>
      </c>
      <c r="E713" t="s">
        <v>1007</v>
      </c>
      <c r="F713">
        <v>91</v>
      </c>
      <c r="G713" t="s">
        <v>1009</v>
      </c>
      <c r="H713" t="s">
        <v>1015</v>
      </c>
      <c r="I713" t="s">
        <v>11</v>
      </c>
    </row>
    <row r="714" spans="2:9" x14ac:dyDescent="0.3">
      <c r="B714">
        <v>78</v>
      </c>
      <c r="C714" t="s">
        <v>1005</v>
      </c>
      <c r="D714">
        <v>86</v>
      </c>
      <c r="E714" t="s">
        <v>1007</v>
      </c>
      <c r="F714">
        <v>85</v>
      </c>
      <c r="G714" t="s">
        <v>1006</v>
      </c>
      <c r="H714" t="s">
        <v>1015</v>
      </c>
      <c r="I714" t="s">
        <v>11</v>
      </c>
    </row>
    <row r="715" spans="2:9" x14ac:dyDescent="0.3">
      <c r="B715">
        <v>87</v>
      </c>
      <c r="C715" t="s">
        <v>1007</v>
      </c>
      <c r="D715">
        <v>86</v>
      </c>
      <c r="E715" t="s">
        <v>1007</v>
      </c>
      <c r="F715">
        <v>91</v>
      </c>
      <c r="G715" t="s">
        <v>1006</v>
      </c>
      <c r="H715" t="s">
        <v>1015</v>
      </c>
      <c r="I715" t="s">
        <v>14</v>
      </c>
    </row>
    <row r="716" spans="2:9" x14ac:dyDescent="0.3">
      <c r="B716">
        <v>92</v>
      </c>
      <c r="C716" t="s">
        <v>1010</v>
      </c>
      <c r="D716">
        <v>85</v>
      </c>
      <c r="E716" t="s">
        <v>1007</v>
      </c>
      <c r="F716">
        <v>85</v>
      </c>
      <c r="G716" t="s">
        <v>1011</v>
      </c>
      <c r="H716" t="s">
        <v>1015</v>
      </c>
      <c r="I716" t="s">
        <v>14</v>
      </c>
    </row>
    <row r="717" spans="2:9" x14ac:dyDescent="0.3">
      <c r="B717">
        <v>92</v>
      </c>
      <c r="C717" t="s">
        <v>1010</v>
      </c>
      <c r="D717">
        <v>60</v>
      </c>
      <c r="E717" t="s">
        <v>1012</v>
      </c>
      <c r="F717">
        <v>70</v>
      </c>
      <c r="G717" t="s">
        <v>1011</v>
      </c>
      <c r="H717" t="s">
        <v>1016</v>
      </c>
      <c r="I717" t="s">
        <v>14</v>
      </c>
    </row>
    <row r="718" spans="2:9" x14ac:dyDescent="0.3">
      <c r="B718">
        <v>92</v>
      </c>
      <c r="C718" t="s">
        <v>1010</v>
      </c>
      <c r="D718">
        <v>78</v>
      </c>
      <c r="E718" t="s">
        <v>1005</v>
      </c>
      <c r="F718">
        <v>70</v>
      </c>
      <c r="G718" t="s">
        <v>1011</v>
      </c>
      <c r="H718" t="s">
        <v>1015</v>
      </c>
      <c r="I718" t="s">
        <v>11</v>
      </c>
    </row>
    <row r="719" spans="2:9" x14ac:dyDescent="0.3">
      <c r="B719">
        <v>62</v>
      </c>
      <c r="C719" t="s">
        <v>1008</v>
      </c>
      <c r="D719">
        <v>65</v>
      </c>
      <c r="E719" t="s">
        <v>1008</v>
      </c>
      <c r="F719">
        <v>85</v>
      </c>
      <c r="G719" t="s">
        <v>1009</v>
      </c>
      <c r="H719" t="s">
        <v>1009</v>
      </c>
      <c r="I719" t="s">
        <v>11</v>
      </c>
    </row>
    <row r="720" spans="2:9" x14ac:dyDescent="0.3">
      <c r="B720">
        <v>90</v>
      </c>
      <c r="C720" t="s">
        <v>1007</v>
      </c>
      <c r="D720">
        <v>70</v>
      </c>
      <c r="E720" t="s">
        <v>1008</v>
      </c>
      <c r="F720">
        <v>90</v>
      </c>
      <c r="G720" t="s">
        <v>1006</v>
      </c>
      <c r="H720" t="s">
        <v>1009</v>
      </c>
      <c r="I720" t="s">
        <v>14</v>
      </c>
    </row>
    <row r="721" spans="2:9" x14ac:dyDescent="0.3">
      <c r="B721">
        <v>62</v>
      </c>
      <c r="C721" t="s">
        <v>1008</v>
      </c>
      <c r="D721">
        <v>86</v>
      </c>
      <c r="E721" t="s">
        <v>1007</v>
      </c>
      <c r="F721">
        <v>88</v>
      </c>
      <c r="G721" t="s">
        <v>1009</v>
      </c>
      <c r="H721" t="s">
        <v>1015</v>
      </c>
      <c r="I721" t="s">
        <v>11</v>
      </c>
    </row>
    <row r="722" spans="2:9" x14ac:dyDescent="0.3">
      <c r="B722">
        <v>68</v>
      </c>
      <c r="C722" t="s">
        <v>1008</v>
      </c>
      <c r="D722">
        <v>77</v>
      </c>
      <c r="E722" t="s">
        <v>1005</v>
      </c>
      <c r="F722">
        <v>85.510416666666671</v>
      </c>
      <c r="G722" t="s">
        <v>1009</v>
      </c>
      <c r="H722" t="s">
        <v>1015</v>
      </c>
      <c r="I722" t="s">
        <v>14</v>
      </c>
    </row>
    <row r="723" spans="2:9" x14ac:dyDescent="0.3">
      <c r="B723">
        <v>85</v>
      </c>
      <c r="C723" t="s">
        <v>1007</v>
      </c>
      <c r="D723">
        <v>78</v>
      </c>
      <c r="E723" t="s">
        <v>1005</v>
      </c>
      <c r="F723">
        <v>90</v>
      </c>
      <c r="G723" t="s">
        <v>1006</v>
      </c>
      <c r="H723" t="s">
        <v>1015</v>
      </c>
      <c r="I723" t="s">
        <v>14</v>
      </c>
    </row>
    <row r="724" spans="2:9" x14ac:dyDescent="0.3">
      <c r="B724">
        <v>78</v>
      </c>
      <c r="C724" t="s">
        <v>1005</v>
      </c>
      <c r="D724">
        <v>60</v>
      </c>
      <c r="E724" t="s">
        <v>1012</v>
      </c>
      <c r="F724">
        <v>82</v>
      </c>
      <c r="G724" t="s">
        <v>1006</v>
      </c>
      <c r="H724" t="s">
        <v>1016</v>
      </c>
      <c r="I724" t="s">
        <v>14</v>
      </c>
    </row>
    <row r="725" spans="2:9" x14ac:dyDescent="0.3">
      <c r="B725">
        <v>78</v>
      </c>
      <c r="C725" t="s">
        <v>1005</v>
      </c>
      <c r="D725">
        <v>90</v>
      </c>
      <c r="E725" t="s">
        <v>1007</v>
      </c>
      <c r="F725">
        <v>78</v>
      </c>
      <c r="G725" t="s">
        <v>1006</v>
      </c>
      <c r="H725" t="s">
        <v>1015</v>
      </c>
      <c r="I725" t="s">
        <v>11</v>
      </c>
    </row>
    <row r="726" spans="2:9" x14ac:dyDescent="0.3">
      <c r="B726">
        <v>72</v>
      </c>
      <c r="C726" t="s">
        <v>1005</v>
      </c>
      <c r="D726">
        <v>77.598759048603924</v>
      </c>
      <c r="E726" t="s">
        <v>1005</v>
      </c>
      <c r="F726">
        <v>85</v>
      </c>
      <c r="G726" t="s">
        <v>1009</v>
      </c>
      <c r="H726" t="s">
        <v>1015</v>
      </c>
      <c r="I726" t="s">
        <v>11</v>
      </c>
    </row>
    <row r="727" spans="2:9" x14ac:dyDescent="0.3">
      <c r="B727">
        <v>68</v>
      </c>
      <c r="C727" t="s">
        <v>1008</v>
      </c>
      <c r="D727">
        <v>90</v>
      </c>
      <c r="E727" t="s">
        <v>1007</v>
      </c>
      <c r="F727">
        <v>95</v>
      </c>
      <c r="G727" t="s">
        <v>1009</v>
      </c>
      <c r="H727" t="s">
        <v>1015</v>
      </c>
      <c r="I727" t="s">
        <v>11</v>
      </c>
    </row>
    <row r="728" spans="2:9" x14ac:dyDescent="0.3">
      <c r="B728">
        <v>87</v>
      </c>
      <c r="C728" t="s">
        <v>1007</v>
      </c>
      <c r="D728">
        <v>90</v>
      </c>
      <c r="E728" t="s">
        <v>1007</v>
      </c>
      <c r="F728">
        <v>70</v>
      </c>
      <c r="G728" t="s">
        <v>1006</v>
      </c>
      <c r="H728" t="s">
        <v>1015</v>
      </c>
      <c r="I728" t="s">
        <v>11</v>
      </c>
    </row>
    <row r="729" spans="2:9" x14ac:dyDescent="0.3">
      <c r="B729">
        <v>80</v>
      </c>
      <c r="C729" t="s">
        <v>1005</v>
      </c>
      <c r="D729">
        <v>85</v>
      </c>
      <c r="E729" t="s">
        <v>1007</v>
      </c>
      <c r="F729">
        <v>95</v>
      </c>
      <c r="G729" t="s">
        <v>1006</v>
      </c>
      <c r="H729" t="s">
        <v>1015</v>
      </c>
      <c r="I729" t="s">
        <v>14</v>
      </c>
    </row>
    <row r="730" spans="2:9" x14ac:dyDescent="0.3">
      <c r="B730">
        <v>88</v>
      </c>
      <c r="C730" t="s">
        <v>1007</v>
      </c>
      <c r="D730">
        <v>88</v>
      </c>
      <c r="E730" t="s">
        <v>1007</v>
      </c>
      <c r="F730">
        <v>91</v>
      </c>
      <c r="G730" t="s">
        <v>1006</v>
      </c>
      <c r="H730" t="s">
        <v>1015</v>
      </c>
      <c r="I730" t="s">
        <v>14</v>
      </c>
    </row>
    <row r="731" spans="2:9" x14ac:dyDescent="0.3">
      <c r="B731">
        <v>88</v>
      </c>
      <c r="C731" t="s">
        <v>1007</v>
      </c>
      <c r="D731">
        <v>78</v>
      </c>
      <c r="E731" t="s">
        <v>1005</v>
      </c>
      <c r="F731">
        <v>88</v>
      </c>
      <c r="G731" t="s">
        <v>1006</v>
      </c>
      <c r="H731" t="s">
        <v>1015</v>
      </c>
      <c r="I731" t="s">
        <v>11</v>
      </c>
    </row>
    <row r="732" spans="2:9" x14ac:dyDescent="0.3">
      <c r="B732">
        <v>62</v>
      </c>
      <c r="C732" t="s">
        <v>1008</v>
      </c>
      <c r="D732">
        <v>78</v>
      </c>
      <c r="E732" t="s">
        <v>1005</v>
      </c>
      <c r="F732">
        <v>70</v>
      </c>
      <c r="G732" t="s">
        <v>1009</v>
      </c>
      <c r="H732" t="s">
        <v>1015</v>
      </c>
      <c r="I732" t="s">
        <v>11</v>
      </c>
    </row>
    <row r="733" spans="2:9" x14ac:dyDescent="0.3">
      <c r="B733">
        <v>90</v>
      </c>
      <c r="C733" t="s">
        <v>1007</v>
      </c>
      <c r="D733">
        <v>82</v>
      </c>
      <c r="E733" t="s">
        <v>1007</v>
      </c>
      <c r="F733">
        <v>85</v>
      </c>
      <c r="G733" t="s">
        <v>1006</v>
      </c>
      <c r="H733" t="s">
        <v>1015</v>
      </c>
      <c r="I733" t="s">
        <v>14</v>
      </c>
    </row>
    <row r="734" spans="2:9" x14ac:dyDescent="0.3">
      <c r="B734">
        <v>62</v>
      </c>
      <c r="C734" t="s">
        <v>1008</v>
      </c>
      <c r="D734">
        <v>82</v>
      </c>
      <c r="E734" t="s">
        <v>1007</v>
      </c>
      <c r="F734">
        <v>70</v>
      </c>
      <c r="G734" t="s">
        <v>1009</v>
      </c>
      <c r="H734" t="s">
        <v>1015</v>
      </c>
      <c r="I734" t="s">
        <v>14</v>
      </c>
    </row>
    <row r="735" spans="2:9" x14ac:dyDescent="0.3">
      <c r="B735">
        <v>78</v>
      </c>
      <c r="C735" t="s">
        <v>1005</v>
      </c>
      <c r="D735">
        <v>78</v>
      </c>
      <c r="E735" t="s">
        <v>1005</v>
      </c>
      <c r="F735">
        <v>70</v>
      </c>
      <c r="G735" t="s">
        <v>1006</v>
      </c>
      <c r="H735" t="s">
        <v>1015</v>
      </c>
      <c r="I735" t="s">
        <v>14</v>
      </c>
    </row>
    <row r="736" spans="2:9" x14ac:dyDescent="0.3">
      <c r="B736">
        <v>85</v>
      </c>
      <c r="C736" t="s">
        <v>1007</v>
      </c>
      <c r="D736">
        <v>60</v>
      </c>
      <c r="E736" t="s">
        <v>1012</v>
      </c>
      <c r="F736">
        <v>88</v>
      </c>
      <c r="G736" t="s">
        <v>1006</v>
      </c>
      <c r="H736" t="s">
        <v>1016</v>
      </c>
      <c r="I736" t="s">
        <v>11</v>
      </c>
    </row>
    <row r="737" spans="2:9" x14ac:dyDescent="0.3">
      <c r="B737">
        <v>80</v>
      </c>
      <c r="C737" t="s">
        <v>1005</v>
      </c>
      <c r="D737">
        <v>78</v>
      </c>
      <c r="E737" t="s">
        <v>1005</v>
      </c>
      <c r="F737">
        <v>88</v>
      </c>
      <c r="G737" t="s">
        <v>1006</v>
      </c>
      <c r="H737" t="s">
        <v>1015</v>
      </c>
      <c r="I737" t="s">
        <v>14</v>
      </c>
    </row>
    <row r="738" spans="2:9" x14ac:dyDescent="0.3">
      <c r="B738">
        <v>88</v>
      </c>
      <c r="C738" t="s">
        <v>1007</v>
      </c>
      <c r="D738">
        <v>82</v>
      </c>
      <c r="E738" t="s">
        <v>1007</v>
      </c>
      <c r="F738">
        <v>85</v>
      </c>
      <c r="G738" t="s">
        <v>1006</v>
      </c>
      <c r="H738" t="s">
        <v>1015</v>
      </c>
      <c r="I738" t="s">
        <v>11</v>
      </c>
    </row>
    <row r="739" spans="2:9" x14ac:dyDescent="0.3">
      <c r="B739">
        <v>62</v>
      </c>
      <c r="C739" t="s">
        <v>1008</v>
      </c>
      <c r="D739">
        <v>60</v>
      </c>
      <c r="E739" t="s">
        <v>1012</v>
      </c>
      <c r="F739">
        <v>78</v>
      </c>
      <c r="G739" t="s">
        <v>1009</v>
      </c>
      <c r="H739" t="s">
        <v>1016</v>
      </c>
      <c r="I739" t="s">
        <v>14</v>
      </c>
    </row>
    <row r="740" spans="2:9" x14ac:dyDescent="0.3">
      <c r="B740">
        <v>68</v>
      </c>
      <c r="C740" t="s">
        <v>1008</v>
      </c>
      <c r="D740">
        <v>88</v>
      </c>
      <c r="E740" t="s">
        <v>1007</v>
      </c>
      <c r="F740">
        <v>91</v>
      </c>
      <c r="G740" t="s">
        <v>1009</v>
      </c>
      <c r="H740" t="s">
        <v>1015</v>
      </c>
      <c r="I740" t="s">
        <v>14</v>
      </c>
    </row>
    <row r="741" spans="2:9" x14ac:dyDescent="0.3">
      <c r="B741">
        <v>80</v>
      </c>
      <c r="C741" t="s">
        <v>1005</v>
      </c>
      <c r="D741">
        <v>78</v>
      </c>
      <c r="E741" t="s">
        <v>1005</v>
      </c>
      <c r="F741">
        <v>82</v>
      </c>
      <c r="G741" t="s">
        <v>1006</v>
      </c>
      <c r="H741" t="s">
        <v>1015</v>
      </c>
      <c r="I741" t="s">
        <v>14</v>
      </c>
    </row>
    <row r="742" spans="2:9" x14ac:dyDescent="0.3">
      <c r="B742">
        <v>62</v>
      </c>
      <c r="C742" t="s">
        <v>1008</v>
      </c>
      <c r="D742">
        <v>86</v>
      </c>
      <c r="E742" t="s">
        <v>1007</v>
      </c>
      <c r="F742">
        <v>88</v>
      </c>
      <c r="G742" t="s">
        <v>1009</v>
      </c>
      <c r="H742" t="s">
        <v>1015</v>
      </c>
      <c r="I742" t="s">
        <v>14</v>
      </c>
    </row>
    <row r="743" spans="2:9" x14ac:dyDescent="0.3">
      <c r="B743">
        <v>92</v>
      </c>
      <c r="C743" t="s">
        <v>1010</v>
      </c>
      <c r="D743">
        <v>78</v>
      </c>
      <c r="E743" t="s">
        <v>1005</v>
      </c>
      <c r="F743">
        <v>92</v>
      </c>
      <c r="G743" t="s">
        <v>1011</v>
      </c>
      <c r="H743" t="s">
        <v>1015</v>
      </c>
      <c r="I743" t="s">
        <v>11</v>
      </c>
    </row>
    <row r="744" spans="2:9" x14ac:dyDescent="0.3">
      <c r="B744">
        <v>62</v>
      </c>
      <c r="C744" t="s">
        <v>1008</v>
      </c>
      <c r="D744">
        <v>77</v>
      </c>
      <c r="E744" t="s">
        <v>1005</v>
      </c>
      <c r="F744">
        <v>90</v>
      </c>
      <c r="G744" t="s">
        <v>1009</v>
      </c>
      <c r="H744" t="s">
        <v>1015</v>
      </c>
      <c r="I744" t="s">
        <v>11</v>
      </c>
    </row>
    <row r="745" spans="2:9" x14ac:dyDescent="0.3">
      <c r="B745">
        <v>92</v>
      </c>
      <c r="C745" t="s">
        <v>1010</v>
      </c>
      <c r="D745">
        <v>77</v>
      </c>
      <c r="E745" t="s">
        <v>1005</v>
      </c>
      <c r="F745">
        <v>85</v>
      </c>
      <c r="G745" t="s">
        <v>1011</v>
      </c>
      <c r="H745" t="s">
        <v>1015</v>
      </c>
      <c r="I745" t="s">
        <v>14</v>
      </c>
    </row>
    <row r="746" spans="2:9" x14ac:dyDescent="0.3">
      <c r="B746">
        <v>88</v>
      </c>
      <c r="C746" t="s">
        <v>1007</v>
      </c>
      <c r="D746">
        <v>60</v>
      </c>
      <c r="E746" t="s">
        <v>1012</v>
      </c>
      <c r="F746">
        <v>90</v>
      </c>
      <c r="G746" t="s">
        <v>1006</v>
      </c>
      <c r="H746" t="s">
        <v>1016</v>
      </c>
      <c r="I746" t="s">
        <v>11</v>
      </c>
    </row>
    <row r="747" spans="2:9" x14ac:dyDescent="0.3">
      <c r="B747">
        <v>80.030208333333334</v>
      </c>
      <c r="C747" t="s">
        <v>1007</v>
      </c>
      <c r="D747">
        <v>70</v>
      </c>
      <c r="E747" t="s">
        <v>1008</v>
      </c>
      <c r="F747">
        <v>70</v>
      </c>
      <c r="G747" t="s">
        <v>1006</v>
      </c>
      <c r="H747" t="s">
        <v>1009</v>
      </c>
      <c r="I747" t="s">
        <v>14</v>
      </c>
    </row>
    <row r="748" spans="2:9" x14ac:dyDescent="0.3">
      <c r="B748">
        <v>85</v>
      </c>
      <c r="C748" t="s">
        <v>1007</v>
      </c>
      <c r="D748">
        <v>88</v>
      </c>
      <c r="E748" t="s">
        <v>1007</v>
      </c>
      <c r="F748">
        <v>70</v>
      </c>
      <c r="G748" t="s">
        <v>1006</v>
      </c>
      <c r="H748" t="s">
        <v>1015</v>
      </c>
      <c r="I748" t="s">
        <v>11</v>
      </c>
    </row>
    <row r="749" spans="2:9" x14ac:dyDescent="0.3">
      <c r="B749">
        <v>68</v>
      </c>
      <c r="C749" t="s">
        <v>1008</v>
      </c>
      <c r="D749">
        <v>77</v>
      </c>
      <c r="E749" t="s">
        <v>1005</v>
      </c>
      <c r="F749">
        <v>91</v>
      </c>
      <c r="G749" t="s">
        <v>1009</v>
      </c>
      <c r="H749" t="s">
        <v>1015</v>
      </c>
      <c r="I749" t="s">
        <v>14</v>
      </c>
    </row>
    <row r="750" spans="2:9" x14ac:dyDescent="0.3">
      <c r="B750">
        <v>90</v>
      </c>
      <c r="C750" t="s">
        <v>1007</v>
      </c>
      <c r="D750">
        <v>90</v>
      </c>
      <c r="E750" t="s">
        <v>1007</v>
      </c>
      <c r="F750">
        <v>92</v>
      </c>
      <c r="G750" t="s">
        <v>1006</v>
      </c>
      <c r="H750" t="s">
        <v>1015</v>
      </c>
      <c r="I750" t="s">
        <v>14</v>
      </c>
    </row>
    <row r="751" spans="2:9" x14ac:dyDescent="0.3">
      <c r="B751">
        <v>88</v>
      </c>
      <c r="C751" t="s">
        <v>1007</v>
      </c>
      <c r="D751">
        <v>88</v>
      </c>
      <c r="E751" t="s">
        <v>1007</v>
      </c>
      <c r="F751">
        <v>70</v>
      </c>
      <c r="G751" t="s">
        <v>1006</v>
      </c>
      <c r="H751" t="s">
        <v>1015</v>
      </c>
      <c r="I751" t="s">
        <v>14</v>
      </c>
    </row>
    <row r="752" spans="2:9" x14ac:dyDescent="0.3">
      <c r="B752">
        <v>87</v>
      </c>
      <c r="C752" t="s">
        <v>1007</v>
      </c>
      <c r="D752">
        <v>65</v>
      </c>
      <c r="E752" t="s">
        <v>1008</v>
      </c>
      <c r="F752">
        <v>78</v>
      </c>
      <c r="G752" t="s">
        <v>1006</v>
      </c>
      <c r="H752" t="s">
        <v>1009</v>
      </c>
      <c r="I752" t="s">
        <v>11</v>
      </c>
    </row>
    <row r="753" spans="2:9" x14ac:dyDescent="0.3">
      <c r="B753">
        <v>90</v>
      </c>
      <c r="C753" t="s">
        <v>1007</v>
      </c>
      <c r="D753">
        <v>77.598759048603924</v>
      </c>
      <c r="E753" t="s">
        <v>1005</v>
      </c>
      <c r="F753">
        <v>82</v>
      </c>
      <c r="G753" t="s">
        <v>1006</v>
      </c>
      <c r="H753" t="s">
        <v>1015</v>
      </c>
      <c r="I753" t="s">
        <v>11</v>
      </c>
    </row>
    <row r="754" spans="2:9" x14ac:dyDescent="0.3">
      <c r="B754">
        <v>72</v>
      </c>
      <c r="C754" t="s">
        <v>1005</v>
      </c>
      <c r="D754">
        <v>86</v>
      </c>
      <c r="E754" t="s">
        <v>1007</v>
      </c>
      <c r="F754">
        <v>70</v>
      </c>
      <c r="G754" t="s">
        <v>1009</v>
      </c>
      <c r="H754" t="s">
        <v>1015</v>
      </c>
      <c r="I754" t="s">
        <v>14</v>
      </c>
    </row>
    <row r="755" spans="2:9" x14ac:dyDescent="0.3">
      <c r="B755">
        <v>87</v>
      </c>
      <c r="C755" t="s">
        <v>1007</v>
      </c>
      <c r="D755">
        <v>65</v>
      </c>
      <c r="E755" t="s">
        <v>1008</v>
      </c>
      <c r="F755">
        <v>82</v>
      </c>
      <c r="G755" t="s">
        <v>1006</v>
      </c>
      <c r="H755" t="s">
        <v>1009</v>
      </c>
      <c r="I755" t="s">
        <v>11</v>
      </c>
    </row>
    <row r="756" spans="2:9" x14ac:dyDescent="0.3">
      <c r="B756">
        <v>72</v>
      </c>
      <c r="C756" t="s">
        <v>1005</v>
      </c>
      <c r="D756">
        <v>85</v>
      </c>
      <c r="E756" t="s">
        <v>1007</v>
      </c>
      <c r="F756">
        <v>91</v>
      </c>
      <c r="G756" t="s">
        <v>1009</v>
      </c>
      <c r="H756" t="s">
        <v>1015</v>
      </c>
      <c r="I756" t="s">
        <v>11</v>
      </c>
    </row>
    <row r="757" spans="2:9" x14ac:dyDescent="0.3">
      <c r="B757">
        <v>87</v>
      </c>
      <c r="C757" t="s">
        <v>1007</v>
      </c>
      <c r="D757">
        <v>77</v>
      </c>
      <c r="E757" t="s">
        <v>1005</v>
      </c>
      <c r="F757">
        <v>78</v>
      </c>
      <c r="G757" t="s">
        <v>1006</v>
      </c>
      <c r="H757" t="s">
        <v>1015</v>
      </c>
      <c r="I757" t="s">
        <v>14</v>
      </c>
    </row>
    <row r="758" spans="2:9" x14ac:dyDescent="0.3">
      <c r="B758">
        <v>78</v>
      </c>
      <c r="C758" t="s">
        <v>1005</v>
      </c>
      <c r="D758">
        <v>60</v>
      </c>
      <c r="E758" t="s">
        <v>1012</v>
      </c>
      <c r="F758">
        <v>92</v>
      </c>
      <c r="G758" t="s">
        <v>1006</v>
      </c>
      <c r="H758" t="s">
        <v>1016</v>
      </c>
      <c r="I758" t="s">
        <v>11</v>
      </c>
    </row>
    <row r="759" spans="2:9" x14ac:dyDescent="0.3">
      <c r="B759">
        <v>72</v>
      </c>
      <c r="C759" t="s">
        <v>1005</v>
      </c>
      <c r="D759">
        <v>88</v>
      </c>
      <c r="E759" t="s">
        <v>1007</v>
      </c>
      <c r="F759">
        <v>95</v>
      </c>
      <c r="G759" t="s">
        <v>1009</v>
      </c>
      <c r="H759" t="s">
        <v>1015</v>
      </c>
      <c r="I759" t="s">
        <v>14</v>
      </c>
    </row>
    <row r="760" spans="2:9" x14ac:dyDescent="0.3">
      <c r="B760">
        <v>78</v>
      </c>
      <c r="C760" t="s">
        <v>1005</v>
      </c>
      <c r="D760">
        <v>70</v>
      </c>
      <c r="E760" t="s">
        <v>1008</v>
      </c>
      <c r="F760">
        <v>85.510416666666671</v>
      </c>
      <c r="G760" t="s">
        <v>1006</v>
      </c>
      <c r="H760" t="s">
        <v>1009</v>
      </c>
      <c r="I760" t="s">
        <v>14</v>
      </c>
    </row>
    <row r="761" spans="2:9" x14ac:dyDescent="0.3">
      <c r="B761">
        <v>80.030208333333334</v>
      </c>
      <c r="C761" t="s">
        <v>1007</v>
      </c>
      <c r="D761">
        <v>65</v>
      </c>
      <c r="E761" t="s">
        <v>1008</v>
      </c>
      <c r="F761">
        <v>85.510416666666671</v>
      </c>
      <c r="G761" t="s">
        <v>1006</v>
      </c>
      <c r="H761" t="s">
        <v>1009</v>
      </c>
      <c r="I761" t="s">
        <v>14</v>
      </c>
    </row>
    <row r="762" spans="2:9" x14ac:dyDescent="0.3">
      <c r="B762">
        <v>90</v>
      </c>
      <c r="C762" t="s">
        <v>1007</v>
      </c>
      <c r="D762">
        <v>77.598759048603924</v>
      </c>
      <c r="E762" t="s">
        <v>1005</v>
      </c>
      <c r="F762">
        <v>70</v>
      </c>
      <c r="G762" t="s">
        <v>1006</v>
      </c>
      <c r="H762" t="s">
        <v>1015</v>
      </c>
      <c r="I762" t="s">
        <v>14</v>
      </c>
    </row>
    <row r="763" spans="2:9" x14ac:dyDescent="0.3">
      <c r="B763">
        <v>88</v>
      </c>
      <c r="C763" t="s">
        <v>1007</v>
      </c>
      <c r="D763">
        <v>90</v>
      </c>
      <c r="E763" t="s">
        <v>1007</v>
      </c>
      <c r="F763">
        <v>70</v>
      </c>
      <c r="G763" t="s">
        <v>1006</v>
      </c>
      <c r="H763" t="s">
        <v>1015</v>
      </c>
      <c r="I763" t="s">
        <v>11</v>
      </c>
    </row>
    <row r="764" spans="2:9" x14ac:dyDescent="0.3">
      <c r="B764">
        <v>62</v>
      </c>
      <c r="C764" t="s">
        <v>1008</v>
      </c>
      <c r="D764">
        <v>78</v>
      </c>
      <c r="E764" t="s">
        <v>1005</v>
      </c>
      <c r="F764">
        <v>88</v>
      </c>
      <c r="G764" t="s">
        <v>1009</v>
      </c>
      <c r="H764" t="s">
        <v>1015</v>
      </c>
      <c r="I764" t="s">
        <v>11</v>
      </c>
    </row>
    <row r="765" spans="2:9" x14ac:dyDescent="0.3">
      <c r="B765">
        <v>72</v>
      </c>
      <c r="C765" t="s">
        <v>1005</v>
      </c>
      <c r="D765">
        <v>70</v>
      </c>
      <c r="E765" t="s">
        <v>1008</v>
      </c>
      <c r="F765">
        <v>92</v>
      </c>
      <c r="G765" t="s">
        <v>1009</v>
      </c>
      <c r="H765" t="s">
        <v>1009</v>
      </c>
      <c r="I765" t="s">
        <v>14</v>
      </c>
    </row>
    <row r="766" spans="2:9" x14ac:dyDescent="0.3">
      <c r="B766">
        <v>62</v>
      </c>
      <c r="C766" t="s">
        <v>1008</v>
      </c>
      <c r="D766">
        <v>82</v>
      </c>
      <c r="E766" t="s">
        <v>1007</v>
      </c>
      <c r="F766">
        <v>82</v>
      </c>
      <c r="G766" t="s">
        <v>1009</v>
      </c>
      <c r="H766" t="s">
        <v>1015</v>
      </c>
      <c r="I766" t="s">
        <v>11</v>
      </c>
    </row>
    <row r="767" spans="2:9" x14ac:dyDescent="0.3">
      <c r="B767">
        <v>87</v>
      </c>
      <c r="C767" t="s">
        <v>1007</v>
      </c>
      <c r="D767">
        <v>85</v>
      </c>
      <c r="E767" t="s">
        <v>1007</v>
      </c>
      <c r="F767">
        <v>82</v>
      </c>
      <c r="G767" t="s">
        <v>1006</v>
      </c>
      <c r="H767" t="s">
        <v>1015</v>
      </c>
      <c r="I767" t="s">
        <v>14</v>
      </c>
    </row>
    <row r="768" spans="2:9" x14ac:dyDescent="0.3">
      <c r="B768">
        <v>92</v>
      </c>
      <c r="C768" t="s">
        <v>1010</v>
      </c>
      <c r="D768">
        <v>86</v>
      </c>
      <c r="E768" t="s">
        <v>1007</v>
      </c>
      <c r="F768">
        <v>92</v>
      </c>
      <c r="G768" t="s">
        <v>1011</v>
      </c>
      <c r="H768" t="s">
        <v>1015</v>
      </c>
      <c r="I768" t="s">
        <v>14</v>
      </c>
    </row>
    <row r="769" spans="2:9" x14ac:dyDescent="0.3">
      <c r="B769">
        <v>90</v>
      </c>
      <c r="C769" t="s">
        <v>1007</v>
      </c>
      <c r="D769">
        <v>70</v>
      </c>
      <c r="E769" t="s">
        <v>1008</v>
      </c>
      <c r="F769">
        <v>90</v>
      </c>
      <c r="G769" t="s">
        <v>1006</v>
      </c>
      <c r="H769" t="s">
        <v>1009</v>
      </c>
      <c r="I769" t="s">
        <v>977</v>
      </c>
    </row>
    <row r="770" spans="2:9" x14ac:dyDescent="0.3">
      <c r="B770">
        <v>92</v>
      </c>
      <c r="C770" t="s">
        <v>1010</v>
      </c>
      <c r="D770">
        <v>60</v>
      </c>
      <c r="E770" t="s">
        <v>1012</v>
      </c>
      <c r="F770">
        <v>90</v>
      </c>
      <c r="G770" t="s">
        <v>1011</v>
      </c>
      <c r="H770" t="s">
        <v>1016</v>
      </c>
      <c r="I770" t="s">
        <v>11</v>
      </c>
    </row>
    <row r="771" spans="2:9" x14ac:dyDescent="0.3">
      <c r="B771">
        <v>78</v>
      </c>
      <c r="C771" t="s">
        <v>1005</v>
      </c>
      <c r="D771">
        <v>77</v>
      </c>
      <c r="E771" t="s">
        <v>1005</v>
      </c>
      <c r="F771">
        <v>88</v>
      </c>
      <c r="G771" t="s">
        <v>1006</v>
      </c>
      <c r="H771" t="s">
        <v>1015</v>
      </c>
      <c r="I771" t="s">
        <v>977</v>
      </c>
    </row>
    <row r="772" spans="2:9" x14ac:dyDescent="0.3">
      <c r="B772">
        <v>87</v>
      </c>
      <c r="C772" t="s">
        <v>1007</v>
      </c>
      <c r="D772">
        <v>65</v>
      </c>
      <c r="E772" t="s">
        <v>1008</v>
      </c>
      <c r="F772">
        <v>85</v>
      </c>
      <c r="G772" t="s">
        <v>1006</v>
      </c>
      <c r="H772" t="s">
        <v>1009</v>
      </c>
      <c r="I772" t="s">
        <v>11</v>
      </c>
    </row>
    <row r="773" spans="2:9" x14ac:dyDescent="0.3">
      <c r="B773">
        <v>87</v>
      </c>
      <c r="C773" t="s">
        <v>1007</v>
      </c>
      <c r="D773">
        <v>85</v>
      </c>
      <c r="E773" t="s">
        <v>1007</v>
      </c>
      <c r="F773">
        <v>82</v>
      </c>
      <c r="G773" t="s">
        <v>1006</v>
      </c>
      <c r="H773" t="s">
        <v>1015</v>
      </c>
      <c r="I773" t="s">
        <v>11</v>
      </c>
    </row>
    <row r="774" spans="2:9" x14ac:dyDescent="0.3">
      <c r="B774">
        <v>85</v>
      </c>
      <c r="C774" t="s">
        <v>1007</v>
      </c>
      <c r="D774">
        <v>82</v>
      </c>
      <c r="E774" t="s">
        <v>1007</v>
      </c>
      <c r="F774">
        <v>90</v>
      </c>
      <c r="G774" t="s">
        <v>1006</v>
      </c>
      <c r="H774" t="s">
        <v>1015</v>
      </c>
      <c r="I774" t="s">
        <v>11</v>
      </c>
    </row>
    <row r="775" spans="2:9" x14ac:dyDescent="0.3">
      <c r="B775">
        <v>78</v>
      </c>
      <c r="C775" t="s">
        <v>1005</v>
      </c>
      <c r="D775">
        <v>82</v>
      </c>
      <c r="E775" t="s">
        <v>1007</v>
      </c>
      <c r="F775">
        <v>85</v>
      </c>
      <c r="G775" t="s">
        <v>1006</v>
      </c>
      <c r="H775" t="s">
        <v>1015</v>
      </c>
      <c r="I775" t="s">
        <v>14</v>
      </c>
    </row>
    <row r="776" spans="2:9" x14ac:dyDescent="0.3">
      <c r="B776">
        <v>78</v>
      </c>
      <c r="C776" t="s">
        <v>1005</v>
      </c>
      <c r="D776">
        <v>86</v>
      </c>
      <c r="E776" t="s">
        <v>1007</v>
      </c>
      <c r="F776">
        <v>70</v>
      </c>
      <c r="G776" t="s">
        <v>1006</v>
      </c>
      <c r="H776" t="s">
        <v>1015</v>
      </c>
      <c r="I776" t="s">
        <v>11</v>
      </c>
    </row>
    <row r="777" spans="2:9" x14ac:dyDescent="0.3">
      <c r="B777">
        <v>78</v>
      </c>
      <c r="C777" t="s">
        <v>1005</v>
      </c>
      <c r="D777">
        <v>77</v>
      </c>
      <c r="E777" t="s">
        <v>1005</v>
      </c>
      <c r="F777">
        <v>78</v>
      </c>
      <c r="G777" t="s">
        <v>1006</v>
      </c>
      <c r="H777" t="s">
        <v>1015</v>
      </c>
      <c r="I777" t="s">
        <v>11</v>
      </c>
    </row>
    <row r="778" spans="2:9" x14ac:dyDescent="0.3">
      <c r="B778">
        <v>80</v>
      </c>
      <c r="C778" t="s">
        <v>1005</v>
      </c>
      <c r="D778">
        <v>60</v>
      </c>
      <c r="E778" t="s">
        <v>1012</v>
      </c>
      <c r="F778">
        <v>70</v>
      </c>
      <c r="G778" t="s">
        <v>1006</v>
      </c>
      <c r="H778" t="s">
        <v>1016</v>
      </c>
      <c r="I778" t="s">
        <v>14</v>
      </c>
    </row>
    <row r="779" spans="2:9" x14ac:dyDescent="0.3">
      <c r="B779">
        <v>87</v>
      </c>
      <c r="C779" t="s">
        <v>1007</v>
      </c>
      <c r="D779">
        <v>82</v>
      </c>
      <c r="E779" t="s">
        <v>1007</v>
      </c>
      <c r="F779">
        <v>85</v>
      </c>
      <c r="G779" t="s">
        <v>1006</v>
      </c>
      <c r="H779" t="s">
        <v>1015</v>
      </c>
      <c r="I779" t="s">
        <v>11</v>
      </c>
    </row>
    <row r="780" spans="2:9" x14ac:dyDescent="0.3">
      <c r="B780">
        <v>80</v>
      </c>
      <c r="C780" t="s">
        <v>1005</v>
      </c>
      <c r="D780">
        <v>90</v>
      </c>
      <c r="E780" t="s">
        <v>1007</v>
      </c>
      <c r="F780">
        <v>91</v>
      </c>
      <c r="G780" t="s">
        <v>1006</v>
      </c>
      <c r="H780" t="s">
        <v>1015</v>
      </c>
      <c r="I780" t="s">
        <v>11</v>
      </c>
    </row>
    <row r="781" spans="2:9" x14ac:dyDescent="0.3">
      <c r="B781">
        <v>80.030208333333334</v>
      </c>
      <c r="C781" t="s">
        <v>1007</v>
      </c>
      <c r="D781">
        <v>86</v>
      </c>
      <c r="E781" t="s">
        <v>1007</v>
      </c>
      <c r="F781">
        <v>92</v>
      </c>
      <c r="G781" t="s">
        <v>1006</v>
      </c>
      <c r="H781" t="s">
        <v>1015</v>
      </c>
      <c r="I781" t="s">
        <v>14</v>
      </c>
    </row>
    <row r="782" spans="2:9" x14ac:dyDescent="0.3">
      <c r="B782">
        <v>72</v>
      </c>
      <c r="C782" t="s">
        <v>1005</v>
      </c>
      <c r="D782">
        <v>65</v>
      </c>
      <c r="E782" t="s">
        <v>1008</v>
      </c>
      <c r="F782">
        <v>95</v>
      </c>
      <c r="G782" t="s">
        <v>1009</v>
      </c>
      <c r="H782" t="s">
        <v>1009</v>
      </c>
      <c r="I782" t="s">
        <v>11</v>
      </c>
    </row>
    <row r="783" spans="2:9" x14ac:dyDescent="0.3">
      <c r="B783">
        <v>85</v>
      </c>
      <c r="C783" t="s">
        <v>1007</v>
      </c>
      <c r="D783">
        <v>82</v>
      </c>
      <c r="E783" t="s">
        <v>1007</v>
      </c>
      <c r="F783">
        <v>82</v>
      </c>
      <c r="G783" t="s">
        <v>1006</v>
      </c>
      <c r="H783" t="s">
        <v>1015</v>
      </c>
      <c r="I783" t="s">
        <v>11</v>
      </c>
    </row>
    <row r="784" spans="2:9" x14ac:dyDescent="0.3">
      <c r="B784">
        <v>80</v>
      </c>
      <c r="C784" t="s">
        <v>1005</v>
      </c>
      <c r="D784">
        <v>88</v>
      </c>
      <c r="E784" t="s">
        <v>1007</v>
      </c>
      <c r="F784">
        <v>85</v>
      </c>
      <c r="G784" t="s">
        <v>1006</v>
      </c>
      <c r="H784" t="s">
        <v>1015</v>
      </c>
      <c r="I784" t="s">
        <v>11</v>
      </c>
    </row>
    <row r="785" spans="2:9" x14ac:dyDescent="0.3">
      <c r="B785">
        <v>92</v>
      </c>
      <c r="C785" t="s">
        <v>1010</v>
      </c>
      <c r="D785">
        <v>60</v>
      </c>
      <c r="E785" t="s">
        <v>1012</v>
      </c>
      <c r="F785">
        <v>95</v>
      </c>
      <c r="G785" t="s">
        <v>1011</v>
      </c>
      <c r="H785" t="s">
        <v>1016</v>
      </c>
      <c r="I785" t="s">
        <v>14</v>
      </c>
    </row>
    <row r="786" spans="2:9" x14ac:dyDescent="0.3">
      <c r="B786">
        <v>72</v>
      </c>
      <c r="C786" t="s">
        <v>1005</v>
      </c>
      <c r="D786">
        <v>78</v>
      </c>
      <c r="E786" t="s">
        <v>1005</v>
      </c>
      <c r="F786">
        <v>90</v>
      </c>
      <c r="G786" t="s">
        <v>1009</v>
      </c>
      <c r="H786" t="s">
        <v>1015</v>
      </c>
      <c r="I786" t="s">
        <v>14</v>
      </c>
    </row>
    <row r="787" spans="2:9" x14ac:dyDescent="0.3">
      <c r="B787">
        <v>87</v>
      </c>
      <c r="C787" t="s">
        <v>1007</v>
      </c>
      <c r="D787">
        <v>70</v>
      </c>
      <c r="E787" t="s">
        <v>1008</v>
      </c>
      <c r="F787">
        <v>85</v>
      </c>
      <c r="G787" t="s">
        <v>1006</v>
      </c>
      <c r="H787" t="s">
        <v>1009</v>
      </c>
      <c r="I787" t="s">
        <v>11</v>
      </c>
    </row>
    <row r="788" spans="2:9" x14ac:dyDescent="0.3">
      <c r="B788">
        <v>90</v>
      </c>
      <c r="C788" t="s">
        <v>1007</v>
      </c>
      <c r="D788">
        <v>70</v>
      </c>
      <c r="E788" t="s">
        <v>1008</v>
      </c>
      <c r="F788">
        <v>85</v>
      </c>
      <c r="G788" t="s">
        <v>1006</v>
      </c>
      <c r="H788" t="s">
        <v>1009</v>
      </c>
      <c r="I788" t="s">
        <v>14</v>
      </c>
    </row>
    <row r="789" spans="2:9" x14ac:dyDescent="0.3">
      <c r="B789">
        <v>88</v>
      </c>
      <c r="C789" t="s">
        <v>1007</v>
      </c>
      <c r="D789">
        <v>78</v>
      </c>
      <c r="E789" t="s">
        <v>1005</v>
      </c>
      <c r="F789">
        <v>82</v>
      </c>
      <c r="G789" t="s">
        <v>1006</v>
      </c>
      <c r="H789" t="s">
        <v>1015</v>
      </c>
      <c r="I789" t="s">
        <v>14</v>
      </c>
    </row>
    <row r="790" spans="2:9" x14ac:dyDescent="0.3">
      <c r="B790">
        <v>92</v>
      </c>
      <c r="C790" t="s">
        <v>1010</v>
      </c>
      <c r="D790">
        <v>77.598759048603924</v>
      </c>
      <c r="E790" t="s">
        <v>1005</v>
      </c>
      <c r="F790">
        <v>88</v>
      </c>
      <c r="G790" t="s">
        <v>1011</v>
      </c>
      <c r="H790" t="s">
        <v>1015</v>
      </c>
      <c r="I790" t="s">
        <v>14</v>
      </c>
    </row>
    <row r="791" spans="2:9" x14ac:dyDescent="0.3">
      <c r="B791">
        <v>62</v>
      </c>
      <c r="C791" t="s">
        <v>1008</v>
      </c>
      <c r="D791">
        <v>85</v>
      </c>
      <c r="E791" t="s">
        <v>1007</v>
      </c>
      <c r="F791">
        <v>82</v>
      </c>
      <c r="G791" t="s">
        <v>1009</v>
      </c>
      <c r="H791" t="s">
        <v>1015</v>
      </c>
      <c r="I791" t="s">
        <v>11</v>
      </c>
    </row>
    <row r="792" spans="2:9" x14ac:dyDescent="0.3">
      <c r="B792">
        <v>85</v>
      </c>
      <c r="C792" t="s">
        <v>1007</v>
      </c>
      <c r="D792">
        <v>88</v>
      </c>
      <c r="E792" t="s">
        <v>1007</v>
      </c>
      <c r="F792">
        <v>91</v>
      </c>
      <c r="G792" t="s">
        <v>1006</v>
      </c>
      <c r="H792" t="s">
        <v>1015</v>
      </c>
      <c r="I792" t="s">
        <v>11</v>
      </c>
    </row>
    <row r="793" spans="2:9" x14ac:dyDescent="0.3">
      <c r="B793">
        <v>90</v>
      </c>
      <c r="C793" t="s">
        <v>1007</v>
      </c>
      <c r="D793">
        <v>90</v>
      </c>
      <c r="E793" t="s">
        <v>1007</v>
      </c>
      <c r="F793">
        <v>95</v>
      </c>
      <c r="G793" t="s">
        <v>1006</v>
      </c>
      <c r="H793" t="s">
        <v>1015</v>
      </c>
      <c r="I793" t="s">
        <v>11</v>
      </c>
    </row>
    <row r="794" spans="2:9" x14ac:dyDescent="0.3">
      <c r="B794">
        <v>78</v>
      </c>
      <c r="C794" t="s">
        <v>1005</v>
      </c>
      <c r="D794">
        <v>65</v>
      </c>
      <c r="E794" t="s">
        <v>1008</v>
      </c>
      <c r="F794">
        <v>85</v>
      </c>
      <c r="G794" t="s">
        <v>1006</v>
      </c>
      <c r="H794" t="s">
        <v>1009</v>
      </c>
      <c r="I794" t="s">
        <v>14</v>
      </c>
    </row>
    <row r="795" spans="2:9" x14ac:dyDescent="0.3">
      <c r="B795">
        <v>90</v>
      </c>
      <c r="C795" t="s">
        <v>1007</v>
      </c>
      <c r="D795">
        <v>88</v>
      </c>
      <c r="E795" t="s">
        <v>1007</v>
      </c>
      <c r="F795">
        <v>85</v>
      </c>
      <c r="G795" t="s">
        <v>1006</v>
      </c>
      <c r="H795" t="s">
        <v>1015</v>
      </c>
      <c r="I795" t="s">
        <v>11</v>
      </c>
    </row>
    <row r="796" spans="2:9" x14ac:dyDescent="0.3">
      <c r="B796">
        <v>80</v>
      </c>
      <c r="C796" t="s">
        <v>1005</v>
      </c>
      <c r="D796">
        <v>77</v>
      </c>
      <c r="E796" t="s">
        <v>1005</v>
      </c>
      <c r="F796">
        <v>95</v>
      </c>
      <c r="G796" t="s">
        <v>1006</v>
      </c>
      <c r="H796" t="s">
        <v>1015</v>
      </c>
      <c r="I796" t="s">
        <v>14</v>
      </c>
    </row>
    <row r="797" spans="2:9" x14ac:dyDescent="0.3">
      <c r="B797">
        <v>90</v>
      </c>
      <c r="C797" t="s">
        <v>1007</v>
      </c>
      <c r="D797">
        <v>90</v>
      </c>
      <c r="E797" t="s">
        <v>1007</v>
      </c>
      <c r="F797">
        <v>91</v>
      </c>
      <c r="G797" t="s">
        <v>1006</v>
      </c>
      <c r="H797" t="s">
        <v>1015</v>
      </c>
      <c r="I797" t="s">
        <v>977</v>
      </c>
    </row>
    <row r="798" spans="2:9" x14ac:dyDescent="0.3">
      <c r="B798">
        <v>78</v>
      </c>
      <c r="C798" t="s">
        <v>1005</v>
      </c>
      <c r="D798">
        <v>77.598759048603924</v>
      </c>
      <c r="E798" t="s">
        <v>1005</v>
      </c>
      <c r="F798">
        <v>70</v>
      </c>
      <c r="G798" t="s">
        <v>1006</v>
      </c>
      <c r="H798" t="s">
        <v>1015</v>
      </c>
      <c r="I798" t="s">
        <v>11</v>
      </c>
    </row>
    <row r="799" spans="2:9" x14ac:dyDescent="0.3">
      <c r="B799">
        <v>72</v>
      </c>
      <c r="C799" t="s">
        <v>1005</v>
      </c>
      <c r="D799">
        <v>82</v>
      </c>
      <c r="E799" t="s">
        <v>1007</v>
      </c>
      <c r="F799">
        <v>90</v>
      </c>
      <c r="G799" t="s">
        <v>1009</v>
      </c>
      <c r="H799" t="s">
        <v>1015</v>
      </c>
      <c r="I799" t="s">
        <v>11</v>
      </c>
    </row>
    <row r="800" spans="2:9" x14ac:dyDescent="0.3">
      <c r="B800">
        <v>80</v>
      </c>
      <c r="C800" t="s">
        <v>1005</v>
      </c>
      <c r="D800">
        <v>78</v>
      </c>
      <c r="E800" t="s">
        <v>1005</v>
      </c>
      <c r="F800">
        <v>82</v>
      </c>
      <c r="G800" t="s">
        <v>1006</v>
      </c>
      <c r="H800" t="s">
        <v>1015</v>
      </c>
      <c r="I800" t="s">
        <v>14</v>
      </c>
    </row>
    <row r="801" spans="2:9" x14ac:dyDescent="0.3">
      <c r="B801">
        <v>72</v>
      </c>
      <c r="C801" t="s">
        <v>1005</v>
      </c>
      <c r="D801">
        <v>77</v>
      </c>
      <c r="E801" t="s">
        <v>1005</v>
      </c>
      <c r="F801">
        <v>90</v>
      </c>
      <c r="G801" t="s">
        <v>1009</v>
      </c>
      <c r="H801" t="s">
        <v>1015</v>
      </c>
      <c r="I801" t="s">
        <v>14</v>
      </c>
    </row>
    <row r="802" spans="2:9" x14ac:dyDescent="0.3">
      <c r="B802">
        <v>62</v>
      </c>
      <c r="C802" t="s">
        <v>1008</v>
      </c>
      <c r="D802">
        <v>77</v>
      </c>
      <c r="E802" t="s">
        <v>1005</v>
      </c>
      <c r="F802">
        <v>85.510416666666671</v>
      </c>
      <c r="G802" t="s">
        <v>1009</v>
      </c>
      <c r="H802" t="s">
        <v>1015</v>
      </c>
      <c r="I802" t="s">
        <v>14</v>
      </c>
    </row>
    <row r="803" spans="2:9" x14ac:dyDescent="0.3">
      <c r="B803">
        <v>85</v>
      </c>
      <c r="C803" t="s">
        <v>1007</v>
      </c>
      <c r="D803">
        <v>90</v>
      </c>
      <c r="E803" t="s">
        <v>1007</v>
      </c>
      <c r="F803">
        <v>90</v>
      </c>
      <c r="G803" t="s">
        <v>1006</v>
      </c>
      <c r="H803" t="s">
        <v>1015</v>
      </c>
      <c r="I803" t="s">
        <v>14</v>
      </c>
    </row>
    <row r="804" spans="2:9" x14ac:dyDescent="0.3">
      <c r="B804">
        <v>92</v>
      </c>
      <c r="C804" t="s">
        <v>1010</v>
      </c>
      <c r="D804">
        <v>86</v>
      </c>
      <c r="E804" t="s">
        <v>1007</v>
      </c>
      <c r="F804">
        <v>70</v>
      </c>
      <c r="G804" t="s">
        <v>1011</v>
      </c>
      <c r="H804" t="s">
        <v>1015</v>
      </c>
      <c r="I804" t="s">
        <v>14</v>
      </c>
    </row>
    <row r="805" spans="2:9" x14ac:dyDescent="0.3">
      <c r="B805">
        <v>78</v>
      </c>
      <c r="C805" t="s">
        <v>1005</v>
      </c>
      <c r="D805">
        <v>85</v>
      </c>
      <c r="E805" t="s">
        <v>1007</v>
      </c>
      <c r="F805">
        <v>85.510416666666671</v>
      </c>
      <c r="G805" t="s">
        <v>1006</v>
      </c>
      <c r="H805" t="s">
        <v>1015</v>
      </c>
      <c r="I805" t="s">
        <v>14</v>
      </c>
    </row>
    <row r="806" spans="2:9" x14ac:dyDescent="0.3">
      <c r="B806">
        <v>87</v>
      </c>
      <c r="C806" t="s">
        <v>1007</v>
      </c>
      <c r="D806">
        <v>60</v>
      </c>
      <c r="E806" t="s">
        <v>1012</v>
      </c>
      <c r="F806">
        <v>85</v>
      </c>
      <c r="G806" t="s">
        <v>1006</v>
      </c>
      <c r="H806" t="s">
        <v>1016</v>
      </c>
      <c r="I806" t="s">
        <v>11</v>
      </c>
    </row>
    <row r="807" spans="2:9" x14ac:dyDescent="0.3">
      <c r="B807">
        <v>80</v>
      </c>
      <c r="C807" t="s">
        <v>1005</v>
      </c>
      <c r="D807">
        <v>85</v>
      </c>
      <c r="E807" t="s">
        <v>1007</v>
      </c>
      <c r="F807">
        <v>91</v>
      </c>
      <c r="G807" t="s">
        <v>1006</v>
      </c>
      <c r="H807" t="s">
        <v>1015</v>
      </c>
      <c r="I807" t="s">
        <v>14</v>
      </c>
    </row>
    <row r="808" spans="2:9" x14ac:dyDescent="0.3">
      <c r="B808">
        <v>88</v>
      </c>
      <c r="C808" t="s">
        <v>1007</v>
      </c>
      <c r="D808">
        <v>90</v>
      </c>
      <c r="E808" t="s">
        <v>1007</v>
      </c>
      <c r="F808">
        <v>91</v>
      </c>
      <c r="G808" t="s">
        <v>1006</v>
      </c>
      <c r="H808" t="s">
        <v>1015</v>
      </c>
      <c r="I808" t="s">
        <v>11</v>
      </c>
    </row>
    <row r="809" spans="2:9" x14ac:dyDescent="0.3">
      <c r="B809">
        <v>88</v>
      </c>
      <c r="C809" t="s">
        <v>1007</v>
      </c>
      <c r="D809">
        <v>77</v>
      </c>
      <c r="E809" t="s">
        <v>1005</v>
      </c>
      <c r="F809">
        <v>95</v>
      </c>
      <c r="G809" t="s">
        <v>1006</v>
      </c>
      <c r="H809" t="s">
        <v>1015</v>
      </c>
      <c r="I809" t="s">
        <v>11</v>
      </c>
    </row>
    <row r="810" spans="2:9" x14ac:dyDescent="0.3">
      <c r="B810">
        <v>62</v>
      </c>
      <c r="C810" t="s">
        <v>1008</v>
      </c>
      <c r="D810">
        <v>70</v>
      </c>
      <c r="E810" t="s">
        <v>1008</v>
      </c>
      <c r="F810">
        <v>91</v>
      </c>
      <c r="G810" t="s">
        <v>1009</v>
      </c>
      <c r="H810" t="s">
        <v>1009</v>
      </c>
      <c r="I810" t="s">
        <v>11</v>
      </c>
    </row>
    <row r="811" spans="2:9" x14ac:dyDescent="0.3">
      <c r="B811">
        <v>88</v>
      </c>
      <c r="C811" t="s">
        <v>1007</v>
      </c>
      <c r="D811">
        <v>78</v>
      </c>
      <c r="E811" t="s">
        <v>1005</v>
      </c>
      <c r="F811">
        <v>85.510416666666671</v>
      </c>
      <c r="G811" t="s">
        <v>1006</v>
      </c>
      <c r="H811" t="s">
        <v>1015</v>
      </c>
      <c r="I811" t="s">
        <v>11</v>
      </c>
    </row>
    <row r="812" spans="2:9" x14ac:dyDescent="0.3">
      <c r="B812">
        <v>85</v>
      </c>
      <c r="C812" t="s">
        <v>1007</v>
      </c>
      <c r="D812">
        <v>82</v>
      </c>
      <c r="E812" t="s">
        <v>1007</v>
      </c>
      <c r="F812">
        <v>78</v>
      </c>
      <c r="G812" t="s">
        <v>1006</v>
      </c>
      <c r="H812" t="s">
        <v>1015</v>
      </c>
      <c r="I812" t="s">
        <v>11</v>
      </c>
    </row>
    <row r="813" spans="2:9" x14ac:dyDescent="0.3">
      <c r="B813">
        <v>92</v>
      </c>
      <c r="C813" t="s">
        <v>1010</v>
      </c>
      <c r="D813">
        <v>78</v>
      </c>
      <c r="E813" t="s">
        <v>1005</v>
      </c>
      <c r="F813">
        <v>82</v>
      </c>
      <c r="G813" t="s">
        <v>1011</v>
      </c>
      <c r="H813" t="s">
        <v>1015</v>
      </c>
      <c r="I813" t="s">
        <v>11</v>
      </c>
    </row>
    <row r="814" spans="2:9" x14ac:dyDescent="0.3">
      <c r="B814">
        <v>90</v>
      </c>
      <c r="C814" t="s">
        <v>1007</v>
      </c>
      <c r="D814">
        <v>77</v>
      </c>
      <c r="E814" t="s">
        <v>1005</v>
      </c>
      <c r="F814">
        <v>92</v>
      </c>
      <c r="G814" t="s">
        <v>1006</v>
      </c>
      <c r="H814" t="s">
        <v>1015</v>
      </c>
      <c r="I814" t="s">
        <v>977</v>
      </c>
    </row>
    <row r="815" spans="2:9" x14ac:dyDescent="0.3">
      <c r="B815">
        <v>78</v>
      </c>
      <c r="C815" t="s">
        <v>1005</v>
      </c>
      <c r="D815">
        <v>85</v>
      </c>
      <c r="E815" t="s">
        <v>1007</v>
      </c>
      <c r="F815">
        <v>95</v>
      </c>
      <c r="G815" t="s">
        <v>1006</v>
      </c>
      <c r="H815" t="s">
        <v>1015</v>
      </c>
      <c r="I815" t="s">
        <v>14</v>
      </c>
    </row>
    <row r="816" spans="2:9" x14ac:dyDescent="0.3">
      <c r="B816">
        <v>90</v>
      </c>
      <c r="C816" t="s">
        <v>1007</v>
      </c>
      <c r="D816">
        <v>90</v>
      </c>
      <c r="E816" t="s">
        <v>1007</v>
      </c>
      <c r="F816">
        <v>85.510416666666671</v>
      </c>
      <c r="G816" t="s">
        <v>1006</v>
      </c>
      <c r="H816" t="s">
        <v>1015</v>
      </c>
      <c r="I816" t="s">
        <v>14</v>
      </c>
    </row>
    <row r="817" spans="2:9" x14ac:dyDescent="0.3">
      <c r="B817">
        <v>80</v>
      </c>
      <c r="C817" t="s">
        <v>1005</v>
      </c>
      <c r="D817">
        <v>78</v>
      </c>
      <c r="E817" t="s">
        <v>1005</v>
      </c>
      <c r="F817">
        <v>85</v>
      </c>
      <c r="G817" t="s">
        <v>1006</v>
      </c>
      <c r="H817" t="s">
        <v>1015</v>
      </c>
      <c r="I817" t="s">
        <v>11</v>
      </c>
    </row>
    <row r="818" spans="2:9" x14ac:dyDescent="0.3">
      <c r="B818">
        <v>92</v>
      </c>
      <c r="C818" t="s">
        <v>1010</v>
      </c>
      <c r="D818">
        <v>78</v>
      </c>
      <c r="E818" t="s">
        <v>1005</v>
      </c>
      <c r="F818">
        <v>91</v>
      </c>
      <c r="G818" t="s">
        <v>1011</v>
      </c>
      <c r="H818" t="s">
        <v>1015</v>
      </c>
      <c r="I818" t="s">
        <v>11</v>
      </c>
    </row>
    <row r="819" spans="2:9" x14ac:dyDescent="0.3">
      <c r="B819">
        <v>68</v>
      </c>
      <c r="C819" t="s">
        <v>1008</v>
      </c>
      <c r="D819">
        <v>65</v>
      </c>
      <c r="E819" t="s">
        <v>1008</v>
      </c>
      <c r="F819">
        <v>82</v>
      </c>
      <c r="G819" t="s">
        <v>1009</v>
      </c>
      <c r="H819" t="s">
        <v>1009</v>
      </c>
      <c r="I819" t="s">
        <v>14</v>
      </c>
    </row>
    <row r="820" spans="2:9" x14ac:dyDescent="0.3">
      <c r="B820">
        <v>92</v>
      </c>
      <c r="C820" t="s">
        <v>1010</v>
      </c>
      <c r="D820">
        <v>90</v>
      </c>
      <c r="E820" t="s">
        <v>1007</v>
      </c>
      <c r="F820">
        <v>90</v>
      </c>
      <c r="G820" t="s">
        <v>1011</v>
      </c>
      <c r="H820" t="s">
        <v>1015</v>
      </c>
      <c r="I820" t="s">
        <v>14</v>
      </c>
    </row>
    <row r="821" spans="2:9" x14ac:dyDescent="0.3">
      <c r="B821">
        <v>92</v>
      </c>
      <c r="C821" t="s">
        <v>1010</v>
      </c>
      <c r="D821">
        <v>65</v>
      </c>
      <c r="E821" t="s">
        <v>1008</v>
      </c>
      <c r="F821">
        <v>90</v>
      </c>
      <c r="G821" t="s">
        <v>1011</v>
      </c>
      <c r="H821" t="s">
        <v>1009</v>
      </c>
      <c r="I821" t="s">
        <v>14</v>
      </c>
    </row>
    <row r="822" spans="2:9" x14ac:dyDescent="0.3">
      <c r="B822">
        <v>72</v>
      </c>
      <c r="C822" t="s">
        <v>1005</v>
      </c>
      <c r="D822">
        <v>86</v>
      </c>
      <c r="E822" t="s">
        <v>1007</v>
      </c>
      <c r="F822">
        <v>92</v>
      </c>
      <c r="G822" t="s">
        <v>1009</v>
      </c>
      <c r="H822" t="s">
        <v>1015</v>
      </c>
      <c r="I822" t="s">
        <v>14</v>
      </c>
    </row>
    <row r="823" spans="2:9" x14ac:dyDescent="0.3">
      <c r="B823">
        <v>92</v>
      </c>
      <c r="C823" t="s">
        <v>1010</v>
      </c>
      <c r="D823">
        <v>70</v>
      </c>
      <c r="E823" t="s">
        <v>1008</v>
      </c>
      <c r="F823">
        <v>88</v>
      </c>
      <c r="G823" t="s">
        <v>1011</v>
      </c>
      <c r="H823" t="s">
        <v>1009</v>
      </c>
      <c r="I823" t="s">
        <v>11</v>
      </c>
    </row>
    <row r="824" spans="2:9" x14ac:dyDescent="0.3">
      <c r="B824">
        <v>72</v>
      </c>
      <c r="C824" t="s">
        <v>1005</v>
      </c>
      <c r="D824">
        <v>70</v>
      </c>
      <c r="E824" t="s">
        <v>1008</v>
      </c>
      <c r="F824">
        <v>82</v>
      </c>
      <c r="G824" t="s">
        <v>1009</v>
      </c>
      <c r="H824" t="s">
        <v>1009</v>
      </c>
      <c r="I824" t="s">
        <v>11</v>
      </c>
    </row>
    <row r="825" spans="2:9" x14ac:dyDescent="0.3">
      <c r="B825">
        <v>88</v>
      </c>
      <c r="C825" t="s">
        <v>1007</v>
      </c>
      <c r="D825">
        <v>82</v>
      </c>
      <c r="E825" t="s">
        <v>1007</v>
      </c>
      <c r="F825">
        <v>85</v>
      </c>
      <c r="G825" t="s">
        <v>1006</v>
      </c>
      <c r="H825" t="s">
        <v>1015</v>
      </c>
      <c r="I825" t="s">
        <v>14</v>
      </c>
    </row>
    <row r="826" spans="2:9" x14ac:dyDescent="0.3">
      <c r="B826">
        <v>62</v>
      </c>
      <c r="C826" t="s">
        <v>1008</v>
      </c>
      <c r="D826">
        <v>90</v>
      </c>
      <c r="E826" t="s">
        <v>1007</v>
      </c>
      <c r="F826">
        <v>92</v>
      </c>
      <c r="G826" t="s">
        <v>1009</v>
      </c>
      <c r="H826" t="s">
        <v>1015</v>
      </c>
      <c r="I826" t="s">
        <v>14</v>
      </c>
    </row>
    <row r="827" spans="2:9" x14ac:dyDescent="0.3">
      <c r="B827">
        <v>92</v>
      </c>
      <c r="C827" t="s">
        <v>1010</v>
      </c>
      <c r="D827">
        <v>77</v>
      </c>
      <c r="E827" t="s">
        <v>1005</v>
      </c>
      <c r="F827">
        <v>90</v>
      </c>
      <c r="G827" t="s">
        <v>1011</v>
      </c>
      <c r="H827" t="s">
        <v>1015</v>
      </c>
      <c r="I827" t="s">
        <v>977</v>
      </c>
    </row>
    <row r="828" spans="2:9" x14ac:dyDescent="0.3">
      <c r="B828">
        <v>90</v>
      </c>
      <c r="C828" t="s">
        <v>1007</v>
      </c>
      <c r="D828">
        <v>60</v>
      </c>
      <c r="E828" t="s">
        <v>1012</v>
      </c>
      <c r="F828">
        <v>85</v>
      </c>
      <c r="G828" t="s">
        <v>1006</v>
      </c>
      <c r="H828" t="s">
        <v>1016</v>
      </c>
      <c r="I828" t="s">
        <v>14</v>
      </c>
    </row>
    <row r="829" spans="2:9" x14ac:dyDescent="0.3">
      <c r="B829">
        <v>72</v>
      </c>
      <c r="C829" t="s">
        <v>1005</v>
      </c>
      <c r="D829">
        <v>88</v>
      </c>
      <c r="E829" t="s">
        <v>1007</v>
      </c>
      <c r="F829">
        <v>88</v>
      </c>
      <c r="G829" t="s">
        <v>1009</v>
      </c>
      <c r="H829" t="s">
        <v>1015</v>
      </c>
      <c r="I829" t="s">
        <v>11</v>
      </c>
    </row>
    <row r="830" spans="2:9" x14ac:dyDescent="0.3">
      <c r="B830">
        <v>72</v>
      </c>
      <c r="C830" t="s">
        <v>1005</v>
      </c>
      <c r="D830">
        <v>85</v>
      </c>
      <c r="E830" t="s">
        <v>1007</v>
      </c>
      <c r="F830">
        <v>90</v>
      </c>
      <c r="G830" t="s">
        <v>1009</v>
      </c>
      <c r="H830" t="s">
        <v>1015</v>
      </c>
      <c r="I830" t="s">
        <v>11</v>
      </c>
    </row>
    <row r="831" spans="2:9" x14ac:dyDescent="0.3">
      <c r="B831">
        <v>72</v>
      </c>
      <c r="C831" t="s">
        <v>1005</v>
      </c>
      <c r="D831">
        <v>86</v>
      </c>
      <c r="E831" t="s">
        <v>1007</v>
      </c>
      <c r="F831">
        <v>88</v>
      </c>
      <c r="G831" t="s">
        <v>1009</v>
      </c>
      <c r="H831" t="s">
        <v>1015</v>
      </c>
      <c r="I831" t="s">
        <v>14</v>
      </c>
    </row>
    <row r="832" spans="2:9" x14ac:dyDescent="0.3">
      <c r="B832">
        <v>72</v>
      </c>
      <c r="C832" t="s">
        <v>1005</v>
      </c>
      <c r="D832">
        <v>86</v>
      </c>
      <c r="E832" t="s">
        <v>1007</v>
      </c>
      <c r="F832">
        <v>70</v>
      </c>
      <c r="G832" t="s">
        <v>1009</v>
      </c>
      <c r="H832" t="s">
        <v>1015</v>
      </c>
      <c r="I832" t="s">
        <v>14</v>
      </c>
    </row>
    <row r="833" spans="2:9" x14ac:dyDescent="0.3">
      <c r="B833">
        <v>72</v>
      </c>
      <c r="C833" t="s">
        <v>1005</v>
      </c>
      <c r="D833">
        <v>90</v>
      </c>
      <c r="E833" t="s">
        <v>1007</v>
      </c>
      <c r="F833">
        <v>92</v>
      </c>
      <c r="G833" t="s">
        <v>1009</v>
      </c>
      <c r="H833" t="s">
        <v>1015</v>
      </c>
      <c r="I833" t="s">
        <v>11</v>
      </c>
    </row>
    <row r="834" spans="2:9" x14ac:dyDescent="0.3">
      <c r="B834">
        <v>78</v>
      </c>
      <c r="C834" t="s">
        <v>1005</v>
      </c>
      <c r="D834">
        <v>60</v>
      </c>
      <c r="E834" t="s">
        <v>1012</v>
      </c>
      <c r="F834">
        <v>95</v>
      </c>
      <c r="G834" t="s">
        <v>1006</v>
      </c>
      <c r="H834" t="s">
        <v>1016</v>
      </c>
      <c r="I834" t="s">
        <v>11</v>
      </c>
    </row>
    <row r="835" spans="2:9" x14ac:dyDescent="0.3">
      <c r="B835">
        <v>90</v>
      </c>
      <c r="C835" t="s">
        <v>1007</v>
      </c>
      <c r="D835">
        <v>82</v>
      </c>
      <c r="E835" t="s">
        <v>1007</v>
      </c>
      <c r="F835">
        <v>91</v>
      </c>
      <c r="G835" t="s">
        <v>1006</v>
      </c>
      <c r="H835" t="s">
        <v>1015</v>
      </c>
      <c r="I835" t="s">
        <v>11</v>
      </c>
    </row>
    <row r="836" spans="2:9" x14ac:dyDescent="0.3">
      <c r="B836">
        <v>68</v>
      </c>
      <c r="C836" t="s">
        <v>1008</v>
      </c>
      <c r="D836">
        <v>78</v>
      </c>
      <c r="E836" t="s">
        <v>1005</v>
      </c>
      <c r="F836">
        <v>95</v>
      </c>
      <c r="G836" t="s">
        <v>1009</v>
      </c>
      <c r="H836" t="s">
        <v>1015</v>
      </c>
      <c r="I836" t="s">
        <v>14</v>
      </c>
    </row>
    <row r="837" spans="2:9" x14ac:dyDescent="0.3">
      <c r="B837">
        <v>78</v>
      </c>
      <c r="C837" t="s">
        <v>1005</v>
      </c>
      <c r="D837">
        <v>70</v>
      </c>
      <c r="E837" t="s">
        <v>1008</v>
      </c>
      <c r="F837">
        <v>70</v>
      </c>
      <c r="G837" t="s">
        <v>1006</v>
      </c>
      <c r="H837" t="s">
        <v>1009</v>
      </c>
      <c r="I837" t="s">
        <v>11</v>
      </c>
    </row>
    <row r="838" spans="2:9" x14ac:dyDescent="0.3">
      <c r="B838">
        <v>88</v>
      </c>
      <c r="C838" t="s">
        <v>1007</v>
      </c>
      <c r="D838">
        <v>70</v>
      </c>
      <c r="E838" t="s">
        <v>1008</v>
      </c>
      <c r="F838">
        <v>85.510416666666671</v>
      </c>
      <c r="G838" t="s">
        <v>1006</v>
      </c>
      <c r="H838" t="s">
        <v>1009</v>
      </c>
      <c r="I838" t="s">
        <v>11</v>
      </c>
    </row>
    <row r="839" spans="2:9" x14ac:dyDescent="0.3">
      <c r="B839">
        <v>72</v>
      </c>
      <c r="C839" t="s">
        <v>1005</v>
      </c>
      <c r="D839">
        <v>90</v>
      </c>
      <c r="E839" t="s">
        <v>1007</v>
      </c>
      <c r="F839">
        <v>88</v>
      </c>
      <c r="G839" t="s">
        <v>1009</v>
      </c>
      <c r="H839" t="s">
        <v>1015</v>
      </c>
      <c r="I839" t="s">
        <v>14</v>
      </c>
    </row>
    <row r="840" spans="2:9" x14ac:dyDescent="0.3">
      <c r="B840">
        <v>87</v>
      </c>
      <c r="C840" t="s">
        <v>1007</v>
      </c>
      <c r="D840">
        <v>60</v>
      </c>
      <c r="E840" t="s">
        <v>1012</v>
      </c>
      <c r="F840">
        <v>78</v>
      </c>
      <c r="G840" t="s">
        <v>1006</v>
      </c>
      <c r="H840" t="s">
        <v>1016</v>
      </c>
      <c r="I840" t="s">
        <v>11</v>
      </c>
    </row>
    <row r="841" spans="2:9" x14ac:dyDescent="0.3">
      <c r="B841">
        <v>78</v>
      </c>
      <c r="C841" t="s">
        <v>1005</v>
      </c>
      <c r="D841">
        <v>90</v>
      </c>
      <c r="E841" t="s">
        <v>1007</v>
      </c>
      <c r="F841">
        <v>85.510416666666671</v>
      </c>
      <c r="G841" t="s">
        <v>1006</v>
      </c>
      <c r="H841" t="s">
        <v>1015</v>
      </c>
      <c r="I841" t="s">
        <v>14</v>
      </c>
    </row>
    <row r="842" spans="2:9" x14ac:dyDescent="0.3">
      <c r="B842">
        <v>87</v>
      </c>
      <c r="C842" t="s">
        <v>1007</v>
      </c>
      <c r="D842">
        <v>78</v>
      </c>
      <c r="E842" t="s">
        <v>1005</v>
      </c>
      <c r="F842">
        <v>88</v>
      </c>
      <c r="G842" t="s">
        <v>1006</v>
      </c>
      <c r="H842" t="s">
        <v>1015</v>
      </c>
      <c r="I842" t="s">
        <v>977</v>
      </c>
    </row>
    <row r="843" spans="2:9" x14ac:dyDescent="0.3">
      <c r="B843">
        <v>80</v>
      </c>
      <c r="C843" t="s">
        <v>1005</v>
      </c>
      <c r="D843">
        <v>77</v>
      </c>
      <c r="E843" t="s">
        <v>1005</v>
      </c>
      <c r="F843">
        <v>91</v>
      </c>
      <c r="G843" t="s">
        <v>1006</v>
      </c>
      <c r="H843" t="s">
        <v>1015</v>
      </c>
      <c r="I843" t="s">
        <v>14</v>
      </c>
    </row>
    <row r="844" spans="2:9" x14ac:dyDescent="0.3">
      <c r="B844">
        <v>68</v>
      </c>
      <c r="C844" t="s">
        <v>1008</v>
      </c>
      <c r="D844">
        <v>65</v>
      </c>
      <c r="E844" t="s">
        <v>1008</v>
      </c>
      <c r="F844">
        <v>70</v>
      </c>
      <c r="G844" t="s">
        <v>1009</v>
      </c>
      <c r="H844" t="s">
        <v>1009</v>
      </c>
      <c r="I844" t="s">
        <v>14</v>
      </c>
    </row>
    <row r="845" spans="2:9" x14ac:dyDescent="0.3">
      <c r="B845">
        <v>80</v>
      </c>
      <c r="C845" t="s">
        <v>1005</v>
      </c>
      <c r="D845">
        <v>85</v>
      </c>
      <c r="E845" t="s">
        <v>1007</v>
      </c>
      <c r="F845">
        <v>78</v>
      </c>
      <c r="G845" t="s">
        <v>1006</v>
      </c>
      <c r="H845" t="s">
        <v>1015</v>
      </c>
      <c r="I845" t="s">
        <v>14</v>
      </c>
    </row>
    <row r="846" spans="2:9" x14ac:dyDescent="0.3">
      <c r="B846">
        <v>87</v>
      </c>
      <c r="C846" t="s">
        <v>1007</v>
      </c>
      <c r="D846">
        <v>77</v>
      </c>
      <c r="E846" t="s">
        <v>1005</v>
      </c>
      <c r="F846">
        <v>90</v>
      </c>
      <c r="G846" t="s">
        <v>1006</v>
      </c>
      <c r="H846" t="s">
        <v>1015</v>
      </c>
      <c r="I846" t="s">
        <v>14</v>
      </c>
    </row>
    <row r="847" spans="2:9" x14ac:dyDescent="0.3">
      <c r="B847">
        <v>72</v>
      </c>
      <c r="C847" t="s">
        <v>1005</v>
      </c>
      <c r="D847">
        <v>65</v>
      </c>
      <c r="E847" t="s">
        <v>1008</v>
      </c>
      <c r="F847">
        <v>70</v>
      </c>
      <c r="G847" t="s">
        <v>1009</v>
      </c>
      <c r="H847" t="s">
        <v>1009</v>
      </c>
      <c r="I847" t="s">
        <v>14</v>
      </c>
    </row>
    <row r="848" spans="2:9" x14ac:dyDescent="0.3">
      <c r="B848">
        <v>80</v>
      </c>
      <c r="C848" t="s">
        <v>1005</v>
      </c>
      <c r="D848">
        <v>90</v>
      </c>
      <c r="E848" t="s">
        <v>1007</v>
      </c>
      <c r="F848">
        <v>95</v>
      </c>
      <c r="G848" t="s">
        <v>1006</v>
      </c>
      <c r="H848" t="s">
        <v>1015</v>
      </c>
      <c r="I848" t="s">
        <v>14</v>
      </c>
    </row>
    <row r="849" spans="2:9" x14ac:dyDescent="0.3">
      <c r="B849">
        <v>92</v>
      </c>
      <c r="C849" t="s">
        <v>1010</v>
      </c>
      <c r="D849">
        <v>85</v>
      </c>
      <c r="E849" t="s">
        <v>1007</v>
      </c>
      <c r="F849">
        <v>85</v>
      </c>
      <c r="G849" t="s">
        <v>1011</v>
      </c>
      <c r="H849" t="s">
        <v>1015</v>
      </c>
      <c r="I849" t="s">
        <v>14</v>
      </c>
    </row>
    <row r="850" spans="2:9" x14ac:dyDescent="0.3">
      <c r="B850">
        <v>68</v>
      </c>
      <c r="C850" t="s">
        <v>1008</v>
      </c>
      <c r="D850">
        <v>78</v>
      </c>
      <c r="E850" t="s">
        <v>1005</v>
      </c>
      <c r="F850">
        <v>78</v>
      </c>
      <c r="G850" t="s">
        <v>1009</v>
      </c>
      <c r="H850" t="s">
        <v>1015</v>
      </c>
      <c r="I850" t="s">
        <v>14</v>
      </c>
    </row>
    <row r="851" spans="2:9" x14ac:dyDescent="0.3">
      <c r="B851">
        <v>68</v>
      </c>
      <c r="C851" t="s">
        <v>1008</v>
      </c>
      <c r="D851">
        <v>65</v>
      </c>
      <c r="E851" t="s">
        <v>1008</v>
      </c>
      <c r="F851">
        <v>85</v>
      </c>
      <c r="G851" t="s">
        <v>1009</v>
      </c>
      <c r="H851" t="s">
        <v>1009</v>
      </c>
      <c r="I851" t="s">
        <v>11</v>
      </c>
    </row>
    <row r="852" spans="2:9" x14ac:dyDescent="0.3">
      <c r="B852">
        <v>80</v>
      </c>
      <c r="C852" t="s">
        <v>1005</v>
      </c>
      <c r="D852">
        <v>60</v>
      </c>
      <c r="E852" t="s">
        <v>1012</v>
      </c>
      <c r="F852">
        <v>82</v>
      </c>
      <c r="G852" t="s">
        <v>1006</v>
      </c>
      <c r="H852" t="s">
        <v>1016</v>
      </c>
      <c r="I852" t="s">
        <v>11</v>
      </c>
    </row>
    <row r="853" spans="2:9" x14ac:dyDescent="0.3">
      <c r="B853">
        <v>62</v>
      </c>
      <c r="C853" t="s">
        <v>1008</v>
      </c>
      <c r="D853">
        <v>90</v>
      </c>
      <c r="E853" t="s">
        <v>1007</v>
      </c>
      <c r="F853">
        <v>95</v>
      </c>
      <c r="G853" t="s">
        <v>1009</v>
      </c>
      <c r="H853" t="s">
        <v>1015</v>
      </c>
      <c r="I853" t="s">
        <v>11</v>
      </c>
    </row>
    <row r="854" spans="2:9" x14ac:dyDescent="0.3">
      <c r="B854">
        <v>62</v>
      </c>
      <c r="C854" t="s">
        <v>1008</v>
      </c>
      <c r="D854">
        <v>65</v>
      </c>
      <c r="E854" t="s">
        <v>1008</v>
      </c>
      <c r="F854">
        <v>92</v>
      </c>
      <c r="G854" t="s">
        <v>1009</v>
      </c>
      <c r="H854" t="s">
        <v>1009</v>
      </c>
      <c r="I854" t="s">
        <v>11</v>
      </c>
    </row>
    <row r="855" spans="2:9" x14ac:dyDescent="0.3">
      <c r="B855">
        <v>92</v>
      </c>
      <c r="C855" t="s">
        <v>1010</v>
      </c>
      <c r="D855">
        <v>60</v>
      </c>
      <c r="E855" t="s">
        <v>1012</v>
      </c>
      <c r="F855">
        <v>82</v>
      </c>
      <c r="G855" t="s">
        <v>1011</v>
      </c>
      <c r="H855" t="s">
        <v>1016</v>
      </c>
      <c r="I855" t="s">
        <v>11</v>
      </c>
    </row>
    <row r="856" spans="2:9" x14ac:dyDescent="0.3">
      <c r="B856">
        <v>92</v>
      </c>
      <c r="C856" t="s">
        <v>1010</v>
      </c>
      <c r="D856">
        <v>60</v>
      </c>
      <c r="E856" t="s">
        <v>1012</v>
      </c>
      <c r="F856">
        <v>95</v>
      </c>
      <c r="G856" t="s">
        <v>1011</v>
      </c>
      <c r="H856" t="s">
        <v>1016</v>
      </c>
      <c r="I856" t="s">
        <v>14</v>
      </c>
    </row>
    <row r="857" spans="2:9" x14ac:dyDescent="0.3">
      <c r="B857">
        <v>87</v>
      </c>
      <c r="C857" t="s">
        <v>1007</v>
      </c>
      <c r="D857">
        <v>82</v>
      </c>
      <c r="E857" t="s">
        <v>1007</v>
      </c>
      <c r="F857">
        <v>92</v>
      </c>
      <c r="G857" t="s">
        <v>1006</v>
      </c>
      <c r="H857" t="s">
        <v>1015</v>
      </c>
      <c r="I857" t="s">
        <v>11</v>
      </c>
    </row>
    <row r="858" spans="2:9" x14ac:dyDescent="0.3">
      <c r="B858">
        <v>68</v>
      </c>
      <c r="C858" t="s">
        <v>1008</v>
      </c>
      <c r="D858">
        <v>60</v>
      </c>
      <c r="E858" t="s">
        <v>1012</v>
      </c>
      <c r="F858">
        <v>91</v>
      </c>
      <c r="G858" t="s">
        <v>1009</v>
      </c>
      <c r="H858" t="s">
        <v>1016</v>
      </c>
      <c r="I858" t="s">
        <v>11</v>
      </c>
    </row>
    <row r="859" spans="2:9" x14ac:dyDescent="0.3">
      <c r="B859">
        <v>62</v>
      </c>
      <c r="C859" t="s">
        <v>1008</v>
      </c>
      <c r="D859">
        <v>86</v>
      </c>
      <c r="E859" t="s">
        <v>1007</v>
      </c>
      <c r="F859">
        <v>95</v>
      </c>
      <c r="G859" t="s">
        <v>1009</v>
      </c>
      <c r="H859" t="s">
        <v>1015</v>
      </c>
      <c r="I859" t="s">
        <v>977</v>
      </c>
    </row>
    <row r="860" spans="2:9" x14ac:dyDescent="0.3">
      <c r="B860">
        <v>92</v>
      </c>
      <c r="C860" t="s">
        <v>1010</v>
      </c>
      <c r="D860">
        <v>86</v>
      </c>
      <c r="E860" t="s">
        <v>1007</v>
      </c>
      <c r="F860">
        <v>85.510416666666671</v>
      </c>
      <c r="G860" t="s">
        <v>1011</v>
      </c>
      <c r="H860" t="s">
        <v>1015</v>
      </c>
      <c r="I860" t="s">
        <v>11</v>
      </c>
    </row>
    <row r="861" spans="2:9" x14ac:dyDescent="0.3">
      <c r="B861">
        <v>68</v>
      </c>
      <c r="C861" t="s">
        <v>1008</v>
      </c>
      <c r="D861">
        <v>77</v>
      </c>
      <c r="E861" t="s">
        <v>1005</v>
      </c>
      <c r="F861">
        <v>78</v>
      </c>
      <c r="G861" t="s">
        <v>1009</v>
      </c>
      <c r="H861" t="s">
        <v>1015</v>
      </c>
      <c r="I861" t="s">
        <v>11</v>
      </c>
    </row>
    <row r="862" spans="2:9" x14ac:dyDescent="0.3">
      <c r="B862">
        <v>80</v>
      </c>
      <c r="C862" t="s">
        <v>1005</v>
      </c>
      <c r="D862">
        <v>77.598759048603924</v>
      </c>
      <c r="E862" t="s">
        <v>1005</v>
      </c>
      <c r="F862">
        <v>85.510416666666671</v>
      </c>
      <c r="G862" t="s">
        <v>1006</v>
      </c>
      <c r="H862" t="s">
        <v>1015</v>
      </c>
      <c r="I862" t="s">
        <v>14</v>
      </c>
    </row>
    <row r="863" spans="2:9" x14ac:dyDescent="0.3">
      <c r="B863">
        <v>80</v>
      </c>
      <c r="C863" t="s">
        <v>1005</v>
      </c>
      <c r="D863">
        <v>90</v>
      </c>
      <c r="E863" t="s">
        <v>1007</v>
      </c>
      <c r="F863">
        <v>95</v>
      </c>
      <c r="G863" t="s">
        <v>1006</v>
      </c>
      <c r="H863" t="s">
        <v>1015</v>
      </c>
      <c r="I863" t="s">
        <v>11</v>
      </c>
    </row>
    <row r="864" spans="2:9" x14ac:dyDescent="0.3">
      <c r="B864">
        <v>80</v>
      </c>
      <c r="C864" t="s">
        <v>1005</v>
      </c>
      <c r="D864">
        <v>65</v>
      </c>
      <c r="E864" t="s">
        <v>1008</v>
      </c>
      <c r="F864">
        <v>82</v>
      </c>
      <c r="G864" t="s">
        <v>1006</v>
      </c>
      <c r="H864" t="s">
        <v>1009</v>
      </c>
      <c r="I864" t="s">
        <v>14</v>
      </c>
    </row>
    <row r="865" spans="2:9" x14ac:dyDescent="0.3">
      <c r="B865">
        <v>88</v>
      </c>
      <c r="C865" t="s">
        <v>1007</v>
      </c>
      <c r="D865">
        <v>65</v>
      </c>
      <c r="E865" t="s">
        <v>1008</v>
      </c>
      <c r="F865">
        <v>78</v>
      </c>
      <c r="G865" t="s">
        <v>1006</v>
      </c>
      <c r="H865" t="s">
        <v>1009</v>
      </c>
      <c r="I865" t="s">
        <v>11</v>
      </c>
    </row>
    <row r="866" spans="2:9" x14ac:dyDescent="0.3">
      <c r="B866">
        <v>92</v>
      </c>
      <c r="C866" t="s">
        <v>1010</v>
      </c>
      <c r="D866">
        <v>82</v>
      </c>
      <c r="E866" t="s">
        <v>1007</v>
      </c>
      <c r="F866">
        <v>70</v>
      </c>
      <c r="G866" t="s">
        <v>1011</v>
      </c>
      <c r="H866" t="s">
        <v>1015</v>
      </c>
      <c r="I866" t="s">
        <v>11</v>
      </c>
    </row>
    <row r="867" spans="2:9" x14ac:dyDescent="0.3">
      <c r="B867">
        <v>87</v>
      </c>
      <c r="C867" t="s">
        <v>1007</v>
      </c>
      <c r="D867">
        <v>90</v>
      </c>
      <c r="E867" t="s">
        <v>1007</v>
      </c>
      <c r="F867">
        <v>91</v>
      </c>
      <c r="G867" t="s">
        <v>1006</v>
      </c>
      <c r="H867" t="s">
        <v>1015</v>
      </c>
      <c r="I867" t="s">
        <v>14</v>
      </c>
    </row>
    <row r="868" spans="2:9" x14ac:dyDescent="0.3">
      <c r="B868">
        <v>62</v>
      </c>
      <c r="C868" t="s">
        <v>1008</v>
      </c>
      <c r="D868">
        <v>60</v>
      </c>
      <c r="E868" t="s">
        <v>1012</v>
      </c>
      <c r="F868">
        <v>85</v>
      </c>
      <c r="G868" t="s">
        <v>1009</v>
      </c>
      <c r="H868" t="s">
        <v>1016</v>
      </c>
      <c r="I868" t="s">
        <v>11</v>
      </c>
    </row>
    <row r="869" spans="2:9" x14ac:dyDescent="0.3">
      <c r="B869">
        <v>68</v>
      </c>
      <c r="C869" t="s">
        <v>1008</v>
      </c>
      <c r="D869">
        <v>82</v>
      </c>
      <c r="E869" t="s">
        <v>1007</v>
      </c>
      <c r="F869">
        <v>70</v>
      </c>
      <c r="G869" t="s">
        <v>1009</v>
      </c>
      <c r="H869" t="s">
        <v>1015</v>
      </c>
      <c r="I869" t="s">
        <v>14</v>
      </c>
    </row>
    <row r="870" spans="2:9" x14ac:dyDescent="0.3">
      <c r="B870">
        <v>88</v>
      </c>
      <c r="C870" t="s">
        <v>1007</v>
      </c>
      <c r="D870">
        <v>82</v>
      </c>
      <c r="E870" t="s">
        <v>1007</v>
      </c>
      <c r="F870">
        <v>88</v>
      </c>
      <c r="G870" t="s">
        <v>1006</v>
      </c>
      <c r="H870" t="s">
        <v>1015</v>
      </c>
      <c r="I870" t="s">
        <v>14</v>
      </c>
    </row>
    <row r="871" spans="2:9" x14ac:dyDescent="0.3">
      <c r="B871">
        <v>90</v>
      </c>
      <c r="C871" t="s">
        <v>1007</v>
      </c>
      <c r="D871">
        <v>78</v>
      </c>
      <c r="E871" t="s">
        <v>1005</v>
      </c>
      <c r="F871">
        <v>78</v>
      </c>
      <c r="G871" t="s">
        <v>1006</v>
      </c>
      <c r="H871" t="s">
        <v>1015</v>
      </c>
      <c r="I871" t="s">
        <v>11</v>
      </c>
    </row>
    <row r="872" spans="2:9" x14ac:dyDescent="0.3">
      <c r="B872">
        <v>80</v>
      </c>
      <c r="C872" t="s">
        <v>1005</v>
      </c>
      <c r="D872">
        <v>86</v>
      </c>
      <c r="E872" t="s">
        <v>1007</v>
      </c>
      <c r="F872">
        <v>85</v>
      </c>
      <c r="G872" t="s">
        <v>1006</v>
      </c>
      <c r="H872" t="s">
        <v>1015</v>
      </c>
      <c r="I872" t="s">
        <v>14</v>
      </c>
    </row>
    <row r="873" spans="2:9" x14ac:dyDescent="0.3">
      <c r="B873">
        <v>78</v>
      </c>
      <c r="C873" t="s">
        <v>1005</v>
      </c>
      <c r="D873">
        <v>88</v>
      </c>
      <c r="E873" t="s">
        <v>1007</v>
      </c>
      <c r="F873">
        <v>70</v>
      </c>
      <c r="G873" t="s">
        <v>1006</v>
      </c>
      <c r="H873" t="s">
        <v>1015</v>
      </c>
      <c r="I873" t="s">
        <v>11</v>
      </c>
    </row>
    <row r="874" spans="2:9" x14ac:dyDescent="0.3">
      <c r="B874">
        <v>80</v>
      </c>
      <c r="C874" t="s">
        <v>1005</v>
      </c>
      <c r="D874">
        <v>77</v>
      </c>
      <c r="E874" t="s">
        <v>1005</v>
      </c>
      <c r="F874">
        <v>92</v>
      </c>
      <c r="G874" t="s">
        <v>1006</v>
      </c>
      <c r="H874" t="s">
        <v>1015</v>
      </c>
      <c r="I874" t="s">
        <v>977</v>
      </c>
    </row>
    <row r="875" spans="2:9" x14ac:dyDescent="0.3">
      <c r="B875">
        <v>68</v>
      </c>
      <c r="C875" t="s">
        <v>1008</v>
      </c>
      <c r="D875">
        <v>90</v>
      </c>
      <c r="E875" t="s">
        <v>1007</v>
      </c>
      <c r="F875">
        <v>78</v>
      </c>
      <c r="G875" t="s">
        <v>1009</v>
      </c>
      <c r="H875" t="s">
        <v>1015</v>
      </c>
      <c r="I875" t="s">
        <v>14</v>
      </c>
    </row>
    <row r="876" spans="2:9" x14ac:dyDescent="0.3">
      <c r="B876">
        <v>68</v>
      </c>
      <c r="C876" t="s">
        <v>1008</v>
      </c>
      <c r="D876">
        <v>70</v>
      </c>
      <c r="E876" t="s">
        <v>1008</v>
      </c>
      <c r="F876">
        <v>91</v>
      </c>
      <c r="G876" t="s">
        <v>1009</v>
      </c>
      <c r="H876" t="s">
        <v>1009</v>
      </c>
      <c r="I876" t="s">
        <v>14</v>
      </c>
    </row>
    <row r="877" spans="2:9" x14ac:dyDescent="0.3">
      <c r="B877">
        <v>80.030208333333334</v>
      </c>
      <c r="C877" t="s">
        <v>1007</v>
      </c>
      <c r="D877">
        <v>60</v>
      </c>
      <c r="E877" t="s">
        <v>1012</v>
      </c>
      <c r="F877">
        <v>91</v>
      </c>
      <c r="G877" t="s">
        <v>1006</v>
      </c>
      <c r="H877" t="s">
        <v>1016</v>
      </c>
      <c r="I877" t="s">
        <v>14</v>
      </c>
    </row>
    <row r="878" spans="2:9" x14ac:dyDescent="0.3">
      <c r="B878">
        <v>80</v>
      </c>
      <c r="C878" t="s">
        <v>1005</v>
      </c>
      <c r="D878">
        <v>78</v>
      </c>
      <c r="E878" t="s">
        <v>1005</v>
      </c>
      <c r="F878">
        <v>70</v>
      </c>
      <c r="G878" t="s">
        <v>1006</v>
      </c>
      <c r="H878" t="s">
        <v>1015</v>
      </c>
      <c r="I878" t="s">
        <v>977</v>
      </c>
    </row>
    <row r="879" spans="2:9" x14ac:dyDescent="0.3">
      <c r="B879">
        <v>68</v>
      </c>
      <c r="C879" t="s">
        <v>1008</v>
      </c>
      <c r="D879">
        <v>65</v>
      </c>
      <c r="E879" t="s">
        <v>1008</v>
      </c>
      <c r="F879">
        <v>88</v>
      </c>
      <c r="G879" t="s">
        <v>1009</v>
      </c>
      <c r="H879" t="s">
        <v>1009</v>
      </c>
      <c r="I879" t="s">
        <v>977</v>
      </c>
    </row>
    <row r="880" spans="2:9" x14ac:dyDescent="0.3">
      <c r="B880">
        <v>80</v>
      </c>
      <c r="C880" t="s">
        <v>1005</v>
      </c>
      <c r="D880">
        <v>90</v>
      </c>
      <c r="E880" t="s">
        <v>1007</v>
      </c>
      <c r="F880">
        <v>85</v>
      </c>
      <c r="G880" t="s">
        <v>1006</v>
      </c>
      <c r="H880" t="s">
        <v>1015</v>
      </c>
      <c r="I880" t="s">
        <v>11</v>
      </c>
    </row>
    <row r="881" spans="2:9" x14ac:dyDescent="0.3">
      <c r="B881">
        <v>85</v>
      </c>
      <c r="C881" t="s">
        <v>1007</v>
      </c>
      <c r="D881">
        <v>85</v>
      </c>
      <c r="E881" t="s">
        <v>1007</v>
      </c>
      <c r="F881">
        <v>85</v>
      </c>
      <c r="G881" t="s">
        <v>1006</v>
      </c>
      <c r="H881" t="s">
        <v>1015</v>
      </c>
      <c r="I881" t="s">
        <v>14</v>
      </c>
    </row>
    <row r="882" spans="2:9" x14ac:dyDescent="0.3">
      <c r="B882">
        <v>87</v>
      </c>
      <c r="C882" t="s">
        <v>1007</v>
      </c>
      <c r="D882">
        <v>90</v>
      </c>
      <c r="E882" t="s">
        <v>1007</v>
      </c>
      <c r="F882">
        <v>85</v>
      </c>
      <c r="G882" t="s">
        <v>1006</v>
      </c>
      <c r="H882" t="s">
        <v>1015</v>
      </c>
      <c r="I882" t="s">
        <v>14</v>
      </c>
    </row>
    <row r="883" spans="2:9" x14ac:dyDescent="0.3">
      <c r="B883">
        <v>72</v>
      </c>
      <c r="C883" t="s">
        <v>1005</v>
      </c>
      <c r="D883">
        <v>78</v>
      </c>
      <c r="E883" t="s">
        <v>1005</v>
      </c>
      <c r="F883">
        <v>92</v>
      </c>
      <c r="G883" t="s">
        <v>1009</v>
      </c>
      <c r="H883" t="s">
        <v>1015</v>
      </c>
      <c r="I883" t="s">
        <v>11</v>
      </c>
    </row>
    <row r="884" spans="2:9" x14ac:dyDescent="0.3">
      <c r="B884">
        <v>90</v>
      </c>
      <c r="C884" t="s">
        <v>1007</v>
      </c>
      <c r="D884">
        <v>60</v>
      </c>
      <c r="E884" t="s">
        <v>1012</v>
      </c>
      <c r="F884">
        <v>95</v>
      </c>
      <c r="G884" t="s">
        <v>1006</v>
      </c>
      <c r="H884" t="s">
        <v>1016</v>
      </c>
      <c r="I884" t="s">
        <v>14</v>
      </c>
    </row>
    <row r="885" spans="2:9" x14ac:dyDescent="0.3">
      <c r="B885">
        <v>80</v>
      </c>
      <c r="C885" t="s">
        <v>1005</v>
      </c>
      <c r="D885">
        <v>88</v>
      </c>
      <c r="E885" t="s">
        <v>1007</v>
      </c>
      <c r="F885">
        <v>91</v>
      </c>
      <c r="G885" t="s">
        <v>1006</v>
      </c>
      <c r="H885" t="s">
        <v>1015</v>
      </c>
      <c r="I885" t="s">
        <v>14</v>
      </c>
    </row>
    <row r="886" spans="2:9" x14ac:dyDescent="0.3">
      <c r="B886">
        <v>92</v>
      </c>
      <c r="C886" t="s">
        <v>1010</v>
      </c>
      <c r="D886">
        <v>70</v>
      </c>
      <c r="E886" t="s">
        <v>1008</v>
      </c>
      <c r="F886">
        <v>91</v>
      </c>
      <c r="G886" t="s">
        <v>1011</v>
      </c>
      <c r="H886" t="s">
        <v>1009</v>
      </c>
      <c r="I886" t="s">
        <v>11</v>
      </c>
    </row>
    <row r="887" spans="2:9" x14ac:dyDescent="0.3">
      <c r="B887">
        <v>90</v>
      </c>
      <c r="C887" t="s">
        <v>1007</v>
      </c>
      <c r="D887">
        <v>88</v>
      </c>
      <c r="E887" t="s">
        <v>1007</v>
      </c>
      <c r="F887">
        <v>92</v>
      </c>
      <c r="G887" t="s">
        <v>1006</v>
      </c>
      <c r="H887" t="s">
        <v>1015</v>
      </c>
      <c r="I887" t="s">
        <v>14</v>
      </c>
    </row>
    <row r="888" spans="2:9" x14ac:dyDescent="0.3">
      <c r="B888">
        <v>90</v>
      </c>
      <c r="C888" t="s">
        <v>1007</v>
      </c>
      <c r="D888">
        <v>60</v>
      </c>
      <c r="E888" t="s">
        <v>1012</v>
      </c>
      <c r="F888">
        <v>91</v>
      </c>
      <c r="G888" t="s">
        <v>1006</v>
      </c>
      <c r="H888" t="s">
        <v>1016</v>
      </c>
      <c r="I888" t="s">
        <v>11</v>
      </c>
    </row>
    <row r="889" spans="2:9" x14ac:dyDescent="0.3">
      <c r="B889">
        <v>80.030208333333334</v>
      </c>
      <c r="C889" t="s">
        <v>1007</v>
      </c>
      <c r="D889">
        <v>65</v>
      </c>
      <c r="E889" t="s">
        <v>1008</v>
      </c>
      <c r="F889">
        <v>91</v>
      </c>
      <c r="G889" t="s">
        <v>1006</v>
      </c>
      <c r="H889" t="s">
        <v>1009</v>
      </c>
      <c r="I889" t="s">
        <v>14</v>
      </c>
    </row>
    <row r="890" spans="2:9" x14ac:dyDescent="0.3">
      <c r="B890">
        <v>72</v>
      </c>
      <c r="C890" t="s">
        <v>1005</v>
      </c>
      <c r="D890">
        <v>85</v>
      </c>
      <c r="E890" t="s">
        <v>1007</v>
      </c>
      <c r="F890">
        <v>78</v>
      </c>
      <c r="G890" t="s">
        <v>1009</v>
      </c>
      <c r="H890" t="s">
        <v>1015</v>
      </c>
      <c r="I890" t="s">
        <v>14</v>
      </c>
    </row>
    <row r="891" spans="2:9" x14ac:dyDescent="0.3">
      <c r="B891">
        <v>85</v>
      </c>
      <c r="C891" t="s">
        <v>1007</v>
      </c>
      <c r="D891">
        <v>65</v>
      </c>
      <c r="E891" t="s">
        <v>1008</v>
      </c>
      <c r="F891">
        <v>70</v>
      </c>
      <c r="G891" t="s">
        <v>1006</v>
      </c>
      <c r="H891" t="s">
        <v>1009</v>
      </c>
      <c r="I891" t="s">
        <v>11</v>
      </c>
    </row>
    <row r="892" spans="2:9" x14ac:dyDescent="0.3">
      <c r="B892">
        <v>88</v>
      </c>
      <c r="C892" t="s">
        <v>1007</v>
      </c>
      <c r="D892">
        <v>85</v>
      </c>
      <c r="E892" t="s">
        <v>1007</v>
      </c>
      <c r="F892">
        <v>82</v>
      </c>
      <c r="G892" t="s">
        <v>1006</v>
      </c>
      <c r="H892" t="s">
        <v>1015</v>
      </c>
      <c r="I892" t="s">
        <v>11</v>
      </c>
    </row>
    <row r="893" spans="2:9" x14ac:dyDescent="0.3">
      <c r="B893">
        <v>85</v>
      </c>
      <c r="C893" t="s">
        <v>1007</v>
      </c>
      <c r="D893">
        <v>60</v>
      </c>
      <c r="E893" t="s">
        <v>1012</v>
      </c>
      <c r="F893">
        <v>70</v>
      </c>
      <c r="G893" t="s">
        <v>1006</v>
      </c>
      <c r="H893" t="s">
        <v>1016</v>
      </c>
      <c r="I893" t="s">
        <v>14</v>
      </c>
    </row>
    <row r="894" spans="2:9" x14ac:dyDescent="0.3">
      <c r="B894">
        <v>68</v>
      </c>
      <c r="C894" t="s">
        <v>1008</v>
      </c>
      <c r="D894">
        <v>85</v>
      </c>
      <c r="E894" t="s">
        <v>1007</v>
      </c>
      <c r="F894">
        <v>91</v>
      </c>
      <c r="G894" t="s">
        <v>1009</v>
      </c>
      <c r="H894" t="s">
        <v>1015</v>
      </c>
      <c r="I894" t="s">
        <v>14</v>
      </c>
    </row>
    <row r="895" spans="2:9" x14ac:dyDescent="0.3">
      <c r="B895">
        <v>90</v>
      </c>
      <c r="C895" t="s">
        <v>1007</v>
      </c>
      <c r="D895">
        <v>90</v>
      </c>
      <c r="E895" t="s">
        <v>1007</v>
      </c>
      <c r="F895">
        <v>91</v>
      </c>
      <c r="G895" t="s">
        <v>1006</v>
      </c>
      <c r="H895" t="s">
        <v>1015</v>
      </c>
      <c r="I895" t="s">
        <v>11</v>
      </c>
    </row>
    <row r="896" spans="2:9" x14ac:dyDescent="0.3">
      <c r="B896">
        <v>90</v>
      </c>
      <c r="C896" t="s">
        <v>1007</v>
      </c>
      <c r="D896">
        <v>78</v>
      </c>
      <c r="E896" t="s">
        <v>1005</v>
      </c>
      <c r="F896">
        <v>90</v>
      </c>
      <c r="G896" t="s">
        <v>1006</v>
      </c>
      <c r="H896" t="s">
        <v>1015</v>
      </c>
      <c r="I896" t="s">
        <v>11</v>
      </c>
    </row>
    <row r="897" spans="2:9" x14ac:dyDescent="0.3">
      <c r="B897">
        <v>80</v>
      </c>
      <c r="C897" t="s">
        <v>1005</v>
      </c>
      <c r="D897">
        <v>82</v>
      </c>
      <c r="E897" t="s">
        <v>1007</v>
      </c>
      <c r="F897">
        <v>78</v>
      </c>
      <c r="G897" t="s">
        <v>1006</v>
      </c>
      <c r="H897" t="s">
        <v>1015</v>
      </c>
      <c r="I897" t="s">
        <v>14</v>
      </c>
    </row>
    <row r="898" spans="2:9" x14ac:dyDescent="0.3">
      <c r="B898">
        <v>90</v>
      </c>
      <c r="C898" t="s">
        <v>1007</v>
      </c>
      <c r="D898">
        <v>82</v>
      </c>
      <c r="E898" t="s">
        <v>1007</v>
      </c>
      <c r="F898">
        <v>92</v>
      </c>
      <c r="G898" t="s">
        <v>1006</v>
      </c>
      <c r="H898" t="s">
        <v>1015</v>
      </c>
      <c r="I898" t="s">
        <v>14</v>
      </c>
    </row>
    <row r="899" spans="2:9" x14ac:dyDescent="0.3">
      <c r="B899">
        <v>68</v>
      </c>
      <c r="C899" t="s">
        <v>1008</v>
      </c>
      <c r="D899">
        <v>60</v>
      </c>
      <c r="E899" t="s">
        <v>1012</v>
      </c>
      <c r="F899">
        <v>78</v>
      </c>
      <c r="G899" t="s">
        <v>1009</v>
      </c>
      <c r="H899" t="s">
        <v>1016</v>
      </c>
      <c r="I899" t="s">
        <v>11</v>
      </c>
    </row>
    <row r="900" spans="2:9" x14ac:dyDescent="0.3">
      <c r="B900">
        <v>72</v>
      </c>
      <c r="C900" t="s">
        <v>1005</v>
      </c>
      <c r="D900">
        <v>60</v>
      </c>
      <c r="E900" t="s">
        <v>1012</v>
      </c>
      <c r="F900">
        <v>85</v>
      </c>
      <c r="G900" t="s">
        <v>1009</v>
      </c>
      <c r="H900" t="s">
        <v>1016</v>
      </c>
      <c r="I900" t="s">
        <v>14</v>
      </c>
    </row>
    <row r="901" spans="2:9" x14ac:dyDescent="0.3">
      <c r="B901">
        <v>85</v>
      </c>
      <c r="C901" t="s">
        <v>1007</v>
      </c>
      <c r="D901">
        <v>88</v>
      </c>
      <c r="E901" t="s">
        <v>1007</v>
      </c>
      <c r="F901">
        <v>90</v>
      </c>
      <c r="G901" t="s">
        <v>1006</v>
      </c>
      <c r="H901" t="s">
        <v>1015</v>
      </c>
      <c r="I901" t="s">
        <v>14</v>
      </c>
    </row>
    <row r="902" spans="2:9" x14ac:dyDescent="0.3">
      <c r="B902">
        <v>92</v>
      </c>
      <c r="C902" t="s">
        <v>1010</v>
      </c>
      <c r="D902">
        <v>90</v>
      </c>
      <c r="E902" t="s">
        <v>1007</v>
      </c>
      <c r="F902">
        <v>85.510416666666671</v>
      </c>
      <c r="G902" t="s">
        <v>1011</v>
      </c>
      <c r="H902" t="s">
        <v>1015</v>
      </c>
      <c r="I902" t="s">
        <v>14</v>
      </c>
    </row>
    <row r="903" spans="2:9" x14ac:dyDescent="0.3">
      <c r="B903">
        <v>90</v>
      </c>
      <c r="C903" t="s">
        <v>1007</v>
      </c>
      <c r="D903">
        <v>65</v>
      </c>
      <c r="E903" t="s">
        <v>1008</v>
      </c>
      <c r="F903">
        <v>70</v>
      </c>
      <c r="G903" t="s">
        <v>1006</v>
      </c>
      <c r="H903" t="s">
        <v>1009</v>
      </c>
      <c r="I903" t="s">
        <v>11</v>
      </c>
    </row>
    <row r="904" spans="2:9" x14ac:dyDescent="0.3">
      <c r="B904">
        <v>80</v>
      </c>
      <c r="C904" t="s">
        <v>1005</v>
      </c>
      <c r="D904">
        <v>65</v>
      </c>
      <c r="E904" t="s">
        <v>1008</v>
      </c>
      <c r="F904">
        <v>91</v>
      </c>
      <c r="G904" t="s">
        <v>1006</v>
      </c>
      <c r="H904" t="s">
        <v>1009</v>
      </c>
      <c r="I904" t="s">
        <v>14</v>
      </c>
    </row>
    <row r="905" spans="2:9" x14ac:dyDescent="0.3">
      <c r="B905">
        <v>78</v>
      </c>
      <c r="C905" t="s">
        <v>1005</v>
      </c>
      <c r="D905">
        <v>77</v>
      </c>
      <c r="E905" t="s">
        <v>1005</v>
      </c>
      <c r="F905">
        <v>70</v>
      </c>
      <c r="G905" t="s">
        <v>1006</v>
      </c>
      <c r="H905" t="s">
        <v>1015</v>
      </c>
      <c r="I905" t="s">
        <v>11</v>
      </c>
    </row>
    <row r="906" spans="2:9" x14ac:dyDescent="0.3">
      <c r="B906">
        <v>88</v>
      </c>
      <c r="C906" t="s">
        <v>1007</v>
      </c>
      <c r="D906">
        <v>90</v>
      </c>
      <c r="E906" t="s">
        <v>1007</v>
      </c>
      <c r="F906">
        <v>85</v>
      </c>
      <c r="G906" t="s">
        <v>1006</v>
      </c>
      <c r="H906" t="s">
        <v>1015</v>
      </c>
      <c r="I906" t="s">
        <v>11</v>
      </c>
    </row>
    <row r="907" spans="2:9" x14ac:dyDescent="0.3">
      <c r="B907">
        <v>68</v>
      </c>
      <c r="C907" t="s">
        <v>1008</v>
      </c>
      <c r="D907">
        <v>60</v>
      </c>
      <c r="E907" t="s">
        <v>1012</v>
      </c>
      <c r="F907">
        <v>70</v>
      </c>
      <c r="G907" t="s">
        <v>1009</v>
      </c>
      <c r="H907" t="s">
        <v>1016</v>
      </c>
      <c r="I907" t="s">
        <v>11</v>
      </c>
    </row>
    <row r="908" spans="2:9" x14ac:dyDescent="0.3">
      <c r="B908">
        <v>87</v>
      </c>
      <c r="C908" t="s">
        <v>1007</v>
      </c>
      <c r="D908">
        <v>70</v>
      </c>
      <c r="E908" t="s">
        <v>1008</v>
      </c>
      <c r="F908">
        <v>70</v>
      </c>
      <c r="G908" t="s">
        <v>1006</v>
      </c>
      <c r="H908" t="s">
        <v>1009</v>
      </c>
      <c r="I908" t="s">
        <v>11</v>
      </c>
    </row>
    <row r="909" spans="2:9" x14ac:dyDescent="0.3">
      <c r="B909">
        <v>78</v>
      </c>
      <c r="C909" t="s">
        <v>1005</v>
      </c>
      <c r="D909">
        <v>65</v>
      </c>
      <c r="E909" t="s">
        <v>1008</v>
      </c>
      <c r="F909">
        <v>78</v>
      </c>
      <c r="G909" t="s">
        <v>1006</v>
      </c>
      <c r="H909" t="s">
        <v>1009</v>
      </c>
      <c r="I909" t="s">
        <v>11</v>
      </c>
    </row>
    <row r="910" spans="2:9" x14ac:dyDescent="0.3">
      <c r="B910">
        <v>87</v>
      </c>
      <c r="C910" t="s">
        <v>1007</v>
      </c>
      <c r="D910">
        <v>70</v>
      </c>
      <c r="E910" t="s">
        <v>1008</v>
      </c>
      <c r="F910">
        <v>78</v>
      </c>
      <c r="G910" t="s">
        <v>1006</v>
      </c>
      <c r="H910" t="s">
        <v>1009</v>
      </c>
      <c r="I910" t="s">
        <v>11</v>
      </c>
    </row>
    <row r="911" spans="2:9" x14ac:dyDescent="0.3">
      <c r="B911">
        <v>72</v>
      </c>
      <c r="C911" t="s">
        <v>1005</v>
      </c>
      <c r="D911">
        <v>90</v>
      </c>
      <c r="E911" t="s">
        <v>1007</v>
      </c>
      <c r="F911">
        <v>70</v>
      </c>
      <c r="G911" t="s">
        <v>1009</v>
      </c>
      <c r="H911" t="s">
        <v>1015</v>
      </c>
      <c r="I911" t="s">
        <v>11</v>
      </c>
    </row>
    <row r="912" spans="2:9" x14ac:dyDescent="0.3">
      <c r="B912">
        <v>72</v>
      </c>
      <c r="C912" t="s">
        <v>1005</v>
      </c>
      <c r="D912">
        <v>88</v>
      </c>
      <c r="E912" t="s">
        <v>1007</v>
      </c>
      <c r="F912">
        <v>95</v>
      </c>
      <c r="G912" t="s">
        <v>1009</v>
      </c>
      <c r="H912" t="s">
        <v>1015</v>
      </c>
      <c r="I912" t="s">
        <v>14</v>
      </c>
    </row>
    <row r="913" spans="2:9" x14ac:dyDescent="0.3">
      <c r="B913">
        <v>88</v>
      </c>
      <c r="C913" t="s">
        <v>1007</v>
      </c>
      <c r="D913">
        <v>82</v>
      </c>
      <c r="E913" t="s">
        <v>1007</v>
      </c>
      <c r="F913">
        <v>92</v>
      </c>
      <c r="G913" t="s">
        <v>1006</v>
      </c>
      <c r="H913" t="s">
        <v>1015</v>
      </c>
      <c r="I913" t="s">
        <v>11</v>
      </c>
    </row>
    <row r="914" spans="2:9" x14ac:dyDescent="0.3">
      <c r="B914">
        <v>85</v>
      </c>
      <c r="C914" t="s">
        <v>1007</v>
      </c>
      <c r="D914">
        <v>85</v>
      </c>
      <c r="E914" t="s">
        <v>1007</v>
      </c>
      <c r="F914">
        <v>91</v>
      </c>
      <c r="G914" t="s">
        <v>1006</v>
      </c>
      <c r="H914" t="s">
        <v>1015</v>
      </c>
      <c r="I914" t="s">
        <v>11</v>
      </c>
    </row>
    <row r="915" spans="2:9" x14ac:dyDescent="0.3">
      <c r="B915">
        <v>87</v>
      </c>
      <c r="C915" t="s">
        <v>1007</v>
      </c>
      <c r="D915">
        <v>65</v>
      </c>
      <c r="E915" t="s">
        <v>1008</v>
      </c>
      <c r="F915">
        <v>88</v>
      </c>
      <c r="G915" t="s">
        <v>1006</v>
      </c>
      <c r="H915" t="s">
        <v>1009</v>
      </c>
      <c r="I915" t="s">
        <v>11</v>
      </c>
    </row>
    <row r="916" spans="2:9" x14ac:dyDescent="0.3">
      <c r="B916">
        <v>80</v>
      </c>
      <c r="C916" t="s">
        <v>1005</v>
      </c>
      <c r="D916">
        <v>88</v>
      </c>
      <c r="E916" t="s">
        <v>1007</v>
      </c>
      <c r="F916">
        <v>70</v>
      </c>
      <c r="G916" t="s">
        <v>1006</v>
      </c>
      <c r="H916" t="s">
        <v>1015</v>
      </c>
      <c r="I916" t="s">
        <v>11</v>
      </c>
    </row>
    <row r="917" spans="2:9" x14ac:dyDescent="0.3">
      <c r="B917">
        <v>90</v>
      </c>
      <c r="C917" t="s">
        <v>1007</v>
      </c>
      <c r="D917">
        <v>70</v>
      </c>
      <c r="E917" t="s">
        <v>1008</v>
      </c>
      <c r="F917">
        <v>82</v>
      </c>
      <c r="G917" t="s">
        <v>1006</v>
      </c>
      <c r="H917" t="s">
        <v>1009</v>
      </c>
      <c r="I917" t="s">
        <v>11</v>
      </c>
    </row>
    <row r="918" spans="2:9" x14ac:dyDescent="0.3">
      <c r="B918">
        <v>92</v>
      </c>
      <c r="C918" t="s">
        <v>1010</v>
      </c>
      <c r="D918">
        <v>78</v>
      </c>
      <c r="E918" t="s">
        <v>1005</v>
      </c>
      <c r="F918">
        <v>92</v>
      </c>
      <c r="G918" t="s">
        <v>1011</v>
      </c>
      <c r="H918" t="s">
        <v>1015</v>
      </c>
      <c r="I918" t="s">
        <v>11</v>
      </c>
    </row>
    <row r="919" spans="2:9" x14ac:dyDescent="0.3">
      <c r="B919">
        <v>88</v>
      </c>
      <c r="C919" t="s">
        <v>1007</v>
      </c>
      <c r="D919">
        <v>85</v>
      </c>
      <c r="E919" t="s">
        <v>1007</v>
      </c>
      <c r="F919">
        <v>91</v>
      </c>
      <c r="G919" t="s">
        <v>1006</v>
      </c>
      <c r="H919" t="s">
        <v>1015</v>
      </c>
      <c r="I919" t="s">
        <v>14</v>
      </c>
    </row>
    <row r="920" spans="2:9" x14ac:dyDescent="0.3">
      <c r="B920">
        <v>72</v>
      </c>
      <c r="C920" t="s">
        <v>1005</v>
      </c>
      <c r="D920">
        <v>60</v>
      </c>
      <c r="E920" t="s">
        <v>1012</v>
      </c>
      <c r="F920">
        <v>78</v>
      </c>
      <c r="G920" t="s">
        <v>1009</v>
      </c>
      <c r="H920" t="s">
        <v>1016</v>
      </c>
      <c r="I920" t="s">
        <v>11</v>
      </c>
    </row>
    <row r="921" spans="2:9" x14ac:dyDescent="0.3">
      <c r="B921">
        <v>62</v>
      </c>
      <c r="C921" t="s">
        <v>1008</v>
      </c>
      <c r="D921">
        <v>77.598759048603924</v>
      </c>
      <c r="E921" t="s">
        <v>1005</v>
      </c>
      <c r="F921">
        <v>85</v>
      </c>
      <c r="G921" t="s">
        <v>1009</v>
      </c>
      <c r="H921" t="s">
        <v>1015</v>
      </c>
      <c r="I921" t="s">
        <v>14</v>
      </c>
    </row>
    <row r="922" spans="2:9" x14ac:dyDescent="0.3">
      <c r="B922">
        <v>80.030208333333334</v>
      </c>
      <c r="C922" t="s">
        <v>1007</v>
      </c>
      <c r="D922">
        <v>77</v>
      </c>
      <c r="E922" t="s">
        <v>1005</v>
      </c>
      <c r="F922">
        <v>91</v>
      </c>
      <c r="G922" t="s">
        <v>1006</v>
      </c>
      <c r="H922" t="s">
        <v>1015</v>
      </c>
      <c r="I922" t="s">
        <v>11</v>
      </c>
    </row>
    <row r="923" spans="2:9" x14ac:dyDescent="0.3">
      <c r="B923">
        <v>62</v>
      </c>
      <c r="C923" t="s">
        <v>1008</v>
      </c>
      <c r="D923">
        <v>82</v>
      </c>
      <c r="E923" t="s">
        <v>1007</v>
      </c>
      <c r="F923">
        <v>85.510416666666671</v>
      </c>
      <c r="G923" t="s">
        <v>1009</v>
      </c>
      <c r="H923" t="s">
        <v>1015</v>
      </c>
      <c r="I923" t="s">
        <v>14</v>
      </c>
    </row>
    <row r="924" spans="2:9" x14ac:dyDescent="0.3">
      <c r="B924">
        <v>85</v>
      </c>
      <c r="C924" t="s">
        <v>1007</v>
      </c>
      <c r="D924">
        <v>86</v>
      </c>
      <c r="E924" t="s">
        <v>1007</v>
      </c>
      <c r="F924">
        <v>90</v>
      </c>
      <c r="G924" t="s">
        <v>1006</v>
      </c>
      <c r="H924" t="s">
        <v>1015</v>
      </c>
      <c r="I924" t="s">
        <v>11</v>
      </c>
    </row>
    <row r="925" spans="2:9" x14ac:dyDescent="0.3">
      <c r="B925">
        <v>87</v>
      </c>
      <c r="C925" t="s">
        <v>1007</v>
      </c>
      <c r="D925">
        <v>70</v>
      </c>
      <c r="E925" t="s">
        <v>1008</v>
      </c>
      <c r="F925">
        <v>85</v>
      </c>
      <c r="G925" t="s">
        <v>1006</v>
      </c>
      <c r="H925" t="s">
        <v>1009</v>
      </c>
      <c r="I925" t="s">
        <v>11</v>
      </c>
    </row>
    <row r="926" spans="2:9" x14ac:dyDescent="0.3">
      <c r="B926">
        <v>88</v>
      </c>
      <c r="C926" t="s">
        <v>1007</v>
      </c>
      <c r="D926">
        <v>90</v>
      </c>
      <c r="E926" t="s">
        <v>1007</v>
      </c>
      <c r="F926">
        <v>85.510416666666671</v>
      </c>
      <c r="G926" t="s">
        <v>1006</v>
      </c>
      <c r="H926" t="s">
        <v>1015</v>
      </c>
      <c r="I926" t="s">
        <v>14</v>
      </c>
    </row>
    <row r="927" spans="2:9" x14ac:dyDescent="0.3">
      <c r="B927">
        <v>90</v>
      </c>
      <c r="C927" t="s">
        <v>1007</v>
      </c>
      <c r="D927">
        <v>88</v>
      </c>
      <c r="E927" t="s">
        <v>1007</v>
      </c>
      <c r="F927">
        <v>78</v>
      </c>
      <c r="G927" t="s">
        <v>1006</v>
      </c>
      <c r="H927" t="s">
        <v>1015</v>
      </c>
      <c r="I927" t="s">
        <v>11</v>
      </c>
    </row>
    <row r="928" spans="2:9" x14ac:dyDescent="0.3">
      <c r="B928">
        <v>87</v>
      </c>
      <c r="C928" t="s">
        <v>1007</v>
      </c>
      <c r="D928">
        <v>88</v>
      </c>
      <c r="E928" t="s">
        <v>1007</v>
      </c>
      <c r="F928">
        <v>95</v>
      </c>
      <c r="G928" t="s">
        <v>1006</v>
      </c>
      <c r="H928" t="s">
        <v>1015</v>
      </c>
      <c r="I928" t="s">
        <v>11</v>
      </c>
    </row>
    <row r="929" spans="2:9" x14ac:dyDescent="0.3">
      <c r="B929">
        <v>72</v>
      </c>
      <c r="C929" t="s">
        <v>1005</v>
      </c>
      <c r="D929">
        <v>60</v>
      </c>
      <c r="E929" t="s">
        <v>1012</v>
      </c>
      <c r="F929">
        <v>85</v>
      </c>
      <c r="G929" t="s">
        <v>1009</v>
      </c>
      <c r="H929" t="s">
        <v>1016</v>
      </c>
      <c r="I929" t="s">
        <v>11</v>
      </c>
    </row>
    <row r="930" spans="2:9" x14ac:dyDescent="0.3">
      <c r="B930">
        <v>85</v>
      </c>
      <c r="C930" t="s">
        <v>1007</v>
      </c>
      <c r="D930">
        <v>86</v>
      </c>
      <c r="E930" t="s">
        <v>1007</v>
      </c>
      <c r="F930">
        <v>95</v>
      </c>
      <c r="G930" t="s">
        <v>1006</v>
      </c>
      <c r="H930" t="s">
        <v>1015</v>
      </c>
      <c r="I930" t="s">
        <v>11</v>
      </c>
    </row>
    <row r="931" spans="2:9" x14ac:dyDescent="0.3">
      <c r="B931">
        <v>92</v>
      </c>
      <c r="C931" t="s">
        <v>1010</v>
      </c>
      <c r="D931">
        <v>85</v>
      </c>
      <c r="E931" t="s">
        <v>1007</v>
      </c>
      <c r="F931">
        <v>95</v>
      </c>
      <c r="G931" t="s">
        <v>1011</v>
      </c>
      <c r="H931" t="s">
        <v>1015</v>
      </c>
      <c r="I931" t="s">
        <v>977</v>
      </c>
    </row>
    <row r="932" spans="2:9" x14ac:dyDescent="0.3">
      <c r="B932">
        <v>78</v>
      </c>
      <c r="C932" t="s">
        <v>1005</v>
      </c>
      <c r="D932">
        <v>65</v>
      </c>
      <c r="E932" t="s">
        <v>1008</v>
      </c>
      <c r="F932">
        <v>85.510416666666671</v>
      </c>
      <c r="G932" t="s">
        <v>1006</v>
      </c>
      <c r="H932" t="s">
        <v>1009</v>
      </c>
      <c r="I932" t="s">
        <v>11</v>
      </c>
    </row>
    <row r="933" spans="2:9" x14ac:dyDescent="0.3">
      <c r="B933">
        <v>78</v>
      </c>
      <c r="C933" t="s">
        <v>1005</v>
      </c>
      <c r="D933">
        <v>85</v>
      </c>
      <c r="E933" t="s">
        <v>1007</v>
      </c>
      <c r="F933">
        <v>85.510416666666671</v>
      </c>
      <c r="G933" t="s">
        <v>1006</v>
      </c>
      <c r="H933" t="s">
        <v>1015</v>
      </c>
      <c r="I933" t="s">
        <v>11</v>
      </c>
    </row>
    <row r="934" spans="2:9" x14ac:dyDescent="0.3">
      <c r="B934">
        <v>68</v>
      </c>
      <c r="C934" t="s">
        <v>1008</v>
      </c>
      <c r="D934">
        <v>90</v>
      </c>
      <c r="E934" t="s">
        <v>1007</v>
      </c>
      <c r="F934">
        <v>92</v>
      </c>
      <c r="G934" t="s">
        <v>1009</v>
      </c>
      <c r="H934" t="s">
        <v>1015</v>
      </c>
      <c r="I934" t="s">
        <v>14</v>
      </c>
    </row>
    <row r="935" spans="2:9" x14ac:dyDescent="0.3">
      <c r="B935">
        <v>78</v>
      </c>
      <c r="C935" t="s">
        <v>1005</v>
      </c>
      <c r="D935">
        <v>82</v>
      </c>
      <c r="E935" t="s">
        <v>1007</v>
      </c>
      <c r="F935">
        <v>92</v>
      </c>
      <c r="G935" t="s">
        <v>1006</v>
      </c>
      <c r="H935" t="s">
        <v>1015</v>
      </c>
      <c r="I935" t="s">
        <v>11</v>
      </c>
    </row>
    <row r="936" spans="2:9" x14ac:dyDescent="0.3">
      <c r="B936">
        <v>80</v>
      </c>
      <c r="C936" t="s">
        <v>1005</v>
      </c>
      <c r="D936">
        <v>65</v>
      </c>
      <c r="E936" t="s">
        <v>1008</v>
      </c>
      <c r="F936">
        <v>82</v>
      </c>
      <c r="G936" t="s">
        <v>1006</v>
      </c>
      <c r="H936" t="s">
        <v>1009</v>
      </c>
      <c r="I936" t="s">
        <v>14</v>
      </c>
    </row>
    <row r="937" spans="2:9" x14ac:dyDescent="0.3">
      <c r="B937">
        <v>78</v>
      </c>
      <c r="C937" t="s">
        <v>1005</v>
      </c>
      <c r="D937">
        <v>86</v>
      </c>
      <c r="E937" t="s">
        <v>1007</v>
      </c>
      <c r="F937">
        <v>95</v>
      </c>
      <c r="G937" t="s">
        <v>1006</v>
      </c>
      <c r="H937" t="s">
        <v>1015</v>
      </c>
      <c r="I937" t="s">
        <v>977</v>
      </c>
    </row>
    <row r="938" spans="2:9" x14ac:dyDescent="0.3">
      <c r="B938">
        <v>85</v>
      </c>
      <c r="C938" t="s">
        <v>1007</v>
      </c>
      <c r="D938">
        <v>70</v>
      </c>
      <c r="E938" t="s">
        <v>1008</v>
      </c>
      <c r="F938">
        <v>91</v>
      </c>
      <c r="G938" t="s">
        <v>1006</v>
      </c>
      <c r="H938" t="s">
        <v>1009</v>
      </c>
      <c r="I938" t="s">
        <v>11</v>
      </c>
    </row>
    <row r="939" spans="2:9" x14ac:dyDescent="0.3">
      <c r="B939">
        <v>92</v>
      </c>
      <c r="C939" t="s">
        <v>1010</v>
      </c>
      <c r="D939">
        <v>70</v>
      </c>
      <c r="E939" t="s">
        <v>1008</v>
      </c>
      <c r="F939">
        <v>85</v>
      </c>
      <c r="G939" t="s">
        <v>1011</v>
      </c>
      <c r="H939" t="s">
        <v>1009</v>
      </c>
      <c r="I939" t="s">
        <v>11</v>
      </c>
    </row>
    <row r="940" spans="2:9" x14ac:dyDescent="0.3">
      <c r="B940">
        <v>68</v>
      </c>
      <c r="C940" t="s">
        <v>1008</v>
      </c>
      <c r="D940">
        <v>78</v>
      </c>
      <c r="E940" t="s">
        <v>1005</v>
      </c>
      <c r="F940">
        <v>78</v>
      </c>
      <c r="G940" t="s">
        <v>1009</v>
      </c>
      <c r="H940" t="s">
        <v>1015</v>
      </c>
      <c r="I940" t="s">
        <v>11</v>
      </c>
    </row>
    <row r="941" spans="2:9" x14ac:dyDescent="0.3">
      <c r="B941">
        <v>92</v>
      </c>
      <c r="C941" t="s">
        <v>1010</v>
      </c>
      <c r="D941">
        <v>70</v>
      </c>
      <c r="E941" t="s">
        <v>1008</v>
      </c>
      <c r="F941">
        <v>70</v>
      </c>
      <c r="G941" t="s">
        <v>1011</v>
      </c>
      <c r="H941" t="s">
        <v>1009</v>
      </c>
      <c r="I941" t="s">
        <v>11</v>
      </c>
    </row>
    <row r="942" spans="2:9" x14ac:dyDescent="0.3">
      <c r="B942">
        <v>85</v>
      </c>
      <c r="C942" t="s">
        <v>1007</v>
      </c>
      <c r="D942">
        <v>85</v>
      </c>
      <c r="E942" t="s">
        <v>1007</v>
      </c>
      <c r="F942">
        <v>85</v>
      </c>
      <c r="G942" t="s">
        <v>1006</v>
      </c>
      <c r="H942" t="s">
        <v>1015</v>
      </c>
      <c r="I942" t="s">
        <v>14</v>
      </c>
    </row>
    <row r="943" spans="2:9" x14ac:dyDescent="0.3">
      <c r="B943">
        <v>90</v>
      </c>
      <c r="C943" t="s">
        <v>1007</v>
      </c>
      <c r="D943">
        <v>78</v>
      </c>
      <c r="E943" t="s">
        <v>1005</v>
      </c>
      <c r="F943">
        <v>85</v>
      </c>
      <c r="G943" t="s">
        <v>1006</v>
      </c>
      <c r="H943" t="s">
        <v>1015</v>
      </c>
      <c r="I943" t="s">
        <v>14</v>
      </c>
    </row>
    <row r="944" spans="2:9" x14ac:dyDescent="0.3">
      <c r="B944">
        <v>85</v>
      </c>
      <c r="C944" t="s">
        <v>1007</v>
      </c>
      <c r="D944">
        <v>77.598759048603924</v>
      </c>
      <c r="E944" t="s">
        <v>1005</v>
      </c>
      <c r="F944">
        <v>78</v>
      </c>
      <c r="G944" t="s">
        <v>1006</v>
      </c>
      <c r="H944" t="s">
        <v>1015</v>
      </c>
      <c r="I944" t="s">
        <v>14</v>
      </c>
    </row>
    <row r="945" spans="2:9" x14ac:dyDescent="0.3">
      <c r="B945">
        <v>90</v>
      </c>
      <c r="C945" t="s">
        <v>1007</v>
      </c>
      <c r="D945">
        <v>86</v>
      </c>
      <c r="E945" t="s">
        <v>1007</v>
      </c>
      <c r="F945">
        <v>95</v>
      </c>
      <c r="G945" t="s">
        <v>1006</v>
      </c>
      <c r="H945" t="s">
        <v>1015</v>
      </c>
      <c r="I945" t="s">
        <v>14</v>
      </c>
    </row>
    <row r="946" spans="2:9" x14ac:dyDescent="0.3">
      <c r="B946">
        <v>88</v>
      </c>
      <c r="C946" t="s">
        <v>1007</v>
      </c>
      <c r="D946">
        <v>86</v>
      </c>
      <c r="E946" t="s">
        <v>1007</v>
      </c>
      <c r="F946">
        <v>90</v>
      </c>
      <c r="G946" t="s">
        <v>1006</v>
      </c>
      <c r="H946" t="s">
        <v>1015</v>
      </c>
      <c r="I946" t="s">
        <v>11</v>
      </c>
    </row>
    <row r="947" spans="2:9" x14ac:dyDescent="0.3">
      <c r="B947">
        <v>85</v>
      </c>
      <c r="C947" t="s">
        <v>1007</v>
      </c>
      <c r="D947">
        <v>70</v>
      </c>
      <c r="E947" t="s">
        <v>1008</v>
      </c>
      <c r="F947">
        <v>90</v>
      </c>
      <c r="G947" t="s">
        <v>1006</v>
      </c>
      <c r="H947" t="s">
        <v>1009</v>
      </c>
      <c r="I947" t="s">
        <v>14</v>
      </c>
    </row>
    <row r="948" spans="2:9" x14ac:dyDescent="0.3">
      <c r="B948">
        <v>85</v>
      </c>
      <c r="C948" t="s">
        <v>1007</v>
      </c>
      <c r="D948">
        <v>90</v>
      </c>
      <c r="E948" t="s">
        <v>1007</v>
      </c>
      <c r="F948">
        <v>85</v>
      </c>
      <c r="G948" t="s">
        <v>1006</v>
      </c>
      <c r="H948" t="s">
        <v>1015</v>
      </c>
      <c r="I948" t="s">
        <v>11</v>
      </c>
    </row>
    <row r="949" spans="2:9" x14ac:dyDescent="0.3">
      <c r="B949">
        <v>72</v>
      </c>
      <c r="C949" t="s">
        <v>1005</v>
      </c>
      <c r="D949">
        <v>85</v>
      </c>
      <c r="E949" t="s">
        <v>1007</v>
      </c>
      <c r="F949">
        <v>90</v>
      </c>
      <c r="G949" t="s">
        <v>1009</v>
      </c>
      <c r="H949" t="s">
        <v>1015</v>
      </c>
      <c r="I949" t="s">
        <v>14</v>
      </c>
    </row>
    <row r="950" spans="2:9" x14ac:dyDescent="0.3">
      <c r="B950">
        <v>80.030208333333334</v>
      </c>
      <c r="C950" t="s">
        <v>1007</v>
      </c>
      <c r="D950">
        <v>78</v>
      </c>
      <c r="E950" t="s">
        <v>1005</v>
      </c>
      <c r="F950">
        <v>78</v>
      </c>
      <c r="G950" t="s">
        <v>1006</v>
      </c>
      <c r="H950" t="s">
        <v>1015</v>
      </c>
      <c r="I950" t="s">
        <v>14</v>
      </c>
    </row>
    <row r="951" spans="2:9" x14ac:dyDescent="0.3">
      <c r="B951">
        <v>62</v>
      </c>
      <c r="C951" t="s">
        <v>1008</v>
      </c>
      <c r="D951">
        <v>70</v>
      </c>
      <c r="E951" t="s">
        <v>1008</v>
      </c>
      <c r="F951">
        <v>78</v>
      </c>
      <c r="G951" t="s">
        <v>1009</v>
      </c>
      <c r="H951" t="s">
        <v>1009</v>
      </c>
      <c r="I951" t="s">
        <v>977</v>
      </c>
    </row>
    <row r="952" spans="2:9" x14ac:dyDescent="0.3">
      <c r="B952">
        <v>80</v>
      </c>
      <c r="C952" t="s">
        <v>1005</v>
      </c>
      <c r="D952">
        <v>90</v>
      </c>
      <c r="E952" t="s">
        <v>1007</v>
      </c>
      <c r="F952">
        <v>78</v>
      </c>
      <c r="G952" t="s">
        <v>1006</v>
      </c>
      <c r="H952" t="s">
        <v>1015</v>
      </c>
      <c r="I952" t="s">
        <v>11</v>
      </c>
    </row>
    <row r="953" spans="2:9" x14ac:dyDescent="0.3">
      <c r="B953">
        <v>87</v>
      </c>
      <c r="C953" t="s">
        <v>1007</v>
      </c>
      <c r="D953">
        <v>82</v>
      </c>
      <c r="E953" t="s">
        <v>1007</v>
      </c>
      <c r="F953">
        <v>88</v>
      </c>
      <c r="G953" t="s">
        <v>1006</v>
      </c>
      <c r="H953" t="s">
        <v>1015</v>
      </c>
      <c r="I953" t="s">
        <v>14</v>
      </c>
    </row>
    <row r="954" spans="2:9" x14ac:dyDescent="0.3">
      <c r="B954">
        <v>92</v>
      </c>
      <c r="C954" t="s">
        <v>1010</v>
      </c>
      <c r="D954">
        <v>65</v>
      </c>
      <c r="E954" t="s">
        <v>1008</v>
      </c>
      <c r="F954">
        <v>78</v>
      </c>
      <c r="G954" t="s">
        <v>1011</v>
      </c>
      <c r="H954" t="s">
        <v>1009</v>
      </c>
      <c r="I954" t="s">
        <v>11</v>
      </c>
    </row>
    <row r="955" spans="2:9" x14ac:dyDescent="0.3">
      <c r="B955">
        <v>72</v>
      </c>
      <c r="C955" t="s">
        <v>1005</v>
      </c>
      <c r="D955">
        <v>88</v>
      </c>
      <c r="E955" t="s">
        <v>1007</v>
      </c>
      <c r="F955">
        <v>91</v>
      </c>
      <c r="G955" t="s">
        <v>1009</v>
      </c>
      <c r="H955" t="s">
        <v>1015</v>
      </c>
      <c r="I955" t="s">
        <v>14</v>
      </c>
    </row>
    <row r="956" spans="2:9" x14ac:dyDescent="0.3">
      <c r="B956">
        <v>85</v>
      </c>
      <c r="C956" t="s">
        <v>1007</v>
      </c>
      <c r="D956">
        <v>88</v>
      </c>
      <c r="E956" t="s">
        <v>1007</v>
      </c>
      <c r="F956">
        <v>85</v>
      </c>
      <c r="G956" t="s">
        <v>1006</v>
      </c>
      <c r="H956" t="s">
        <v>1015</v>
      </c>
      <c r="I956" t="s">
        <v>977</v>
      </c>
    </row>
    <row r="957" spans="2:9" x14ac:dyDescent="0.3">
      <c r="B957">
        <v>90</v>
      </c>
      <c r="C957" t="s">
        <v>1007</v>
      </c>
      <c r="D957">
        <v>90</v>
      </c>
      <c r="E957" t="s">
        <v>1007</v>
      </c>
      <c r="F957">
        <v>91</v>
      </c>
      <c r="G957" t="s">
        <v>1006</v>
      </c>
      <c r="H957" t="s">
        <v>1015</v>
      </c>
      <c r="I957" t="s">
        <v>14</v>
      </c>
    </row>
    <row r="958" spans="2:9" x14ac:dyDescent="0.3">
      <c r="B958">
        <v>87</v>
      </c>
      <c r="C958" t="s">
        <v>1007</v>
      </c>
      <c r="D958">
        <v>88</v>
      </c>
      <c r="E958" t="s">
        <v>1007</v>
      </c>
      <c r="F958">
        <v>92</v>
      </c>
      <c r="G958" t="s">
        <v>1006</v>
      </c>
      <c r="H958" t="s">
        <v>1015</v>
      </c>
      <c r="I958" t="s">
        <v>14</v>
      </c>
    </row>
    <row r="959" spans="2:9" x14ac:dyDescent="0.3">
      <c r="B959">
        <v>85</v>
      </c>
      <c r="C959" t="s">
        <v>1007</v>
      </c>
      <c r="D959">
        <v>65</v>
      </c>
      <c r="E959" t="s">
        <v>1008</v>
      </c>
      <c r="F959">
        <v>91</v>
      </c>
      <c r="G959" t="s">
        <v>1006</v>
      </c>
      <c r="H959" t="s">
        <v>1009</v>
      </c>
      <c r="I959" t="s">
        <v>11</v>
      </c>
    </row>
    <row r="960" spans="2:9" x14ac:dyDescent="0.3">
      <c r="B960">
        <v>62</v>
      </c>
      <c r="C960" t="s">
        <v>1008</v>
      </c>
      <c r="D960">
        <v>60</v>
      </c>
      <c r="E960" t="s">
        <v>1012</v>
      </c>
      <c r="F960">
        <v>78</v>
      </c>
      <c r="G960" t="s">
        <v>1009</v>
      </c>
      <c r="H960" t="s">
        <v>1016</v>
      </c>
      <c r="I960" t="s">
        <v>11</v>
      </c>
    </row>
    <row r="961" spans="2:9" x14ac:dyDescent="0.3">
      <c r="B961">
        <v>80</v>
      </c>
      <c r="C961" t="s">
        <v>1005</v>
      </c>
      <c r="D961">
        <v>78</v>
      </c>
      <c r="E961" t="s">
        <v>1005</v>
      </c>
      <c r="F961">
        <v>70</v>
      </c>
      <c r="G961" t="s">
        <v>1006</v>
      </c>
      <c r="H961" t="s">
        <v>1015</v>
      </c>
      <c r="I961" t="s">
        <v>11</v>
      </c>
    </row>
    <row r="962" spans="2:9" x14ac:dyDescent="0.3">
      <c r="B962">
        <v>90</v>
      </c>
      <c r="C962" t="s">
        <v>1007</v>
      </c>
      <c r="D962">
        <v>78</v>
      </c>
      <c r="E962" t="s">
        <v>1005</v>
      </c>
      <c r="F962">
        <v>91</v>
      </c>
      <c r="G962" t="s">
        <v>1006</v>
      </c>
      <c r="H962" t="s">
        <v>1015</v>
      </c>
      <c r="I962" t="s">
        <v>11</v>
      </c>
    </row>
    <row r="963" spans="2:9" x14ac:dyDescent="0.3">
      <c r="B963">
        <v>78</v>
      </c>
      <c r="C963" t="s">
        <v>1005</v>
      </c>
      <c r="D963">
        <v>65</v>
      </c>
      <c r="E963" t="s">
        <v>1008</v>
      </c>
      <c r="F963">
        <v>91</v>
      </c>
      <c r="G963" t="s">
        <v>1006</v>
      </c>
      <c r="H963" t="s">
        <v>1009</v>
      </c>
      <c r="I963" t="s">
        <v>14</v>
      </c>
    </row>
    <row r="964" spans="2:9" x14ac:dyDescent="0.3">
      <c r="B964">
        <v>80.030208333333334</v>
      </c>
      <c r="C964" t="s">
        <v>1007</v>
      </c>
      <c r="D964">
        <v>85</v>
      </c>
      <c r="E964" t="s">
        <v>1007</v>
      </c>
      <c r="F964">
        <v>85.510416666666671</v>
      </c>
      <c r="G964" t="s">
        <v>1006</v>
      </c>
      <c r="H964" t="s">
        <v>1015</v>
      </c>
      <c r="I964" t="s">
        <v>11</v>
      </c>
    </row>
    <row r="965" spans="2:9" x14ac:dyDescent="0.3">
      <c r="B965">
        <v>90</v>
      </c>
      <c r="C965" t="s">
        <v>1007</v>
      </c>
      <c r="D965">
        <v>60</v>
      </c>
      <c r="E965" t="s">
        <v>1012</v>
      </c>
      <c r="F965">
        <v>85</v>
      </c>
      <c r="G965" t="s">
        <v>1006</v>
      </c>
      <c r="H965" t="s">
        <v>1016</v>
      </c>
      <c r="I965" t="s">
        <v>11</v>
      </c>
    </row>
    <row r="966" spans="2:9" x14ac:dyDescent="0.3">
      <c r="B966">
        <v>90</v>
      </c>
      <c r="C966" t="s">
        <v>1007</v>
      </c>
      <c r="D966">
        <v>90</v>
      </c>
      <c r="E966" t="s">
        <v>1007</v>
      </c>
      <c r="F966">
        <v>78</v>
      </c>
      <c r="G966" t="s">
        <v>1006</v>
      </c>
      <c r="H966" t="s">
        <v>1015</v>
      </c>
      <c r="I966" t="s">
        <v>14</v>
      </c>
    </row>
    <row r="967" spans="2:9" x14ac:dyDescent="0.3">
      <c r="B967">
        <v>72</v>
      </c>
      <c r="C967" t="s">
        <v>1005</v>
      </c>
      <c r="D967">
        <v>65</v>
      </c>
      <c r="E967" t="s">
        <v>1008</v>
      </c>
      <c r="F967">
        <v>85</v>
      </c>
      <c r="G967" t="s">
        <v>1009</v>
      </c>
      <c r="H967" t="s">
        <v>1009</v>
      </c>
      <c r="I967" t="s">
        <v>11</v>
      </c>
    </row>
    <row r="968" spans="2:9" x14ac:dyDescent="0.3">
      <c r="B968">
        <v>78</v>
      </c>
      <c r="C968" t="s">
        <v>1005</v>
      </c>
      <c r="D968">
        <v>88</v>
      </c>
      <c r="E968" t="s">
        <v>1007</v>
      </c>
      <c r="F968">
        <v>91</v>
      </c>
      <c r="G968" t="s">
        <v>1006</v>
      </c>
      <c r="H968" t="s">
        <v>1015</v>
      </c>
      <c r="I968" t="s">
        <v>14</v>
      </c>
    </row>
    <row r="969" spans="2:9" x14ac:dyDescent="0.3">
      <c r="B969">
        <v>78</v>
      </c>
      <c r="C969" t="s">
        <v>1005</v>
      </c>
      <c r="D969">
        <v>65</v>
      </c>
      <c r="E969" t="s">
        <v>1008</v>
      </c>
      <c r="F969">
        <v>78</v>
      </c>
      <c r="G969" t="s">
        <v>1006</v>
      </c>
      <c r="H969" t="s">
        <v>1009</v>
      </c>
      <c r="I969" t="s">
        <v>11</v>
      </c>
    </row>
    <row r="970" spans="2:9" x14ac:dyDescent="0.3">
      <c r="B970">
        <v>90</v>
      </c>
      <c r="C970" t="s">
        <v>1007</v>
      </c>
      <c r="D970">
        <v>65</v>
      </c>
      <c r="E970" t="s">
        <v>1008</v>
      </c>
      <c r="F970">
        <v>90</v>
      </c>
      <c r="G970" t="s">
        <v>1006</v>
      </c>
      <c r="H970" t="s">
        <v>1009</v>
      </c>
      <c r="I970" t="s">
        <v>11</v>
      </c>
    </row>
    <row r="971" spans="2:9" x14ac:dyDescent="0.3">
      <c r="B971">
        <v>78</v>
      </c>
      <c r="C971" t="s">
        <v>1005</v>
      </c>
      <c r="D971">
        <v>60</v>
      </c>
      <c r="E971" t="s">
        <v>1012</v>
      </c>
      <c r="F971">
        <v>78</v>
      </c>
      <c r="G971" t="s">
        <v>1006</v>
      </c>
      <c r="H971" t="s">
        <v>1016</v>
      </c>
      <c r="I971" t="s">
        <v>14</v>
      </c>
    </row>
    <row r="972" spans="2:9" x14ac:dyDescent="0.3">
      <c r="B972">
        <v>92</v>
      </c>
      <c r="C972" t="s">
        <v>1010</v>
      </c>
      <c r="D972">
        <v>70</v>
      </c>
      <c r="E972" t="s">
        <v>1008</v>
      </c>
      <c r="F972">
        <v>91</v>
      </c>
      <c r="G972" t="s">
        <v>1011</v>
      </c>
      <c r="H972" t="s">
        <v>1009</v>
      </c>
      <c r="I972" t="s">
        <v>11</v>
      </c>
    </row>
    <row r="973" spans="2:9" x14ac:dyDescent="0.3">
      <c r="B973">
        <v>87</v>
      </c>
      <c r="C973" t="s">
        <v>1007</v>
      </c>
      <c r="D973">
        <v>70</v>
      </c>
      <c r="E973" t="s">
        <v>1008</v>
      </c>
      <c r="F973">
        <v>85</v>
      </c>
      <c r="G973" t="s">
        <v>1006</v>
      </c>
      <c r="H973" t="s">
        <v>1009</v>
      </c>
      <c r="I973" t="s">
        <v>11</v>
      </c>
    </row>
    <row r="974" spans="2:9" x14ac:dyDescent="0.3">
      <c r="B974">
        <v>92</v>
      </c>
      <c r="C974" t="s">
        <v>1010</v>
      </c>
      <c r="D974">
        <v>70</v>
      </c>
      <c r="E974" t="s">
        <v>1008</v>
      </c>
      <c r="F974">
        <v>85</v>
      </c>
      <c r="G974" t="s">
        <v>1011</v>
      </c>
      <c r="H974" t="s">
        <v>1009</v>
      </c>
      <c r="I974" t="s">
        <v>14</v>
      </c>
    </row>
    <row r="975" spans="2:9" x14ac:dyDescent="0.3">
      <c r="B975">
        <v>87</v>
      </c>
      <c r="C975" t="s">
        <v>1007</v>
      </c>
      <c r="D975">
        <v>60</v>
      </c>
      <c r="E975" t="s">
        <v>1012</v>
      </c>
      <c r="F975">
        <v>70</v>
      </c>
      <c r="G975" t="s">
        <v>1006</v>
      </c>
      <c r="H975" t="s">
        <v>1016</v>
      </c>
      <c r="I975" t="s">
        <v>977</v>
      </c>
    </row>
    <row r="976" spans="2:9" x14ac:dyDescent="0.3">
      <c r="B976">
        <v>87</v>
      </c>
      <c r="C976" t="s">
        <v>1007</v>
      </c>
      <c r="D976">
        <v>65</v>
      </c>
      <c r="E976" t="s">
        <v>1008</v>
      </c>
      <c r="F976">
        <v>78</v>
      </c>
      <c r="G976" t="s">
        <v>1006</v>
      </c>
      <c r="H976" t="s">
        <v>1009</v>
      </c>
      <c r="I976" t="s">
        <v>11</v>
      </c>
    </row>
    <row r="977" spans="2:9" x14ac:dyDescent="0.3">
      <c r="B977">
        <v>90</v>
      </c>
      <c r="C977" t="s">
        <v>1007</v>
      </c>
      <c r="D977">
        <v>82</v>
      </c>
      <c r="E977" t="s">
        <v>1007</v>
      </c>
      <c r="F977">
        <v>78</v>
      </c>
      <c r="G977" t="s">
        <v>1006</v>
      </c>
      <c r="H977" t="s">
        <v>1015</v>
      </c>
      <c r="I977" t="s">
        <v>14</v>
      </c>
    </row>
    <row r="978" spans="2:9" x14ac:dyDescent="0.3">
      <c r="B978">
        <v>72</v>
      </c>
      <c r="C978" t="s">
        <v>1005</v>
      </c>
      <c r="D978">
        <v>78</v>
      </c>
      <c r="E978" t="s">
        <v>1005</v>
      </c>
      <c r="F978">
        <v>78</v>
      </c>
      <c r="G978" t="s">
        <v>1009</v>
      </c>
      <c r="H978" t="s">
        <v>1015</v>
      </c>
      <c r="I978" t="s">
        <v>11</v>
      </c>
    </row>
    <row r="979" spans="2:9" x14ac:dyDescent="0.3">
      <c r="B979">
        <v>68</v>
      </c>
      <c r="C979" t="s">
        <v>1008</v>
      </c>
      <c r="D979">
        <v>82</v>
      </c>
      <c r="E979" t="s">
        <v>1007</v>
      </c>
      <c r="F979">
        <v>91</v>
      </c>
      <c r="G979" t="s">
        <v>1009</v>
      </c>
      <c r="H979" t="s">
        <v>1015</v>
      </c>
      <c r="I979" t="s">
        <v>14</v>
      </c>
    </row>
    <row r="980" spans="2:9" x14ac:dyDescent="0.3">
      <c r="B980">
        <v>68</v>
      </c>
      <c r="C980" t="s">
        <v>1008</v>
      </c>
      <c r="D980">
        <v>78</v>
      </c>
      <c r="E980" t="s">
        <v>1005</v>
      </c>
      <c r="F980">
        <v>70</v>
      </c>
      <c r="G980" t="s">
        <v>1009</v>
      </c>
      <c r="H980" t="s">
        <v>1015</v>
      </c>
      <c r="I980" t="s">
        <v>11</v>
      </c>
    </row>
    <row r="981" spans="2:9" x14ac:dyDescent="0.3">
      <c r="B981">
        <v>90</v>
      </c>
      <c r="C981" t="s">
        <v>1007</v>
      </c>
      <c r="D981">
        <v>60</v>
      </c>
      <c r="E981" t="s">
        <v>1012</v>
      </c>
      <c r="F981">
        <v>95</v>
      </c>
      <c r="G981" t="s">
        <v>1006</v>
      </c>
      <c r="H981" t="s">
        <v>1016</v>
      </c>
      <c r="I981" t="s">
        <v>14</v>
      </c>
    </row>
    <row r="982" spans="2:9" x14ac:dyDescent="0.3">
      <c r="B982">
        <v>92</v>
      </c>
      <c r="C982" t="s">
        <v>1010</v>
      </c>
      <c r="D982">
        <v>86</v>
      </c>
      <c r="E982" t="s">
        <v>1007</v>
      </c>
      <c r="F982">
        <v>90</v>
      </c>
      <c r="G982" t="s">
        <v>1011</v>
      </c>
      <c r="H982" t="s">
        <v>1015</v>
      </c>
      <c r="I982" t="s">
        <v>11</v>
      </c>
    </row>
    <row r="983" spans="2:9" x14ac:dyDescent="0.3">
      <c r="B983">
        <v>92</v>
      </c>
      <c r="C983" t="s">
        <v>1010</v>
      </c>
      <c r="D983">
        <v>82</v>
      </c>
      <c r="E983" t="s">
        <v>1007</v>
      </c>
      <c r="F983">
        <v>91</v>
      </c>
      <c r="G983" t="s">
        <v>1011</v>
      </c>
      <c r="H983" t="s">
        <v>1015</v>
      </c>
      <c r="I983" t="s">
        <v>11</v>
      </c>
    </row>
    <row r="984" spans="2:9" x14ac:dyDescent="0.3">
      <c r="B984">
        <v>80</v>
      </c>
      <c r="C984" t="s">
        <v>1005</v>
      </c>
      <c r="D984">
        <v>78</v>
      </c>
      <c r="E984" t="s">
        <v>1005</v>
      </c>
      <c r="F984">
        <v>91</v>
      </c>
      <c r="G984" t="s">
        <v>1006</v>
      </c>
      <c r="H984" t="s">
        <v>1015</v>
      </c>
      <c r="I984" t="s">
        <v>11</v>
      </c>
    </row>
    <row r="985" spans="2:9" x14ac:dyDescent="0.3">
      <c r="B985">
        <v>62</v>
      </c>
      <c r="C985" t="s">
        <v>1008</v>
      </c>
      <c r="D985">
        <v>70</v>
      </c>
      <c r="E985" t="s">
        <v>1008</v>
      </c>
      <c r="F985">
        <v>88</v>
      </c>
      <c r="G985" t="s">
        <v>1009</v>
      </c>
      <c r="H985" t="s">
        <v>1009</v>
      </c>
      <c r="I985" t="s">
        <v>14</v>
      </c>
    </row>
    <row r="986" spans="2:9" x14ac:dyDescent="0.3">
      <c r="B986">
        <v>88</v>
      </c>
      <c r="C986" t="s">
        <v>1007</v>
      </c>
      <c r="D986">
        <v>70</v>
      </c>
      <c r="E986" t="s">
        <v>1008</v>
      </c>
      <c r="F986">
        <v>82</v>
      </c>
      <c r="G986" t="s">
        <v>1006</v>
      </c>
      <c r="H986" t="s">
        <v>1009</v>
      </c>
      <c r="I986" t="s">
        <v>14</v>
      </c>
    </row>
    <row r="987" spans="2:9" x14ac:dyDescent="0.3">
      <c r="B987">
        <v>92</v>
      </c>
      <c r="C987" t="s">
        <v>1010</v>
      </c>
      <c r="D987">
        <v>85</v>
      </c>
      <c r="E987" t="s">
        <v>1007</v>
      </c>
      <c r="F987">
        <v>78</v>
      </c>
      <c r="G987" t="s">
        <v>1011</v>
      </c>
      <c r="H987" t="s">
        <v>1015</v>
      </c>
      <c r="I987" t="s">
        <v>11</v>
      </c>
    </row>
    <row r="988" spans="2:9" x14ac:dyDescent="0.3">
      <c r="B988">
        <v>88</v>
      </c>
      <c r="C988" t="s">
        <v>1007</v>
      </c>
      <c r="D988">
        <v>88</v>
      </c>
      <c r="E988" t="s">
        <v>1007</v>
      </c>
      <c r="F988">
        <v>85</v>
      </c>
      <c r="G988" t="s">
        <v>1006</v>
      </c>
      <c r="H988" t="s">
        <v>1015</v>
      </c>
      <c r="I988" t="s">
        <v>14</v>
      </c>
    </row>
    <row r="989" spans="2:9" x14ac:dyDescent="0.3">
      <c r="B989">
        <v>88</v>
      </c>
      <c r="C989" t="s">
        <v>1007</v>
      </c>
      <c r="D989">
        <v>86</v>
      </c>
      <c r="E989" t="s">
        <v>1007</v>
      </c>
      <c r="F989">
        <v>92</v>
      </c>
      <c r="G989" t="s">
        <v>1006</v>
      </c>
      <c r="H989" t="s">
        <v>1015</v>
      </c>
      <c r="I989" t="s">
        <v>11</v>
      </c>
    </row>
    <row r="990" spans="2:9" x14ac:dyDescent="0.3">
      <c r="B990">
        <v>78</v>
      </c>
      <c r="C990" t="s">
        <v>1005</v>
      </c>
      <c r="D990">
        <v>85</v>
      </c>
      <c r="E990" t="s">
        <v>1007</v>
      </c>
      <c r="F990">
        <v>88</v>
      </c>
      <c r="G990" t="s">
        <v>1006</v>
      </c>
      <c r="H990" t="s">
        <v>1015</v>
      </c>
      <c r="I990" t="s">
        <v>11</v>
      </c>
    </row>
    <row r="991" spans="2:9" x14ac:dyDescent="0.3">
      <c r="B991">
        <v>68</v>
      </c>
      <c r="C991" t="s">
        <v>1008</v>
      </c>
      <c r="D991">
        <v>88</v>
      </c>
      <c r="E991" t="s">
        <v>1007</v>
      </c>
      <c r="F991">
        <v>91</v>
      </c>
      <c r="G991" t="s">
        <v>1009</v>
      </c>
      <c r="H991" t="s">
        <v>1015</v>
      </c>
      <c r="I991" t="s">
        <v>14</v>
      </c>
    </row>
    <row r="992" spans="2:9" x14ac:dyDescent="0.3">
      <c r="B992">
        <v>80</v>
      </c>
      <c r="C992" t="s">
        <v>1005</v>
      </c>
      <c r="D992">
        <v>85</v>
      </c>
      <c r="E992" t="s">
        <v>1007</v>
      </c>
      <c r="F992">
        <v>85</v>
      </c>
      <c r="G992" t="s">
        <v>1006</v>
      </c>
      <c r="H992" t="s">
        <v>1015</v>
      </c>
      <c r="I992" t="s">
        <v>977</v>
      </c>
    </row>
    <row r="993" spans="2:9" x14ac:dyDescent="0.3">
      <c r="B993">
        <v>90</v>
      </c>
      <c r="C993" t="s">
        <v>1007</v>
      </c>
      <c r="D993">
        <v>70</v>
      </c>
      <c r="E993" t="s">
        <v>1008</v>
      </c>
      <c r="F993">
        <v>85</v>
      </c>
      <c r="G993" t="s">
        <v>1006</v>
      </c>
      <c r="H993" t="s">
        <v>1009</v>
      </c>
      <c r="I993" t="s">
        <v>11</v>
      </c>
    </row>
    <row r="994" spans="2:9" x14ac:dyDescent="0.3">
      <c r="B994">
        <v>68</v>
      </c>
      <c r="C994" t="s">
        <v>1008</v>
      </c>
      <c r="D994">
        <v>90</v>
      </c>
      <c r="E994" t="s">
        <v>1007</v>
      </c>
      <c r="F994">
        <v>91</v>
      </c>
      <c r="G994" t="s">
        <v>1009</v>
      </c>
      <c r="H994" t="s">
        <v>1015</v>
      </c>
      <c r="I994" t="s">
        <v>11</v>
      </c>
    </row>
    <row r="995" spans="2:9" x14ac:dyDescent="0.3">
      <c r="B995">
        <v>87</v>
      </c>
      <c r="C995" t="s">
        <v>1007</v>
      </c>
      <c r="D995">
        <v>60</v>
      </c>
      <c r="E995" t="s">
        <v>1012</v>
      </c>
      <c r="F995">
        <v>90</v>
      </c>
      <c r="G995" t="s">
        <v>1006</v>
      </c>
      <c r="H995" t="s">
        <v>1016</v>
      </c>
      <c r="I995" t="s">
        <v>14</v>
      </c>
    </row>
    <row r="996" spans="2:9" x14ac:dyDescent="0.3">
      <c r="B996">
        <v>62</v>
      </c>
      <c r="C996" t="s">
        <v>1008</v>
      </c>
      <c r="D996">
        <v>60</v>
      </c>
      <c r="E996" t="s">
        <v>1012</v>
      </c>
      <c r="F996">
        <v>78</v>
      </c>
      <c r="G996" t="s">
        <v>1009</v>
      </c>
      <c r="H996" t="s">
        <v>1016</v>
      </c>
      <c r="I996" t="s">
        <v>11</v>
      </c>
    </row>
    <row r="997" spans="2:9" x14ac:dyDescent="0.3">
      <c r="B997">
        <v>72</v>
      </c>
      <c r="C997" t="s">
        <v>1005</v>
      </c>
      <c r="D997">
        <v>77.598759048603924</v>
      </c>
      <c r="E997" t="s">
        <v>1005</v>
      </c>
      <c r="F997">
        <v>85</v>
      </c>
      <c r="G997" t="s">
        <v>1009</v>
      </c>
      <c r="H997" t="s">
        <v>1015</v>
      </c>
      <c r="I997" t="s">
        <v>11</v>
      </c>
    </row>
    <row r="998" spans="2:9" x14ac:dyDescent="0.3">
      <c r="B998">
        <v>90</v>
      </c>
      <c r="C998" t="s">
        <v>1007</v>
      </c>
      <c r="D998">
        <v>86</v>
      </c>
      <c r="E998" t="s">
        <v>1007</v>
      </c>
      <c r="F998">
        <v>91</v>
      </c>
      <c r="G998" t="s">
        <v>1006</v>
      </c>
      <c r="H998" t="s">
        <v>1015</v>
      </c>
      <c r="I998" t="s">
        <v>14</v>
      </c>
    </row>
    <row r="999" spans="2:9" x14ac:dyDescent="0.3">
      <c r="B999">
        <v>68</v>
      </c>
      <c r="C999" t="s">
        <v>1008</v>
      </c>
      <c r="D999">
        <v>82</v>
      </c>
      <c r="E999" t="s">
        <v>1007</v>
      </c>
      <c r="F999">
        <v>85</v>
      </c>
      <c r="G999" t="s">
        <v>1009</v>
      </c>
      <c r="H999" t="s">
        <v>1015</v>
      </c>
      <c r="I999" t="s">
        <v>11</v>
      </c>
    </row>
    <row r="1000" spans="2:9" x14ac:dyDescent="0.3">
      <c r="B1000">
        <v>85</v>
      </c>
      <c r="C1000" t="s">
        <v>1007</v>
      </c>
      <c r="D1000">
        <v>60</v>
      </c>
      <c r="E1000" t="s">
        <v>1012</v>
      </c>
      <c r="F1000">
        <v>88</v>
      </c>
      <c r="G1000" t="s">
        <v>1006</v>
      </c>
      <c r="H1000" t="s">
        <v>1016</v>
      </c>
      <c r="I1000" t="s">
        <v>11</v>
      </c>
    </row>
    <row r="1001" spans="2:9" x14ac:dyDescent="0.3">
      <c r="B1001">
        <v>80.030208333333334</v>
      </c>
      <c r="C1001" t="s">
        <v>1007</v>
      </c>
      <c r="D1001">
        <v>90</v>
      </c>
      <c r="E1001" t="s">
        <v>1007</v>
      </c>
      <c r="F1001">
        <v>88</v>
      </c>
      <c r="G1001" t="s">
        <v>1006</v>
      </c>
      <c r="H1001" t="s">
        <v>1015</v>
      </c>
      <c r="I1001" t="s">
        <v>14</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85DDB-6D92-4E2B-A31E-841159A98FD0}">
  <dimension ref="B1:Y1001"/>
  <sheetViews>
    <sheetView workbookViewId="0">
      <selection activeCell="L24" sqref="L24"/>
    </sheetView>
  </sheetViews>
  <sheetFormatPr defaultRowHeight="14.4" x14ac:dyDescent="0.3"/>
  <cols>
    <col min="2" max="2" width="12.109375" customWidth="1"/>
    <col min="4" max="4" width="15.88671875" bestFit="1" customWidth="1"/>
    <col min="6" max="6" width="17" bestFit="1" customWidth="1"/>
    <col min="8" max="8" width="13.33203125" bestFit="1" customWidth="1"/>
    <col min="14" max="14" width="22.109375" bestFit="1" customWidth="1"/>
    <col min="15" max="15" width="15.5546875" bestFit="1" customWidth="1"/>
    <col min="16" max="16" width="4" bestFit="1" customWidth="1"/>
    <col min="17" max="17" width="3" bestFit="1" customWidth="1"/>
    <col min="18" max="18" width="4" bestFit="1" customWidth="1"/>
    <col min="19" max="19" width="12" bestFit="1" customWidth="1"/>
    <col min="20" max="20" width="3" bestFit="1" customWidth="1"/>
    <col min="21" max="22" width="4" bestFit="1" customWidth="1"/>
    <col min="23" max="23" width="3" bestFit="1" customWidth="1"/>
    <col min="24" max="24" width="4" bestFit="1" customWidth="1"/>
    <col min="25" max="25" width="10.5546875" bestFit="1" customWidth="1"/>
  </cols>
  <sheetData>
    <row r="1" spans="2:25" x14ac:dyDescent="0.3">
      <c r="B1" t="s">
        <v>997</v>
      </c>
      <c r="C1" t="s">
        <v>996</v>
      </c>
      <c r="D1" t="s">
        <v>998</v>
      </c>
      <c r="E1" t="s">
        <v>995</v>
      </c>
      <c r="F1" t="s">
        <v>1001</v>
      </c>
    </row>
    <row r="2" spans="2:25" x14ac:dyDescent="0.3">
      <c r="B2">
        <v>80</v>
      </c>
      <c r="C2" t="str" cm="1">
        <f t="array" ref="C2">_xlfn.IFS(B2&gt;90,"A1",B2&gt;80,"A2",B2&gt;70,"B1",B2&gt;60,"B2",B2&gt;50,"C1",B2&gt;40,"C2")</f>
        <v>B1</v>
      </c>
      <c r="D2">
        <v>78</v>
      </c>
      <c r="E2" t="str" cm="1">
        <f t="array" ref="E2">_xlfn.IFS(Table1[[#This Row],[Previous Marks]]&gt;90,"A1",Table1[[#This Row],[Previous Marks]]&gt;80,"A2",Table1[[#This Row],[Previous Marks]]&gt;70,"B1",Table1[[#This Row],[Previous Marks]]&gt;60,"B2",Table1[[#This Row],[Previous Marks]]&gt;50,"C1",Table1[[#This Row],[Previous Marks]]&gt;40,"C2")</f>
        <v>B1</v>
      </c>
      <c r="F2">
        <v>85</v>
      </c>
    </row>
    <row r="3" spans="2:25" x14ac:dyDescent="0.3">
      <c r="B3">
        <v>87</v>
      </c>
      <c r="C3" t="str" cm="1">
        <f t="array" ref="C3">_xlfn.IFS(B3&gt;90,"A1",B3&gt;80,"A2",B3&gt;70,"B1",B3&gt;60,"B2",B3&gt;50,"C1",B3&gt;40,"C2")</f>
        <v>A2</v>
      </c>
      <c r="D3">
        <v>85</v>
      </c>
      <c r="E3" t="str" cm="1">
        <f t="array" ref="E3">_xlfn.IFS(Table1[[#This Row],[Previous Marks]]&gt;90,"A1",Table1[[#This Row],[Previous Marks]]&gt;80,"A2",Table1[[#This Row],[Previous Marks]]&gt;70,"B1",Table1[[#This Row],[Previous Marks]]&gt;60,"B2",Table1[[#This Row],[Previous Marks]]&gt;50,"C1",Table1[[#This Row],[Previous Marks]]&gt;40,"C2")</f>
        <v>A2</v>
      </c>
      <c r="F3">
        <v>90</v>
      </c>
      <c r="H3" s="4" t="s">
        <v>999</v>
      </c>
      <c r="I3" s="3" t="s">
        <v>995</v>
      </c>
      <c r="N3" s="1" t="s">
        <v>1020</v>
      </c>
      <c r="O3" s="1" t="s">
        <v>1001</v>
      </c>
    </row>
    <row r="4" spans="2:25" x14ac:dyDescent="0.3">
      <c r="B4">
        <v>68</v>
      </c>
      <c r="C4" t="str" cm="1">
        <f t="array" ref="C4">_xlfn.IFS(B4&gt;90,"A1",B4&gt;80,"A2",B4&gt;70,"B1",B4&gt;60,"B2",B4&gt;50,"C1",B4&gt;40,"C2")</f>
        <v>B2</v>
      </c>
      <c r="D4">
        <v>65</v>
      </c>
      <c r="E4" t="str" cm="1">
        <f t="array" ref="E4">_xlfn.IFS(Table1[[#This Row],[Previous Marks]]&gt;90,"A1",Table1[[#This Row],[Previous Marks]]&gt;80,"A2",Table1[[#This Row],[Previous Marks]]&gt;70,"B1",Table1[[#This Row],[Previous Marks]]&gt;60,"B2",Table1[[#This Row],[Previous Marks]]&gt;50,"C1",Table1[[#This Row],[Previous Marks]]&gt;40,"C2")</f>
        <v>B2</v>
      </c>
      <c r="F4">
        <v>78</v>
      </c>
      <c r="H4" s="7">
        <v>68</v>
      </c>
      <c r="I4" s="7" t="str">
        <f>VLOOKUP(H4,Table1[],2,TRUE)</f>
        <v>B2</v>
      </c>
      <c r="N4" s="1" t="s">
        <v>995</v>
      </c>
      <c r="O4">
        <v>70</v>
      </c>
      <c r="P4">
        <v>78</v>
      </c>
      <c r="Q4">
        <v>82</v>
      </c>
      <c r="R4">
        <v>85</v>
      </c>
      <c r="S4">
        <v>85.510416666666671</v>
      </c>
      <c r="T4">
        <v>88</v>
      </c>
      <c r="U4">
        <v>90</v>
      </c>
      <c r="V4">
        <v>91</v>
      </c>
      <c r="W4">
        <v>92</v>
      </c>
      <c r="X4">
        <v>95</v>
      </c>
      <c r="Y4" t="s">
        <v>978</v>
      </c>
    </row>
    <row r="5" spans="2:25" x14ac:dyDescent="0.3">
      <c r="B5">
        <v>92</v>
      </c>
      <c r="C5" t="str" cm="1">
        <f t="array" ref="C5">_xlfn.IFS(B5&gt;90,"A1",B5&gt;80,"A2",B5&gt;70,"B1",B5&gt;60,"B2",B5&gt;50,"C1",B5&gt;40,"C2")</f>
        <v>A1</v>
      </c>
      <c r="D5">
        <v>90</v>
      </c>
      <c r="E5" t="str" cm="1">
        <f t="array" ref="E5">_xlfn.IFS(Table1[[#This Row],[Previous Marks]]&gt;90,"A1",Table1[[#This Row],[Previous Marks]]&gt;80,"A2",Table1[[#This Row],[Previous Marks]]&gt;70,"B1",Table1[[#This Row],[Previous Marks]]&gt;60,"B2",Table1[[#This Row],[Previous Marks]]&gt;50,"C1",Table1[[#This Row],[Previous Marks]]&gt;40,"C2")</f>
        <v>A2</v>
      </c>
      <c r="F5">
        <v>92</v>
      </c>
      <c r="N5" s="2" t="s">
        <v>1010</v>
      </c>
      <c r="O5">
        <v>12</v>
      </c>
      <c r="P5">
        <v>9</v>
      </c>
      <c r="Q5">
        <v>8</v>
      </c>
      <c r="R5">
        <v>15</v>
      </c>
      <c r="S5">
        <v>6</v>
      </c>
      <c r="T5">
        <v>9</v>
      </c>
      <c r="U5">
        <v>12</v>
      </c>
      <c r="V5">
        <v>9</v>
      </c>
      <c r="W5">
        <v>8</v>
      </c>
      <c r="X5">
        <v>9</v>
      </c>
      <c r="Y5">
        <v>97</v>
      </c>
    </row>
    <row r="6" spans="2:25" x14ac:dyDescent="0.3">
      <c r="B6">
        <v>85</v>
      </c>
      <c r="C6" t="str" cm="1">
        <f t="array" ref="C6">_xlfn.IFS(B6&gt;90,"A1",B6&gt;80,"A2",B6&gt;70,"B1",B6&gt;60,"B2",B6&gt;50,"C1",B6&gt;40,"C2")</f>
        <v>A2</v>
      </c>
      <c r="D6">
        <v>82</v>
      </c>
      <c r="E6" t="str" cm="1">
        <f t="array" ref="E6">_xlfn.IFS(Table1[[#This Row],[Previous Marks]]&gt;90,"A1",Table1[[#This Row],[Previous Marks]]&gt;80,"A2",Table1[[#This Row],[Previous Marks]]&gt;70,"B1",Table1[[#This Row],[Previous Marks]]&gt;60,"B2",Table1[[#This Row],[Previous Marks]]&gt;50,"C1",Table1[[#This Row],[Previous Marks]]&gt;40,"C2")</f>
        <v>A2</v>
      </c>
      <c r="F6">
        <v>85.510416666666671</v>
      </c>
      <c r="N6" s="2" t="s">
        <v>1007</v>
      </c>
      <c r="O6">
        <v>39</v>
      </c>
      <c r="P6">
        <v>44</v>
      </c>
      <c r="Q6">
        <v>32</v>
      </c>
      <c r="R6">
        <v>78</v>
      </c>
      <c r="S6">
        <v>19</v>
      </c>
      <c r="T6">
        <v>32</v>
      </c>
      <c r="U6">
        <v>47</v>
      </c>
      <c r="V6">
        <v>45</v>
      </c>
      <c r="W6">
        <v>36</v>
      </c>
      <c r="X6">
        <v>32</v>
      </c>
      <c r="Y6">
        <v>404</v>
      </c>
    </row>
    <row r="7" spans="2:25" x14ac:dyDescent="0.3">
      <c r="B7">
        <v>80.030208333333334</v>
      </c>
      <c r="C7" t="str" cm="1">
        <f t="array" ref="C7">_xlfn.IFS(B7&gt;90,"A1",B7&gt;80,"A2",B7&gt;70,"B1",B7&gt;60,"B2",B7&gt;50,"C1",B7&gt;40,"C2")</f>
        <v>A2</v>
      </c>
      <c r="D7">
        <v>88</v>
      </c>
      <c r="E7" t="str" cm="1">
        <f t="array" ref="E7">_xlfn.IFS(Table1[[#This Row],[Previous Marks]]&gt;90,"A1",Table1[[#This Row],[Previous Marks]]&gt;80,"A2",Table1[[#This Row],[Previous Marks]]&gt;70,"B1",Table1[[#This Row],[Previous Marks]]&gt;60,"B2",Table1[[#This Row],[Previous Marks]]&gt;50,"C1",Table1[[#This Row],[Previous Marks]]&gt;40,"C2")</f>
        <v>A2</v>
      </c>
      <c r="F7">
        <v>95</v>
      </c>
      <c r="H7" s="5" t="s">
        <v>1000</v>
      </c>
      <c r="I7" s="6" t="s">
        <v>995</v>
      </c>
      <c r="N7" s="2" t="s">
        <v>1005</v>
      </c>
      <c r="O7">
        <v>34</v>
      </c>
      <c r="P7">
        <v>37</v>
      </c>
      <c r="Q7">
        <v>23</v>
      </c>
      <c r="R7">
        <v>62</v>
      </c>
      <c r="S7">
        <v>9</v>
      </c>
      <c r="T7">
        <v>23</v>
      </c>
      <c r="U7">
        <v>29</v>
      </c>
      <c r="V7">
        <v>32</v>
      </c>
      <c r="W7">
        <v>23</v>
      </c>
      <c r="X7">
        <v>44</v>
      </c>
      <c r="Y7">
        <v>316</v>
      </c>
    </row>
    <row r="8" spans="2:25" x14ac:dyDescent="0.3">
      <c r="B8">
        <v>62</v>
      </c>
      <c r="C8" t="str" cm="1">
        <f t="array" ref="C8">_xlfn.IFS(B8&gt;90,"A1",B8&gt;80,"A2",B8&gt;70,"B1",B8&gt;60,"B2",B8&gt;50,"C1",B8&gt;40,"C2")</f>
        <v>B2</v>
      </c>
      <c r="D8">
        <v>60</v>
      </c>
      <c r="E8" t="str" cm="1">
        <f t="array" ref="E8">_xlfn.IFS(Table1[[#This Row],[Previous Marks]]&gt;90,"A1",Table1[[#This Row],[Previous Marks]]&gt;80,"A2",Table1[[#This Row],[Previous Marks]]&gt;70,"B1",Table1[[#This Row],[Previous Marks]]&gt;60,"B2",Table1[[#This Row],[Previous Marks]]&gt;50,"C1",Table1[[#This Row],[Previous Marks]]&gt;40,"C2")</f>
        <v>C1</v>
      </c>
      <c r="F8">
        <v>70</v>
      </c>
      <c r="H8" s="7">
        <v>78</v>
      </c>
      <c r="I8" s="7" t="str">
        <f>VLOOKUP(H8,Table1[],4,TRUE)</f>
        <v>B2</v>
      </c>
      <c r="N8" s="2" t="s">
        <v>1008</v>
      </c>
      <c r="O8">
        <v>22</v>
      </c>
      <c r="P8">
        <v>17</v>
      </c>
      <c r="Q8">
        <v>11</v>
      </c>
      <c r="R8">
        <v>27</v>
      </c>
      <c r="S8">
        <v>6</v>
      </c>
      <c r="T8">
        <v>27</v>
      </c>
      <c r="U8">
        <v>14</v>
      </c>
      <c r="V8">
        <v>22</v>
      </c>
      <c r="W8">
        <v>18</v>
      </c>
      <c r="X8">
        <v>19</v>
      </c>
      <c r="Y8">
        <v>183</v>
      </c>
    </row>
    <row r="9" spans="2:25" x14ac:dyDescent="0.3">
      <c r="B9">
        <v>78</v>
      </c>
      <c r="C9" t="str" cm="1">
        <f t="array" ref="C9">_xlfn.IFS(B9&gt;90,"A1",B9&gt;80,"A2",B9&gt;70,"B1",B9&gt;60,"B2",B9&gt;50,"C1",B9&gt;40,"C2")</f>
        <v>B1</v>
      </c>
      <c r="D9">
        <v>77</v>
      </c>
      <c r="E9" t="str" cm="1">
        <f t="array" ref="E9">_xlfn.IFS(Table1[[#This Row],[Previous Marks]]&gt;90,"A1",Table1[[#This Row],[Previous Marks]]&gt;80,"A2",Table1[[#This Row],[Previous Marks]]&gt;70,"B1",Table1[[#This Row],[Previous Marks]]&gt;60,"B2",Table1[[#This Row],[Previous Marks]]&gt;50,"C1",Table1[[#This Row],[Previous Marks]]&gt;40,"C2")</f>
        <v>B1</v>
      </c>
      <c r="F9">
        <v>85.510416666666671</v>
      </c>
      <c r="N9" s="2" t="s">
        <v>978</v>
      </c>
      <c r="O9">
        <v>107</v>
      </c>
      <c r="P9">
        <v>107</v>
      </c>
      <c r="Q9">
        <v>74</v>
      </c>
      <c r="R9">
        <v>182</v>
      </c>
      <c r="S9">
        <v>40</v>
      </c>
      <c r="T9">
        <v>91</v>
      </c>
      <c r="U9">
        <v>102</v>
      </c>
      <c r="V9">
        <v>108</v>
      </c>
      <c r="W9">
        <v>85</v>
      </c>
      <c r="X9">
        <v>104</v>
      </c>
      <c r="Y9">
        <v>1000</v>
      </c>
    </row>
    <row r="10" spans="2:25" x14ac:dyDescent="0.3">
      <c r="B10">
        <v>72</v>
      </c>
      <c r="C10" t="str" cm="1">
        <f t="array" ref="C10">_xlfn.IFS(B10&gt;90,"A1",B10&gt;80,"A2",B10&gt;70,"B1",B10&gt;60,"B2",B10&gt;50,"C1",B10&gt;40,"C2")</f>
        <v>B1</v>
      </c>
      <c r="D10">
        <v>70</v>
      </c>
      <c r="E10" t="str" cm="1">
        <f t="array" ref="E10">_xlfn.IFS(Table1[[#This Row],[Previous Marks]]&gt;90,"A1",Table1[[#This Row],[Previous Marks]]&gt;80,"A2",Table1[[#This Row],[Previous Marks]]&gt;70,"B1",Table1[[#This Row],[Previous Marks]]&gt;60,"B2",Table1[[#This Row],[Previous Marks]]&gt;50,"C1",Table1[[#This Row],[Previous Marks]]&gt;40,"C2")</f>
        <v>B2</v>
      </c>
      <c r="F10">
        <v>82</v>
      </c>
    </row>
    <row r="11" spans="2:25" x14ac:dyDescent="0.3">
      <c r="B11">
        <v>88</v>
      </c>
      <c r="C11" t="str" cm="1">
        <f t="array" ref="C11">_xlfn.IFS(B11&gt;90,"A1",B11&gt;80,"A2",B11&gt;70,"B1",B11&gt;60,"B2",B11&gt;50,"C1",B11&gt;40,"C2")</f>
        <v>A2</v>
      </c>
      <c r="D11">
        <v>86</v>
      </c>
      <c r="E11" t="str" cm="1">
        <f t="array" ref="E11">_xlfn.IFS(Table1[[#This Row],[Previous Marks]]&gt;90,"A1",Table1[[#This Row],[Previous Marks]]&gt;80,"A2",Table1[[#This Row],[Previous Marks]]&gt;70,"B1",Table1[[#This Row],[Previous Marks]]&gt;60,"B2",Table1[[#This Row],[Previous Marks]]&gt;50,"C1",Table1[[#This Row],[Previous Marks]]&gt;40,"C2")</f>
        <v>A2</v>
      </c>
      <c r="F11">
        <v>91</v>
      </c>
    </row>
    <row r="12" spans="2:25" x14ac:dyDescent="0.3">
      <c r="B12">
        <v>87</v>
      </c>
      <c r="C12" t="str" cm="1">
        <f t="array" ref="C12">_xlfn.IFS(B12&gt;90,"A1",B12&gt;80,"A2",B12&gt;70,"B1",B12&gt;60,"B2",B12&gt;50,"C1",B12&gt;40,"C2")</f>
        <v>A2</v>
      </c>
      <c r="D12">
        <v>90</v>
      </c>
      <c r="E12" t="str" cm="1">
        <f t="array" ref="E12">_xlfn.IFS(Table1[[#This Row],[Previous Marks]]&gt;90,"A1",Table1[[#This Row],[Previous Marks]]&gt;80,"A2",Table1[[#This Row],[Previous Marks]]&gt;70,"B1",Table1[[#This Row],[Previous Marks]]&gt;60,"B2",Table1[[#This Row],[Previous Marks]]&gt;50,"C1",Table1[[#This Row],[Previous Marks]]&gt;40,"C2")</f>
        <v>A2</v>
      </c>
      <c r="F12">
        <v>88</v>
      </c>
    </row>
    <row r="13" spans="2:25" x14ac:dyDescent="0.3">
      <c r="B13">
        <v>88</v>
      </c>
      <c r="C13" t="str" cm="1">
        <f t="array" ref="C13">_xlfn.IFS(B13&gt;90,"A1",B13&gt;80,"A2",B13&gt;70,"B1",B13&gt;60,"B2",B13&gt;50,"C1",B13&gt;40,"C2")</f>
        <v>A2</v>
      </c>
      <c r="D13">
        <v>77.598759048603924</v>
      </c>
      <c r="E13" t="str" cm="1">
        <f t="array" ref="E13">_xlfn.IFS(Table1[[#This Row],[Previous Marks]]&gt;90,"A1",Table1[[#This Row],[Previous Marks]]&gt;80,"A2",Table1[[#This Row],[Previous Marks]]&gt;70,"B1",Table1[[#This Row],[Previous Marks]]&gt;60,"B2",Table1[[#This Row],[Previous Marks]]&gt;50,"C1",Table1[[#This Row],[Previous Marks]]&gt;40,"C2")</f>
        <v>B1</v>
      </c>
      <c r="F13">
        <v>85</v>
      </c>
    </row>
    <row r="14" spans="2:25" x14ac:dyDescent="0.3">
      <c r="B14">
        <v>62</v>
      </c>
      <c r="C14" t="str" cm="1">
        <f t="array" ref="C14">_xlfn.IFS(B14&gt;90,"A1",B14&gt;80,"A2",B14&gt;70,"B1",B14&gt;60,"B2",B14&gt;50,"C1",B14&gt;40,"C2")</f>
        <v>B2</v>
      </c>
      <c r="D14">
        <v>78</v>
      </c>
      <c r="E14" t="str" cm="1">
        <f t="array" ref="E14">_xlfn.IFS(Table1[[#This Row],[Previous Marks]]&gt;90,"A1",Table1[[#This Row],[Previous Marks]]&gt;80,"A2",Table1[[#This Row],[Previous Marks]]&gt;70,"B1",Table1[[#This Row],[Previous Marks]]&gt;60,"B2",Table1[[#This Row],[Previous Marks]]&gt;50,"C1",Table1[[#This Row],[Previous Marks]]&gt;40,"C2")</f>
        <v>B1</v>
      </c>
      <c r="F14">
        <v>91</v>
      </c>
    </row>
    <row r="15" spans="2:25" x14ac:dyDescent="0.3">
      <c r="B15">
        <v>88</v>
      </c>
      <c r="C15" t="str" cm="1">
        <f t="array" ref="C15">_xlfn.IFS(B15&gt;90,"A1",B15&gt;80,"A2",B15&gt;70,"B1",B15&gt;60,"B2",B15&gt;50,"C1",B15&gt;40,"C2")</f>
        <v>A2</v>
      </c>
      <c r="D15">
        <v>85</v>
      </c>
      <c r="E15" t="str" cm="1">
        <f t="array" ref="E15">_xlfn.IFS(Table1[[#This Row],[Previous Marks]]&gt;90,"A1",Table1[[#This Row],[Previous Marks]]&gt;80,"A2",Table1[[#This Row],[Previous Marks]]&gt;70,"B1",Table1[[#This Row],[Previous Marks]]&gt;60,"B2",Table1[[#This Row],[Previous Marks]]&gt;50,"C1",Table1[[#This Row],[Previous Marks]]&gt;40,"C2")</f>
        <v>A2</v>
      </c>
      <c r="F15">
        <v>90</v>
      </c>
    </row>
    <row r="16" spans="2:25" x14ac:dyDescent="0.3">
      <c r="B16">
        <v>88</v>
      </c>
      <c r="C16" t="str" cm="1">
        <f t="array" ref="C16">_xlfn.IFS(B16&gt;90,"A1",B16&gt;80,"A2",B16&gt;70,"B1",B16&gt;60,"B2",B16&gt;50,"C1",B16&gt;40,"C2")</f>
        <v>A2</v>
      </c>
      <c r="D16">
        <v>70</v>
      </c>
      <c r="E16" t="str" cm="1">
        <f t="array" ref="E16">_xlfn.IFS(Table1[[#This Row],[Previous Marks]]&gt;90,"A1",Table1[[#This Row],[Previous Marks]]&gt;80,"A2",Table1[[#This Row],[Previous Marks]]&gt;70,"B1",Table1[[#This Row],[Previous Marks]]&gt;60,"B2",Table1[[#This Row],[Previous Marks]]&gt;50,"C1",Table1[[#This Row],[Previous Marks]]&gt;40,"C2")</f>
        <v>B2</v>
      </c>
      <c r="F16">
        <v>70</v>
      </c>
    </row>
    <row r="17" spans="2:6" x14ac:dyDescent="0.3">
      <c r="B17">
        <v>62</v>
      </c>
      <c r="C17" t="str" cm="1">
        <f t="array" ref="C17">_xlfn.IFS(B17&gt;90,"A1",B17&gt;80,"A2",B17&gt;70,"B1",B17&gt;60,"B2",B17&gt;50,"C1",B17&gt;40,"C2")</f>
        <v>B2</v>
      </c>
      <c r="D17">
        <v>85</v>
      </c>
      <c r="E17" t="str" cm="1">
        <f t="array" ref="E17">_xlfn.IFS(Table1[[#This Row],[Previous Marks]]&gt;90,"A1",Table1[[#This Row],[Previous Marks]]&gt;80,"A2",Table1[[#This Row],[Previous Marks]]&gt;70,"B1",Table1[[#This Row],[Previous Marks]]&gt;60,"B2",Table1[[#This Row],[Previous Marks]]&gt;50,"C1",Table1[[#This Row],[Previous Marks]]&gt;40,"C2")</f>
        <v>A2</v>
      </c>
      <c r="F17">
        <v>85.510416666666671</v>
      </c>
    </row>
    <row r="18" spans="2:6" x14ac:dyDescent="0.3">
      <c r="B18">
        <v>68</v>
      </c>
      <c r="C18" t="str" cm="1">
        <f t="array" ref="C18">_xlfn.IFS(B18&gt;90,"A1",B18&gt;80,"A2",B18&gt;70,"B1",B18&gt;60,"B2",B18&gt;50,"C1",B18&gt;40,"C2")</f>
        <v>B2</v>
      </c>
      <c r="D18">
        <v>82</v>
      </c>
      <c r="E18" t="str" cm="1">
        <f t="array" ref="E18">_xlfn.IFS(Table1[[#This Row],[Previous Marks]]&gt;90,"A1",Table1[[#This Row],[Previous Marks]]&gt;80,"A2",Table1[[#This Row],[Previous Marks]]&gt;70,"B1",Table1[[#This Row],[Previous Marks]]&gt;60,"B2",Table1[[#This Row],[Previous Marks]]&gt;50,"C1",Table1[[#This Row],[Previous Marks]]&gt;40,"C2")</f>
        <v>A2</v>
      </c>
      <c r="F18">
        <v>95</v>
      </c>
    </row>
    <row r="19" spans="2:6" x14ac:dyDescent="0.3">
      <c r="B19">
        <v>92</v>
      </c>
      <c r="C19" t="str" cm="1">
        <f t="array" ref="C19">_xlfn.IFS(B19&gt;90,"A1",B19&gt;80,"A2",B19&gt;70,"B1",B19&gt;60,"B2",B19&gt;50,"C1",B19&gt;40,"C2")</f>
        <v>A1</v>
      </c>
      <c r="D19">
        <v>90</v>
      </c>
      <c r="E19" t="str" cm="1">
        <f t="array" ref="E19">_xlfn.IFS(Table1[[#This Row],[Previous Marks]]&gt;90,"A1",Table1[[#This Row],[Previous Marks]]&gt;80,"A2",Table1[[#This Row],[Previous Marks]]&gt;70,"B1",Table1[[#This Row],[Previous Marks]]&gt;60,"B2",Table1[[#This Row],[Previous Marks]]&gt;50,"C1",Table1[[#This Row],[Previous Marks]]&gt;40,"C2")</f>
        <v>A2</v>
      </c>
      <c r="F19">
        <v>88</v>
      </c>
    </row>
    <row r="20" spans="2:6" x14ac:dyDescent="0.3">
      <c r="B20">
        <v>78</v>
      </c>
      <c r="C20" t="str" cm="1">
        <f t="array" ref="C20">_xlfn.IFS(B20&gt;90,"A1",B20&gt;80,"A2",B20&gt;70,"B1",B20&gt;60,"B2",B20&gt;50,"C1",B20&gt;40,"C2")</f>
        <v>B1</v>
      </c>
      <c r="D20">
        <v>88</v>
      </c>
      <c r="E20" t="str" cm="1">
        <f t="array" ref="E20">_xlfn.IFS(Table1[[#This Row],[Previous Marks]]&gt;90,"A1",Table1[[#This Row],[Previous Marks]]&gt;80,"A2",Table1[[#This Row],[Previous Marks]]&gt;70,"B1",Table1[[#This Row],[Previous Marks]]&gt;60,"B2",Table1[[#This Row],[Previous Marks]]&gt;50,"C1",Table1[[#This Row],[Previous Marks]]&gt;40,"C2")</f>
        <v>A2</v>
      </c>
      <c r="F20">
        <v>92</v>
      </c>
    </row>
    <row r="21" spans="2:6" x14ac:dyDescent="0.3">
      <c r="B21">
        <v>88</v>
      </c>
      <c r="C21" t="str" cm="1">
        <f t="array" ref="C21">_xlfn.IFS(B21&gt;90,"A1",B21&gt;80,"A2",B21&gt;70,"B1",B21&gt;60,"B2",B21&gt;50,"C1",B21&gt;40,"C2")</f>
        <v>A2</v>
      </c>
      <c r="D21">
        <v>70</v>
      </c>
      <c r="E21" t="str" cm="1">
        <f t="array" ref="E21">_xlfn.IFS(Table1[[#This Row],[Previous Marks]]&gt;90,"A1",Table1[[#This Row],[Previous Marks]]&gt;80,"A2",Table1[[#This Row],[Previous Marks]]&gt;70,"B1",Table1[[#This Row],[Previous Marks]]&gt;60,"B2",Table1[[#This Row],[Previous Marks]]&gt;50,"C1",Table1[[#This Row],[Previous Marks]]&gt;40,"C2")</f>
        <v>B2</v>
      </c>
      <c r="F21">
        <v>78</v>
      </c>
    </row>
    <row r="22" spans="2:6" x14ac:dyDescent="0.3">
      <c r="B22">
        <v>87</v>
      </c>
      <c r="C22" t="str" cm="1">
        <f t="array" ref="C22">_xlfn.IFS(B22&gt;90,"A1",B22&gt;80,"A2",B22&gt;70,"B1",B22&gt;60,"B2",B22&gt;50,"C1",B22&gt;40,"C2")</f>
        <v>A2</v>
      </c>
      <c r="D22">
        <v>77</v>
      </c>
      <c r="E22" t="str" cm="1">
        <f t="array" ref="E22">_xlfn.IFS(Table1[[#This Row],[Previous Marks]]&gt;90,"A1",Table1[[#This Row],[Previous Marks]]&gt;80,"A2",Table1[[#This Row],[Previous Marks]]&gt;70,"B1",Table1[[#This Row],[Previous Marks]]&gt;60,"B2",Table1[[#This Row],[Previous Marks]]&gt;50,"C1",Table1[[#This Row],[Previous Marks]]&gt;40,"C2")</f>
        <v>B1</v>
      </c>
      <c r="F22">
        <v>78</v>
      </c>
    </row>
    <row r="23" spans="2:6" x14ac:dyDescent="0.3">
      <c r="B23">
        <v>72</v>
      </c>
      <c r="C23" t="str" cm="1">
        <f t="array" ref="C23">_xlfn.IFS(B23&gt;90,"A1",B23&gt;80,"A2",B23&gt;70,"B1",B23&gt;60,"B2",B23&gt;50,"C1",B23&gt;40,"C2")</f>
        <v>B1</v>
      </c>
      <c r="D23">
        <v>77</v>
      </c>
      <c r="E23" t="str" cm="1">
        <f t="array" ref="E23">_xlfn.IFS(Table1[[#This Row],[Previous Marks]]&gt;90,"A1",Table1[[#This Row],[Previous Marks]]&gt;80,"A2",Table1[[#This Row],[Previous Marks]]&gt;70,"B1",Table1[[#This Row],[Previous Marks]]&gt;60,"B2",Table1[[#This Row],[Previous Marks]]&gt;50,"C1",Table1[[#This Row],[Previous Marks]]&gt;40,"C2")</f>
        <v>B1</v>
      </c>
      <c r="F23">
        <v>70</v>
      </c>
    </row>
    <row r="24" spans="2:6" x14ac:dyDescent="0.3">
      <c r="B24">
        <v>78</v>
      </c>
      <c r="C24" t="str" cm="1">
        <f t="array" ref="C24">_xlfn.IFS(B24&gt;90,"A1",B24&gt;80,"A2",B24&gt;70,"B1",B24&gt;60,"B2",B24&gt;50,"C1",B24&gt;40,"C2")</f>
        <v>B1</v>
      </c>
      <c r="D24">
        <v>82</v>
      </c>
      <c r="E24" t="str" cm="1">
        <f t="array" ref="E24">_xlfn.IFS(Table1[[#This Row],[Previous Marks]]&gt;90,"A1",Table1[[#This Row],[Previous Marks]]&gt;80,"A2",Table1[[#This Row],[Previous Marks]]&gt;70,"B1",Table1[[#This Row],[Previous Marks]]&gt;60,"B2",Table1[[#This Row],[Previous Marks]]&gt;50,"C1",Table1[[#This Row],[Previous Marks]]&gt;40,"C2")</f>
        <v>A2</v>
      </c>
      <c r="F24">
        <v>95</v>
      </c>
    </row>
    <row r="25" spans="2:6" x14ac:dyDescent="0.3">
      <c r="B25">
        <v>80.030208333333334</v>
      </c>
      <c r="C25" t="str" cm="1">
        <f t="array" ref="C25">_xlfn.IFS(B25&gt;90,"A1",B25&gt;80,"A2",B25&gt;70,"B1",B25&gt;60,"B2",B25&gt;50,"C1",B25&gt;40,"C2")</f>
        <v>A2</v>
      </c>
      <c r="D25">
        <v>82</v>
      </c>
      <c r="E25" t="str" cm="1">
        <f t="array" ref="E25">_xlfn.IFS(Table1[[#This Row],[Previous Marks]]&gt;90,"A1",Table1[[#This Row],[Previous Marks]]&gt;80,"A2",Table1[[#This Row],[Previous Marks]]&gt;70,"B1",Table1[[#This Row],[Previous Marks]]&gt;60,"B2",Table1[[#This Row],[Previous Marks]]&gt;50,"C1",Table1[[#This Row],[Previous Marks]]&gt;40,"C2")</f>
        <v>A2</v>
      </c>
      <c r="F25">
        <v>82</v>
      </c>
    </row>
    <row r="26" spans="2:6" x14ac:dyDescent="0.3">
      <c r="B26">
        <v>90</v>
      </c>
      <c r="C26" t="str" cm="1">
        <f t="array" ref="C26">_xlfn.IFS(B26&gt;90,"A1",B26&gt;80,"A2",B26&gt;70,"B1",B26&gt;60,"B2",B26&gt;50,"C1",B26&gt;40,"C2")</f>
        <v>A2</v>
      </c>
      <c r="D26">
        <v>77</v>
      </c>
      <c r="E26" t="str" cm="1">
        <f t="array" ref="E26">_xlfn.IFS(Table1[[#This Row],[Previous Marks]]&gt;90,"A1",Table1[[#This Row],[Previous Marks]]&gt;80,"A2",Table1[[#This Row],[Previous Marks]]&gt;70,"B1",Table1[[#This Row],[Previous Marks]]&gt;60,"B2",Table1[[#This Row],[Previous Marks]]&gt;50,"C1",Table1[[#This Row],[Previous Marks]]&gt;40,"C2")</f>
        <v>B1</v>
      </c>
      <c r="F26">
        <v>91</v>
      </c>
    </row>
    <row r="27" spans="2:6" x14ac:dyDescent="0.3">
      <c r="B27">
        <v>72</v>
      </c>
      <c r="C27" t="str" cm="1">
        <f t="array" ref="C27">_xlfn.IFS(B27&gt;90,"A1",B27&gt;80,"A2",B27&gt;70,"B1",B27&gt;60,"B2",B27&gt;50,"C1",B27&gt;40,"C2")</f>
        <v>B1</v>
      </c>
      <c r="D27">
        <v>77.598759048603924</v>
      </c>
      <c r="E27" t="str" cm="1">
        <f t="array" ref="E27">_xlfn.IFS(Table1[[#This Row],[Previous Marks]]&gt;90,"A1",Table1[[#This Row],[Previous Marks]]&gt;80,"A2",Table1[[#This Row],[Previous Marks]]&gt;70,"B1",Table1[[#This Row],[Previous Marks]]&gt;60,"B2",Table1[[#This Row],[Previous Marks]]&gt;50,"C1",Table1[[#This Row],[Previous Marks]]&gt;40,"C2")</f>
        <v>B1</v>
      </c>
      <c r="F27">
        <v>91</v>
      </c>
    </row>
    <row r="28" spans="2:6" x14ac:dyDescent="0.3">
      <c r="B28">
        <v>92</v>
      </c>
      <c r="C28" t="str" cm="1">
        <f t="array" ref="C28">_xlfn.IFS(B28&gt;90,"A1",B28&gt;80,"A2",B28&gt;70,"B1",B28&gt;60,"B2",B28&gt;50,"C1",B28&gt;40,"C2")</f>
        <v>A1</v>
      </c>
      <c r="D28">
        <v>60</v>
      </c>
      <c r="E28" t="str" cm="1">
        <f t="array" ref="E28">_xlfn.IFS(Table1[[#This Row],[Previous Marks]]&gt;90,"A1",Table1[[#This Row],[Previous Marks]]&gt;80,"A2",Table1[[#This Row],[Previous Marks]]&gt;70,"B1",Table1[[#This Row],[Previous Marks]]&gt;60,"B2",Table1[[#This Row],[Previous Marks]]&gt;50,"C1",Table1[[#This Row],[Previous Marks]]&gt;40,"C2")</f>
        <v>C1</v>
      </c>
      <c r="F28">
        <v>85.510416666666671</v>
      </c>
    </row>
    <row r="29" spans="2:6" x14ac:dyDescent="0.3">
      <c r="B29">
        <v>80</v>
      </c>
      <c r="C29" t="str" cm="1">
        <f t="array" ref="C29">_xlfn.IFS(B29&gt;90,"A1",B29&gt;80,"A2",B29&gt;70,"B1",B29&gt;60,"B2",B29&gt;50,"C1",B29&gt;40,"C2")</f>
        <v>B1</v>
      </c>
      <c r="D29">
        <v>90</v>
      </c>
      <c r="E29" t="str" cm="1">
        <f t="array" ref="E29">_xlfn.IFS(Table1[[#This Row],[Previous Marks]]&gt;90,"A1",Table1[[#This Row],[Previous Marks]]&gt;80,"A2",Table1[[#This Row],[Previous Marks]]&gt;70,"B1",Table1[[#This Row],[Previous Marks]]&gt;60,"B2",Table1[[#This Row],[Previous Marks]]&gt;50,"C1",Table1[[#This Row],[Previous Marks]]&gt;40,"C2")</f>
        <v>A2</v>
      </c>
      <c r="F29">
        <v>90</v>
      </c>
    </row>
    <row r="30" spans="2:6" x14ac:dyDescent="0.3">
      <c r="B30">
        <v>87</v>
      </c>
      <c r="C30" t="str" cm="1">
        <f t="array" ref="C30">_xlfn.IFS(B30&gt;90,"A1",B30&gt;80,"A2",B30&gt;70,"B1",B30&gt;60,"B2",B30&gt;50,"C1",B30&gt;40,"C2")</f>
        <v>A2</v>
      </c>
      <c r="D30">
        <v>77.598759048603924</v>
      </c>
      <c r="E30" t="str" cm="1">
        <f t="array" ref="E30">_xlfn.IFS(Table1[[#This Row],[Previous Marks]]&gt;90,"A1",Table1[[#This Row],[Previous Marks]]&gt;80,"A2",Table1[[#This Row],[Previous Marks]]&gt;70,"B1",Table1[[#This Row],[Previous Marks]]&gt;60,"B2",Table1[[#This Row],[Previous Marks]]&gt;50,"C1",Table1[[#This Row],[Previous Marks]]&gt;40,"C2")</f>
        <v>B1</v>
      </c>
      <c r="F30">
        <v>85</v>
      </c>
    </row>
    <row r="31" spans="2:6" x14ac:dyDescent="0.3">
      <c r="B31">
        <v>62</v>
      </c>
      <c r="C31" t="str" cm="1">
        <f t="array" ref="C31">_xlfn.IFS(B31&gt;90,"A1",B31&gt;80,"A2",B31&gt;70,"B1",B31&gt;60,"B2",B31&gt;50,"C1",B31&gt;40,"C2")</f>
        <v>B2</v>
      </c>
      <c r="D31">
        <v>77</v>
      </c>
      <c r="E31" t="str" cm="1">
        <f t="array" ref="E31">_xlfn.IFS(Table1[[#This Row],[Previous Marks]]&gt;90,"A1",Table1[[#This Row],[Previous Marks]]&gt;80,"A2",Table1[[#This Row],[Previous Marks]]&gt;70,"B1",Table1[[#This Row],[Previous Marks]]&gt;60,"B2",Table1[[#This Row],[Previous Marks]]&gt;50,"C1",Table1[[#This Row],[Previous Marks]]&gt;40,"C2")</f>
        <v>B1</v>
      </c>
      <c r="F31">
        <v>91</v>
      </c>
    </row>
    <row r="32" spans="2:6" x14ac:dyDescent="0.3">
      <c r="B32">
        <v>80.030208333333334</v>
      </c>
      <c r="C32" t="str" cm="1">
        <f t="array" ref="C32">_xlfn.IFS(B32&gt;90,"A1",B32&gt;80,"A2",B32&gt;70,"B1",B32&gt;60,"B2",B32&gt;50,"C1",B32&gt;40,"C2")</f>
        <v>A2</v>
      </c>
      <c r="D32">
        <v>78</v>
      </c>
      <c r="E32" t="str" cm="1">
        <f t="array" ref="E32">_xlfn.IFS(Table1[[#This Row],[Previous Marks]]&gt;90,"A1",Table1[[#This Row],[Previous Marks]]&gt;80,"A2",Table1[[#This Row],[Previous Marks]]&gt;70,"B1",Table1[[#This Row],[Previous Marks]]&gt;60,"B2",Table1[[#This Row],[Previous Marks]]&gt;50,"C1",Table1[[#This Row],[Previous Marks]]&gt;40,"C2")</f>
        <v>B1</v>
      </c>
      <c r="F32">
        <v>70</v>
      </c>
    </row>
    <row r="33" spans="2:6" x14ac:dyDescent="0.3">
      <c r="B33">
        <v>85</v>
      </c>
      <c r="C33" t="str" cm="1">
        <f t="array" ref="C33">_xlfn.IFS(B33&gt;90,"A1",B33&gt;80,"A2",B33&gt;70,"B1",B33&gt;60,"B2",B33&gt;50,"C1",B33&gt;40,"C2")</f>
        <v>A2</v>
      </c>
      <c r="D33">
        <v>65</v>
      </c>
      <c r="E33" t="str" cm="1">
        <f t="array" ref="E33">_xlfn.IFS(Table1[[#This Row],[Previous Marks]]&gt;90,"A1",Table1[[#This Row],[Previous Marks]]&gt;80,"A2",Table1[[#This Row],[Previous Marks]]&gt;70,"B1",Table1[[#This Row],[Previous Marks]]&gt;60,"B2",Table1[[#This Row],[Previous Marks]]&gt;50,"C1",Table1[[#This Row],[Previous Marks]]&gt;40,"C2")</f>
        <v>B2</v>
      </c>
      <c r="F33">
        <v>82</v>
      </c>
    </row>
    <row r="34" spans="2:6" x14ac:dyDescent="0.3">
      <c r="B34">
        <v>80.030208333333334</v>
      </c>
      <c r="C34" t="str" cm="1">
        <f t="array" ref="C34">_xlfn.IFS(B34&gt;90,"A1",B34&gt;80,"A2",B34&gt;70,"B1",B34&gt;60,"B2",B34&gt;50,"C1",B34&gt;40,"C2")</f>
        <v>A2</v>
      </c>
      <c r="D34">
        <v>85</v>
      </c>
      <c r="E34" t="str" cm="1">
        <f t="array" ref="E34">_xlfn.IFS(Table1[[#This Row],[Previous Marks]]&gt;90,"A1",Table1[[#This Row],[Previous Marks]]&gt;80,"A2",Table1[[#This Row],[Previous Marks]]&gt;70,"B1",Table1[[#This Row],[Previous Marks]]&gt;60,"B2",Table1[[#This Row],[Previous Marks]]&gt;50,"C1",Table1[[#This Row],[Previous Marks]]&gt;40,"C2")</f>
        <v>A2</v>
      </c>
      <c r="F34">
        <v>82</v>
      </c>
    </row>
    <row r="35" spans="2:6" x14ac:dyDescent="0.3">
      <c r="B35">
        <v>85</v>
      </c>
      <c r="C35" t="str" cm="1">
        <f t="array" ref="C35">_xlfn.IFS(B35&gt;90,"A1",B35&gt;80,"A2",B35&gt;70,"B1",B35&gt;60,"B2",B35&gt;50,"C1",B35&gt;40,"C2")</f>
        <v>A2</v>
      </c>
      <c r="D35">
        <v>60</v>
      </c>
      <c r="E35" t="str" cm="1">
        <f t="array" ref="E35">_xlfn.IFS(Table1[[#This Row],[Previous Marks]]&gt;90,"A1",Table1[[#This Row],[Previous Marks]]&gt;80,"A2",Table1[[#This Row],[Previous Marks]]&gt;70,"B1",Table1[[#This Row],[Previous Marks]]&gt;60,"B2",Table1[[#This Row],[Previous Marks]]&gt;50,"C1",Table1[[#This Row],[Previous Marks]]&gt;40,"C2")</f>
        <v>C1</v>
      </c>
      <c r="F35">
        <v>85.510416666666671</v>
      </c>
    </row>
    <row r="36" spans="2:6" x14ac:dyDescent="0.3">
      <c r="B36">
        <v>72</v>
      </c>
      <c r="C36" t="str" cm="1">
        <f t="array" ref="C36">_xlfn.IFS(B36&gt;90,"A1",B36&gt;80,"A2",B36&gt;70,"B1",B36&gt;60,"B2",B36&gt;50,"C1",B36&gt;40,"C2")</f>
        <v>B1</v>
      </c>
      <c r="D36">
        <v>78</v>
      </c>
      <c r="E36" t="str" cm="1">
        <f t="array" ref="E36">_xlfn.IFS(Table1[[#This Row],[Previous Marks]]&gt;90,"A1",Table1[[#This Row],[Previous Marks]]&gt;80,"A2",Table1[[#This Row],[Previous Marks]]&gt;70,"B1",Table1[[#This Row],[Previous Marks]]&gt;60,"B2",Table1[[#This Row],[Previous Marks]]&gt;50,"C1",Table1[[#This Row],[Previous Marks]]&gt;40,"C2")</f>
        <v>B1</v>
      </c>
      <c r="F36">
        <v>88</v>
      </c>
    </row>
    <row r="37" spans="2:6" x14ac:dyDescent="0.3">
      <c r="B37">
        <v>87</v>
      </c>
      <c r="C37" t="str" cm="1">
        <f t="array" ref="C37">_xlfn.IFS(B37&gt;90,"A1",B37&gt;80,"A2",B37&gt;70,"B1",B37&gt;60,"B2",B37&gt;50,"C1",B37&gt;40,"C2")</f>
        <v>A2</v>
      </c>
      <c r="D37">
        <v>65</v>
      </c>
      <c r="E37" t="str" cm="1">
        <f t="array" ref="E37">_xlfn.IFS(Table1[[#This Row],[Previous Marks]]&gt;90,"A1",Table1[[#This Row],[Previous Marks]]&gt;80,"A2",Table1[[#This Row],[Previous Marks]]&gt;70,"B1",Table1[[#This Row],[Previous Marks]]&gt;60,"B2",Table1[[#This Row],[Previous Marks]]&gt;50,"C1",Table1[[#This Row],[Previous Marks]]&gt;40,"C2")</f>
        <v>B2</v>
      </c>
      <c r="F37">
        <v>82</v>
      </c>
    </row>
    <row r="38" spans="2:6" x14ac:dyDescent="0.3">
      <c r="B38">
        <v>80</v>
      </c>
      <c r="C38" t="str" cm="1">
        <f t="array" ref="C38">_xlfn.IFS(B38&gt;90,"A1",B38&gt;80,"A2",B38&gt;70,"B1",B38&gt;60,"B2",B38&gt;50,"C1",B38&gt;40,"C2")</f>
        <v>B1</v>
      </c>
      <c r="D38">
        <v>90</v>
      </c>
      <c r="E38" t="str" cm="1">
        <f t="array" ref="E38">_xlfn.IFS(Table1[[#This Row],[Previous Marks]]&gt;90,"A1",Table1[[#This Row],[Previous Marks]]&gt;80,"A2",Table1[[#This Row],[Previous Marks]]&gt;70,"B1",Table1[[#This Row],[Previous Marks]]&gt;60,"B2",Table1[[#This Row],[Previous Marks]]&gt;50,"C1",Table1[[#This Row],[Previous Marks]]&gt;40,"C2")</f>
        <v>A2</v>
      </c>
      <c r="F38">
        <v>90</v>
      </c>
    </row>
    <row r="39" spans="2:6" x14ac:dyDescent="0.3">
      <c r="B39">
        <v>85</v>
      </c>
      <c r="C39" t="str" cm="1">
        <f t="array" ref="C39">_xlfn.IFS(B39&gt;90,"A1",B39&gt;80,"A2",B39&gt;70,"B1",B39&gt;60,"B2",B39&gt;50,"C1",B39&gt;40,"C2")</f>
        <v>A2</v>
      </c>
      <c r="D39">
        <v>82</v>
      </c>
      <c r="E39" t="str" cm="1">
        <f t="array" ref="E39">_xlfn.IFS(Table1[[#This Row],[Previous Marks]]&gt;90,"A1",Table1[[#This Row],[Previous Marks]]&gt;80,"A2",Table1[[#This Row],[Previous Marks]]&gt;70,"B1",Table1[[#This Row],[Previous Marks]]&gt;60,"B2",Table1[[#This Row],[Previous Marks]]&gt;50,"C1",Table1[[#This Row],[Previous Marks]]&gt;40,"C2")</f>
        <v>A2</v>
      </c>
      <c r="F39">
        <v>95</v>
      </c>
    </row>
    <row r="40" spans="2:6" x14ac:dyDescent="0.3">
      <c r="B40">
        <v>92</v>
      </c>
      <c r="C40" t="str" cm="1">
        <f t="array" ref="C40">_xlfn.IFS(B40&gt;90,"A1",B40&gt;80,"A2",B40&gt;70,"B1",B40&gt;60,"B2",B40&gt;50,"C1",B40&gt;40,"C2")</f>
        <v>A1</v>
      </c>
      <c r="D40">
        <v>85</v>
      </c>
      <c r="E40" t="str" cm="1">
        <f t="array" ref="E40">_xlfn.IFS(Table1[[#This Row],[Previous Marks]]&gt;90,"A1",Table1[[#This Row],[Previous Marks]]&gt;80,"A2",Table1[[#This Row],[Previous Marks]]&gt;70,"B1",Table1[[#This Row],[Previous Marks]]&gt;60,"B2",Table1[[#This Row],[Previous Marks]]&gt;50,"C1",Table1[[#This Row],[Previous Marks]]&gt;40,"C2")</f>
        <v>A2</v>
      </c>
      <c r="F40">
        <v>91</v>
      </c>
    </row>
    <row r="41" spans="2:6" x14ac:dyDescent="0.3">
      <c r="B41">
        <v>85</v>
      </c>
      <c r="C41" t="str" cm="1">
        <f t="array" ref="C41">_xlfn.IFS(B41&gt;90,"A1",B41&gt;80,"A2",B41&gt;70,"B1",B41&gt;60,"B2",B41&gt;50,"C1",B41&gt;40,"C2")</f>
        <v>A2</v>
      </c>
      <c r="D41">
        <v>65</v>
      </c>
      <c r="E41" t="str" cm="1">
        <f t="array" ref="E41">_xlfn.IFS(Table1[[#This Row],[Previous Marks]]&gt;90,"A1",Table1[[#This Row],[Previous Marks]]&gt;80,"A2",Table1[[#This Row],[Previous Marks]]&gt;70,"B1",Table1[[#This Row],[Previous Marks]]&gt;60,"B2",Table1[[#This Row],[Previous Marks]]&gt;50,"C1",Table1[[#This Row],[Previous Marks]]&gt;40,"C2")</f>
        <v>B2</v>
      </c>
      <c r="F41">
        <v>95</v>
      </c>
    </row>
    <row r="42" spans="2:6" x14ac:dyDescent="0.3">
      <c r="B42">
        <v>72</v>
      </c>
      <c r="C42" t="str" cm="1">
        <f t="array" ref="C42">_xlfn.IFS(B42&gt;90,"A1",B42&gt;80,"A2",B42&gt;70,"B1",B42&gt;60,"B2",B42&gt;50,"C1",B42&gt;40,"C2")</f>
        <v>B1</v>
      </c>
      <c r="D42">
        <v>85</v>
      </c>
      <c r="E42" t="str" cm="1">
        <f t="array" ref="E42">_xlfn.IFS(Table1[[#This Row],[Previous Marks]]&gt;90,"A1",Table1[[#This Row],[Previous Marks]]&gt;80,"A2",Table1[[#This Row],[Previous Marks]]&gt;70,"B1",Table1[[#This Row],[Previous Marks]]&gt;60,"B2",Table1[[#This Row],[Previous Marks]]&gt;50,"C1",Table1[[#This Row],[Previous Marks]]&gt;40,"C2")</f>
        <v>A2</v>
      </c>
      <c r="F42">
        <v>78</v>
      </c>
    </row>
    <row r="43" spans="2:6" x14ac:dyDescent="0.3">
      <c r="B43">
        <v>87</v>
      </c>
      <c r="C43" t="str" cm="1">
        <f t="array" ref="C43">_xlfn.IFS(B43&gt;90,"A1",B43&gt;80,"A2",B43&gt;70,"B1",B43&gt;60,"B2",B43&gt;50,"C1",B43&gt;40,"C2")</f>
        <v>A2</v>
      </c>
      <c r="D43">
        <v>77</v>
      </c>
      <c r="E43" t="str" cm="1">
        <f t="array" ref="E43">_xlfn.IFS(Table1[[#This Row],[Previous Marks]]&gt;90,"A1",Table1[[#This Row],[Previous Marks]]&gt;80,"A2",Table1[[#This Row],[Previous Marks]]&gt;70,"B1",Table1[[#This Row],[Previous Marks]]&gt;60,"B2",Table1[[#This Row],[Previous Marks]]&gt;50,"C1",Table1[[#This Row],[Previous Marks]]&gt;40,"C2")</f>
        <v>B1</v>
      </c>
      <c r="F43">
        <v>88</v>
      </c>
    </row>
    <row r="44" spans="2:6" x14ac:dyDescent="0.3">
      <c r="B44">
        <v>62</v>
      </c>
      <c r="C44" t="str" cm="1">
        <f t="array" ref="C44">_xlfn.IFS(B44&gt;90,"A1",B44&gt;80,"A2",B44&gt;70,"B1",B44&gt;60,"B2",B44&gt;50,"C1",B44&gt;40,"C2")</f>
        <v>B2</v>
      </c>
      <c r="D44">
        <v>65</v>
      </c>
      <c r="E44" t="str" cm="1">
        <f t="array" ref="E44">_xlfn.IFS(Table1[[#This Row],[Previous Marks]]&gt;90,"A1",Table1[[#This Row],[Previous Marks]]&gt;80,"A2",Table1[[#This Row],[Previous Marks]]&gt;70,"B1",Table1[[#This Row],[Previous Marks]]&gt;60,"B2",Table1[[#This Row],[Previous Marks]]&gt;50,"C1",Table1[[#This Row],[Previous Marks]]&gt;40,"C2")</f>
        <v>B2</v>
      </c>
      <c r="F44">
        <v>78</v>
      </c>
    </row>
    <row r="45" spans="2:6" x14ac:dyDescent="0.3">
      <c r="B45">
        <v>68</v>
      </c>
      <c r="C45" t="str" cm="1">
        <f t="array" ref="C45">_xlfn.IFS(B45&gt;90,"A1",B45&gt;80,"A2",B45&gt;70,"B1",B45&gt;60,"B2",B45&gt;50,"C1",B45&gt;40,"C2")</f>
        <v>B2</v>
      </c>
      <c r="D45">
        <v>70</v>
      </c>
      <c r="E45" t="str" cm="1">
        <f t="array" ref="E45">_xlfn.IFS(Table1[[#This Row],[Previous Marks]]&gt;90,"A1",Table1[[#This Row],[Previous Marks]]&gt;80,"A2",Table1[[#This Row],[Previous Marks]]&gt;70,"B1",Table1[[#This Row],[Previous Marks]]&gt;60,"B2",Table1[[#This Row],[Previous Marks]]&gt;50,"C1",Table1[[#This Row],[Previous Marks]]&gt;40,"C2")</f>
        <v>B2</v>
      </c>
      <c r="F45">
        <v>95</v>
      </c>
    </row>
    <row r="46" spans="2:6" x14ac:dyDescent="0.3">
      <c r="B46">
        <v>88</v>
      </c>
      <c r="C46" t="str" cm="1">
        <f t="array" ref="C46">_xlfn.IFS(B46&gt;90,"A1",B46&gt;80,"A2",B46&gt;70,"B1",B46&gt;60,"B2",B46&gt;50,"C1",B46&gt;40,"C2")</f>
        <v>A2</v>
      </c>
      <c r="D46">
        <v>88</v>
      </c>
      <c r="E46" t="str" cm="1">
        <f t="array" ref="E46">_xlfn.IFS(Table1[[#This Row],[Previous Marks]]&gt;90,"A1",Table1[[#This Row],[Previous Marks]]&gt;80,"A2",Table1[[#This Row],[Previous Marks]]&gt;70,"B1",Table1[[#This Row],[Previous Marks]]&gt;60,"B2",Table1[[#This Row],[Previous Marks]]&gt;50,"C1",Table1[[#This Row],[Previous Marks]]&gt;40,"C2")</f>
        <v>A2</v>
      </c>
      <c r="F46">
        <v>92</v>
      </c>
    </row>
    <row r="47" spans="2:6" x14ac:dyDescent="0.3">
      <c r="B47">
        <v>92</v>
      </c>
      <c r="C47" t="str" cm="1">
        <f t="array" ref="C47">_xlfn.IFS(B47&gt;90,"A1",B47&gt;80,"A2",B47&gt;70,"B1",B47&gt;60,"B2",B47&gt;50,"C1",B47&gt;40,"C2")</f>
        <v>A1</v>
      </c>
      <c r="D47">
        <v>88</v>
      </c>
      <c r="E47" t="str" cm="1">
        <f t="array" ref="E47">_xlfn.IFS(Table1[[#This Row],[Previous Marks]]&gt;90,"A1",Table1[[#This Row],[Previous Marks]]&gt;80,"A2",Table1[[#This Row],[Previous Marks]]&gt;70,"B1",Table1[[#This Row],[Previous Marks]]&gt;60,"B2",Table1[[#This Row],[Previous Marks]]&gt;50,"C1",Table1[[#This Row],[Previous Marks]]&gt;40,"C2")</f>
        <v>A2</v>
      </c>
      <c r="F47">
        <v>85</v>
      </c>
    </row>
    <row r="48" spans="2:6" x14ac:dyDescent="0.3">
      <c r="B48">
        <v>85</v>
      </c>
      <c r="C48" t="str" cm="1">
        <f t="array" ref="C48">_xlfn.IFS(B48&gt;90,"A1",B48&gt;80,"A2",B48&gt;70,"B1",B48&gt;60,"B2",B48&gt;50,"C1",B48&gt;40,"C2")</f>
        <v>A2</v>
      </c>
      <c r="D48">
        <v>90</v>
      </c>
      <c r="E48" t="str" cm="1">
        <f t="array" ref="E48">_xlfn.IFS(Table1[[#This Row],[Previous Marks]]&gt;90,"A1",Table1[[#This Row],[Previous Marks]]&gt;80,"A2",Table1[[#This Row],[Previous Marks]]&gt;70,"B1",Table1[[#This Row],[Previous Marks]]&gt;60,"B2",Table1[[#This Row],[Previous Marks]]&gt;50,"C1",Table1[[#This Row],[Previous Marks]]&gt;40,"C2")</f>
        <v>A2</v>
      </c>
      <c r="F48">
        <v>85</v>
      </c>
    </row>
    <row r="49" spans="2:6" x14ac:dyDescent="0.3">
      <c r="B49">
        <v>90</v>
      </c>
      <c r="C49" t="str" cm="1">
        <f t="array" ref="C49">_xlfn.IFS(B49&gt;90,"A1",B49&gt;80,"A2",B49&gt;70,"B1",B49&gt;60,"B2",B49&gt;50,"C1",B49&gt;40,"C2")</f>
        <v>A2</v>
      </c>
      <c r="D49">
        <v>82</v>
      </c>
      <c r="E49" t="str" cm="1">
        <f t="array" ref="E49">_xlfn.IFS(Table1[[#This Row],[Previous Marks]]&gt;90,"A1",Table1[[#This Row],[Previous Marks]]&gt;80,"A2",Table1[[#This Row],[Previous Marks]]&gt;70,"B1",Table1[[#This Row],[Previous Marks]]&gt;60,"B2",Table1[[#This Row],[Previous Marks]]&gt;50,"C1",Table1[[#This Row],[Previous Marks]]&gt;40,"C2")</f>
        <v>A2</v>
      </c>
      <c r="F49">
        <v>70</v>
      </c>
    </row>
    <row r="50" spans="2:6" x14ac:dyDescent="0.3">
      <c r="B50">
        <v>87</v>
      </c>
      <c r="C50" t="str" cm="1">
        <f t="array" ref="C50">_xlfn.IFS(B50&gt;90,"A1",B50&gt;80,"A2",B50&gt;70,"B1",B50&gt;60,"B2",B50&gt;50,"C1",B50&gt;40,"C2")</f>
        <v>A2</v>
      </c>
      <c r="D50">
        <v>86</v>
      </c>
      <c r="E50" t="str" cm="1">
        <f t="array" ref="E50">_xlfn.IFS(Table1[[#This Row],[Previous Marks]]&gt;90,"A1",Table1[[#This Row],[Previous Marks]]&gt;80,"A2",Table1[[#This Row],[Previous Marks]]&gt;70,"B1",Table1[[#This Row],[Previous Marks]]&gt;60,"B2",Table1[[#This Row],[Previous Marks]]&gt;50,"C1",Table1[[#This Row],[Previous Marks]]&gt;40,"C2")</f>
        <v>A2</v>
      </c>
      <c r="F50">
        <v>88</v>
      </c>
    </row>
    <row r="51" spans="2:6" x14ac:dyDescent="0.3">
      <c r="B51">
        <v>62</v>
      </c>
      <c r="C51" t="str" cm="1">
        <f t="array" ref="C51">_xlfn.IFS(B51&gt;90,"A1",B51&gt;80,"A2",B51&gt;70,"B1",B51&gt;60,"B2",B51&gt;50,"C1",B51&gt;40,"C2")</f>
        <v>B2</v>
      </c>
      <c r="D51">
        <v>90</v>
      </c>
      <c r="E51" t="str" cm="1">
        <f t="array" ref="E51">_xlfn.IFS(Table1[[#This Row],[Previous Marks]]&gt;90,"A1",Table1[[#This Row],[Previous Marks]]&gt;80,"A2",Table1[[#This Row],[Previous Marks]]&gt;70,"B1",Table1[[#This Row],[Previous Marks]]&gt;60,"B2",Table1[[#This Row],[Previous Marks]]&gt;50,"C1",Table1[[#This Row],[Previous Marks]]&gt;40,"C2")</f>
        <v>A2</v>
      </c>
      <c r="F51">
        <v>70</v>
      </c>
    </row>
    <row r="52" spans="2:6" x14ac:dyDescent="0.3">
      <c r="B52">
        <v>87</v>
      </c>
      <c r="C52" t="str" cm="1">
        <f t="array" ref="C52">_xlfn.IFS(B52&gt;90,"A1",B52&gt;80,"A2",B52&gt;70,"B1",B52&gt;60,"B2",B52&gt;50,"C1",B52&gt;40,"C2")</f>
        <v>A2</v>
      </c>
      <c r="D52">
        <v>86</v>
      </c>
      <c r="E52" t="str" cm="1">
        <f t="array" ref="E52">_xlfn.IFS(Table1[[#This Row],[Previous Marks]]&gt;90,"A1",Table1[[#This Row],[Previous Marks]]&gt;80,"A2",Table1[[#This Row],[Previous Marks]]&gt;70,"B1",Table1[[#This Row],[Previous Marks]]&gt;60,"B2",Table1[[#This Row],[Previous Marks]]&gt;50,"C1",Table1[[#This Row],[Previous Marks]]&gt;40,"C2")</f>
        <v>A2</v>
      </c>
      <c r="F52">
        <v>90</v>
      </c>
    </row>
    <row r="53" spans="2:6" x14ac:dyDescent="0.3">
      <c r="B53">
        <v>62</v>
      </c>
      <c r="C53" t="str" cm="1">
        <f t="array" ref="C53">_xlfn.IFS(B53&gt;90,"A1",B53&gt;80,"A2",B53&gt;70,"B1",B53&gt;60,"B2",B53&gt;50,"C1",B53&gt;40,"C2")</f>
        <v>B2</v>
      </c>
      <c r="D53">
        <v>70</v>
      </c>
      <c r="E53" t="str" cm="1">
        <f t="array" ref="E53">_xlfn.IFS(Table1[[#This Row],[Previous Marks]]&gt;90,"A1",Table1[[#This Row],[Previous Marks]]&gt;80,"A2",Table1[[#This Row],[Previous Marks]]&gt;70,"B1",Table1[[#This Row],[Previous Marks]]&gt;60,"B2",Table1[[#This Row],[Previous Marks]]&gt;50,"C1",Table1[[#This Row],[Previous Marks]]&gt;40,"C2")</f>
        <v>B2</v>
      </c>
      <c r="F53">
        <v>70</v>
      </c>
    </row>
    <row r="54" spans="2:6" x14ac:dyDescent="0.3">
      <c r="B54">
        <v>62</v>
      </c>
      <c r="C54" t="str" cm="1">
        <f t="array" ref="C54">_xlfn.IFS(B54&gt;90,"A1",B54&gt;80,"A2",B54&gt;70,"B1",B54&gt;60,"B2",B54&gt;50,"C1",B54&gt;40,"C2")</f>
        <v>B2</v>
      </c>
      <c r="D54">
        <v>82</v>
      </c>
      <c r="E54" t="str" cm="1">
        <f t="array" ref="E54">_xlfn.IFS(Table1[[#This Row],[Previous Marks]]&gt;90,"A1",Table1[[#This Row],[Previous Marks]]&gt;80,"A2",Table1[[#This Row],[Previous Marks]]&gt;70,"B1",Table1[[#This Row],[Previous Marks]]&gt;60,"B2",Table1[[#This Row],[Previous Marks]]&gt;50,"C1",Table1[[#This Row],[Previous Marks]]&gt;40,"C2")</f>
        <v>A2</v>
      </c>
      <c r="F54">
        <v>82</v>
      </c>
    </row>
    <row r="55" spans="2:6" x14ac:dyDescent="0.3">
      <c r="B55">
        <v>68</v>
      </c>
      <c r="C55" t="str" cm="1">
        <f t="array" ref="C55">_xlfn.IFS(B55&gt;90,"A1",B55&gt;80,"A2",B55&gt;70,"B1",B55&gt;60,"B2",B55&gt;50,"C1",B55&gt;40,"C2")</f>
        <v>B2</v>
      </c>
      <c r="D55">
        <v>70</v>
      </c>
      <c r="E55" t="str" cm="1">
        <f t="array" ref="E55">_xlfn.IFS(Table1[[#This Row],[Previous Marks]]&gt;90,"A1",Table1[[#This Row],[Previous Marks]]&gt;80,"A2",Table1[[#This Row],[Previous Marks]]&gt;70,"B1",Table1[[#This Row],[Previous Marks]]&gt;60,"B2",Table1[[#This Row],[Previous Marks]]&gt;50,"C1",Table1[[#This Row],[Previous Marks]]&gt;40,"C2")</f>
        <v>B2</v>
      </c>
      <c r="F55">
        <v>85</v>
      </c>
    </row>
    <row r="56" spans="2:6" x14ac:dyDescent="0.3">
      <c r="B56">
        <v>80</v>
      </c>
      <c r="C56" t="str" cm="1">
        <f t="array" ref="C56">_xlfn.IFS(B56&gt;90,"A1",B56&gt;80,"A2",B56&gt;70,"B1",B56&gt;60,"B2",B56&gt;50,"C1",B56&gt;40,"C2")</f>
        <v>B1</v>
      </c>
      <c r="D56">
        <v>90</v>
      </c>
      <c r="E56" t="str" cm="1">
        <f t="array" ref="E56">_xlfn.IFS(Table1[[#This Row],[Previous Marks]]&gt;90,"A1",Table1[[#This Row],[Previous Marks]]&gt;80,"A2",Table1[[#This Row],[Previous Marks]]&gt;70,"B1",Table1[[#This Row],[Previous Marks]]&gt;60,"B2",Table1[[#This Row],[Previous Marks]]&gt;50,"C1",Table1[[#This Row],[Previous Marks]]&gt;40,"C2")</f>
        <v>A2</v>
      </c>
      <c r="F56">
        <v>88</v>
      </c>
    </row>
    <row r="57" spans="2:6" x14ac:dyDescent="0.3">
      <c r="B57">
        <v>92</v>
      </c>
      <c r="C57" t="str" cm="1">
        <f t="array" ref="C57">_xlfn.IFS(B57&gt;90,"A1",B57&gt;80,"A2",B57&gt;70,"B1",B57&gt;60,"B2",B57&gt;50,"C1",B57&gt;40,"C2")</f>
        <v>A1</v>
      </c>
      <c r="D57">
        <v>60</v>
      </c>
      <c r="E57" t="str" cm="1">
        <f t="array" ref="E57">_xlfn.IFS(Table1[[#This Row],[Previous Marks]]&gt;90,"A1",Table1[[#This Row],[Previous Marks]]&gt;80,"A2",Table1[[#This Row],[Previous Marks]]&gt;70,"B1",Table1[[#This Row],[Previous Marks]]&gt;60,"B2",Table1[[#This Row],[Previous Marks]]&gt;50,"C1",Table1[[#This Row],[Previous Marks]]&gt;40,"C2")</f>
        <v>C1</v>
      </c>
      <c r="F57">
        <v>91</v>
      </c>
    </row>
    <row r="58" spans="2:6" x14ac:dyDescent="0.3">
      <c r="B58">
        <v>72</v>
      </c>
      <c r="C58" t="str" cm="1">
        <f t="array" ref="C58">_xlfn.IFS(B58&gt;90,"A1",B58&gt;80,"A2",B58&gt;70,"B1",B58&gt;60,"B2",B58&gt;50,"C1",B58&gt;40,"C2")</f>
        <v>B1</v>
      </c>
      <c r="D58">
        <v>70</v>
      </c>
      <c r="E58" t="str" cm="1">
        <f t="array" ref="E58">_xlfn.IFS(Table1[[#This Row],[Previous Marks]]&gt;90,"A1",Table1[[#This Row],[Previous Marks]]&gt;80,"A2",Table1[[#This Row],[Previous Marks]]&gt;70,"B1",Table1[[#This Row],[Previous Marks]]&gt;60,"B2",Table1[[#This Row],[Previous Marks]]&gt;50,"C1",Table1[[#This Row],[Previous Marks]]&gt;40,"C2")</f>
        <v>B2</v>
      </c>
      <c r="F58">
        <v>92</v>
      </c>
    </row>
    <row r="59" spans="2:6" x14ac:dyDescent="0.3">
      <c r="B59">
        <v>88</v>
      </c>
      <c r="C59" t="str" cm="1">
        <f t="array" ref="C59">_xlfn.IFS(B59&gt;90,"A1",B59&gt;80,"A2",B59&gt;70,"B1",B59&gt;60,"B2",B59&gt;50,"C1",B59&gt;40,"C2")</f>
        <v>A2</v>
      </c>
      <c r="D59">
        <v>86</v>
      </c>
      <c r="E59" t="str" cm="1">
        <f t="array" ref="E59">_xlfn.IFS(Table1[[#This Row],[Previous Marks]]&gt;90,"A1",Table1[[#This Row],[Previous Marks]]&gt;80,"A2",Table1[[#This Row],[Previous Marks]]&gt;70,"B1",Table1[[#This Row],[Previous Marks]]&gt;60,"B2",Table1[[#This Row],[Previous Marks]]&gt;50,"C1",Table1[[#This Row],[Previous Marks]]&gt;40,"C2")</f>
        <v>A2</v>
      </c>
      <c r="F59">
        <v>82</v>
      </c>
    </row>
    <row r="60" spans="2:6" x14ac:dyDescent="0.3">
      <c r="B60">
        <v>85</v>
      </c>
      <c r="C60" t="str" cm="1">
        <f t="array" ref="C60">_xlfn.IFS(B60&gt;90,"A1",B60&gt;80,"A2",B60&gt;70,"B1",B60&gt;60,"B2",B60&gt;50,"C1",B60&gt;40,"C2")</f>
        <v>A2</v>
      </c>
      <c r="D60">
        <v>77</v>
      </c>
      <c r="E60" t="str" cm="1">
        <f t="array" ref="E60">_xlfn.IFS(Table1[[#This Row],[Previous Marks]]&gt;90,"A1",Table1[[#This Row],[Previous Marks]]&gt;80,"A2",Table1[[#This Row],[Previous Marks]]&gt;70,"B1",Table1[[#This Row],[Previous Marks]]&gt;60,"B2",Table1[[#This Row],[Previous Marks]]&gt;50,"C1",Table1[[#This Row],[Previous Marks]]&gt;40,"C2")</f>
        <v>B1</v>
      </c>
      <c r="F60">
        <v>78</v>
      </c>
    </row>
    <row r="61" spans="2:6" x14ac:dyDescent="0.3">
      <c r="B61">
        <v>90</v>
      </c>
      <c r="C61" t="str" cm="1">
        <f t="array" ref="C61">_xlfn.IFS(B61&gt;90,"A1",B61&gt;80,"A2",B61&gt;70,"B1",B61&gt;60,"B2",B61&gt;50,"C1",B61&gt;40,"C2")</f>
        <v>A2</v>
      </c>
      <c r="D61">
        <v>82</v>
      </c>
      <c r="E61" t="str" cm="1">
        <f t="array" ref="E61">_xlfn.IFS(Table1[[#This Row],[Previous Marks]]&gt;90,"A1",Table1[[#This Row],[Previous Marks]]&gt;80,"A2",Table1[[#This Row],[Previous Marks]]&gt;70,"B1",Table1[[#This Row],[Previous Marks]]&gt;60,"B2",Table1[[#This Row],[Previous Marks]]&gt;50,"C1",Table1[[#This Row],[Previous Marks]]&gt;40,"C2")</f>
        <v>A2</v>
      </c>
      <c r="F61">
        <v>85</v>
      </c>
    </row>
    <row r="62" spans="2:6" x14ac:dyDescent="0.3">
      <c r="B62">
        <v>62</v>
      </c>
      <c r="C62" t="str" cm="1">
        <f t="array" ref="C62">_xlfn.IFS(B62&gt;90,"A1",B62&gt;80,"A2",B62&gt;70,"B1",B62&gt;60,"B2",B62&gt;50,"C1",B62&gt;40,"C2")</f>
        <v>B2</v>
      </c>
      <c r="D62">
        <v>65</v>
      </c>
      <c r="E62" t="str" cm="1">
        <f t="array" ref="E62">_xlfn.IFS(Table1[[#This Row],[Previous Marks]]&gt;90,"A1",Table1[[#This Row],[Previous Marks]]&gt;80,"A2",Table1[[#This Row],[Previous Marks]]&gt;70,"B1",Table1[[#This Row],[Previous Marks]]&gt;60,"B2",Table1[[#This Row],[Previous Marks]]&gt;50,"C1",Table1[[#This Row],[Previous Marks]]&gt;40,"C2")</f>
        <v>B2</v>
      </c>
      <c r="F62">
        <v>92</v>
      </c>
    </row>
    <row r="63" spans="2:6" x14ac:dyDescent="0.3">
      <c r="B63">
        <v>80</v>
      </c>
      <c r="C63" t="str" cm="1">
        <f t="array" ref="C63">_xlfn.IFS(B63&gt;90,"A1",B63&gt;80,"A2",B63&gt;70,"B1",B63&gt;60,"B2",B63&gt;50,"C1",B63&gt;40,"C2")</f>
        <v>B1</v>
      </c>
      <c r="D63">
        <v>60</v>
      </c>
      <c r="E63" t="str" cm="1">
        <f t="array" ref="E63">_xlfn.IFS(Table1[[#This Row],[Previous Marks]]&gt;90,"A1",Table1[[#This Row],[Previous Marks]]&gt;80,"A2",Table1[[#This Row],[Previous Marks]]&gt;70,"B1",Table1[[#This Row],[Previous Marks]]&gt;60,"B2",Table1[[#This Row],[Previous Marks]]&gt;50,"C1",Table1[[#This Row],[Previous Marks]]&gt;40,"C2")</f>
        <v>C1</v>
      </c>
      <c r="F63">
        <v>92</v>
      </c>
    </row>
    <row r="64" spans="2:6" x14ac:dyDescent="0.3">
      <c r="B64">
        <v>72</v>
      </c>
      <c r="C64" t="str" cm="1">
        <f t="array" ref="C64">_xlfn.IFS(B64&gt;90,"A1",B64&gt;80,"A2",B64&gt;70,"B1",B64&gt;60,"B2",B64&gt;50,"C1",B64&gt;40,"C2")</f>
        <v>B1</v>
      </c>
      <c r="D64">
        <v>60</v>
      </c>
      <c r="E64" t="str" cm="1">
        <f t="array" ref="E64">_xlfn.IFS(Table1[[#This Row],[Previous Marks]]&gt;90,"A1",Table1[[#This Row],[Previous Marks]]&gt;80,"A2",Table1[[#This Row],[Previous Marks]]&gt;70,"B1",Table1[[#This Row],[Previous Marks]]&gt;60,"B2",Table1[[#This Row],[Previous Marks]]&gt;50,"C1",Table1[[#This Row],[Previous Marks]]&gt;40,"C2")</f>
        <v>C1</v>
      </c>
      <c r="F64">
        <v>95</v>
      </c>
    </row>
    <row r="65" spans="2:6" x14ac:dyDescent="0.3">
      <c r="B65">
        <v>62</v>
      </c>
      <c r="C65" t="str" cm="1">
        <f t="array" ref="C65">_xlfn.IFS(B65&gt;90,"A1",B65&gt;80,"A2",B65&gt;70,"B1",B65&gt;60,"B2",B65&gt;50,"C1",B65&gt;40,"C2")</f>
        <v>B2</v>
      </c>
      <c r="D65">
        <v>78</v>
      </c>
      <c r="E65" t="str" cm="1">
        <f t="array" ref="E65">_xlfn.IFS(Table1[[#This Row],[Previous Marks]]&gt;90,"A1",Table1[[#This Row],[Previous Marks]]&gt;80,"A2",Table1[[#This Row],[Previous Marks]]&gt;70,"B1",Table1[[#This Row],[Previous Marks]]&gt;60,"B2",Table1[[#This Row],[Previous Marks]]&gt;50,"C1",Table1[[#This Row],[Previous Marks]]&gt;40,"C2")</f>
        <v>B1</v>
      </c>
      <c r="F65">
        <v>70</v>
      </c>
    </row>
    <row r="66" spans="2:6" x14ac:dyDescent="0.3">
      <c r="B66">
        <v>62</v>
      </c>
      <c r="C66" t="str" cm="1">
        <f t="array" ref="C66">_xlfn.IFS(B66&gt;90,"A1",B66&gt;80,"A2",B66&gt;70,"B1",B66&gt;60,"B2",B66&gt;50,"C1",B66&gt;40,"C2")</f>
        <v>B2</v>
      </c>
      <c r="D66">
        <v>86</v>
      </c>
      <c r="E66" t="str" cm="1">
        <f t="array" ref="E66">_xlfn.IFS(Table1[[#This Row],[Previous Marks]]&gt;90,"A1",Table1[[#This Row],[Previous Marks]]&gt;80,"A2",Table1[[#This Row],[Previous Marks]]&gt;70,"B1",Table1[[#This Row],[Previous Marks]]&gt;60,"B2",Table1[[#This Row],[Previous Marks]]&gt;50,"C1",Table1[[#This Row],[Previous Marks]]&gt;40,"C2")</f>
        <v>A2</v>
      </c>
      <c r="F66">
        <v>70</v>
      </c>
    </row>
    <row r="67" spans="2:6" x14ac:dyDescent="0.3">
      <c r="B67">
        <v>90</v>
      </c>
      <c r="C67" t="str" cm="1">
        <f t="array" ref="C67">_xlfn.IFS(B67&gt;90,"A1",B67&gt;80,"A2",B67&gt;70,"B1",B67&gt;60,"B2",B67&gt;50,"C1",B67&gt;40,"C2")</f>
        <v>A2</v>
      </c>
      <c r="D67">
        <v>90</v>
      </c>
      <c r="E67" t="str" cm="1">
        <f t="array" ref="E67">_xlfn.IFS(Table1[[#This Row],[Previous Marks]]&gt;90,"A1",Table1[[#This Row],[Previous Marks]]&gt;80,"A2",Table1[[#This Row],[Previous Marks]]&gt;70,"B1",Table1[[#This Row],[Previous Marks]]&gt;60,"B2",Table1[[#This Row],[Previous Marks]]&gt;50,"C1",Table1[[#This Row],[Previous Marks]]&gt;40,"C2")</f>
        <v>A2</v>
      </c>
      <c r="F67">
        <v>70</v>
      </c>
    </row>
    <row r="68" spans="2:6" x14ac:dyDescent="0.3">
      <c r="B68">
        <v>90</v>
      </c>
      <c r="C68" t="str" cm="1">
        <f t="array" ref="C68">_xlfn.IFS(B68&gt;90,"A1",B68&gt;80,"A2",B68&gt;70,"B1",B68&gt;60,"B2",B68&gt;50,"C1",B68&gt;40,"C2")</f>
        <v>A2</v>
      </c>
      <c r="D68">
        <v>78</v>
      </c>
      <c r="E68" t="str" cm="1">
        <f t="array" ref="E68">_xlfn.IFS(Table1[[#This Row],[Previous Marks]]&gt;90,"A1",Table1[[#This Row],[Previous Marks]]&gt;80,"A2",Table1[[#This Row],[Previous Marks]]&gt;70,"B1",Table1[[#This Row],[Previous Marks]]&gt;60,"B2",Table1[[#This Row],[Previous Marks]]&gt;50,"C1",Table1[[#This Row],[Previous Marks]]&gt;40,"C2")</f>
        <v>B1</v>
      </c>
      <c r="F68">
        <v>90</v>
      </c>
    </row>
    <row r="69" spans="2:6" x14ac:dyDescent="0.3">
      <c r="B69">
        <v>68</v>
      </c>
      <c r="C69" t="str" cm="1">
        <f t="array" ref="C69">_xlfn.IFS(B69&gt;90,"A1",B69&gt;80,"A2",B69&gt;70,"B1",B69&gt;60,"B2",B69&gt;50,"C1",B69&gt;40,"C2")</f>
        <v>B2</v>
      </c>
      <c r="D69">
        <v>86</v>
      </c>
      <c r="E69" t="str" cm="1">
        <f t="array" ref="E69">_xlfn.IFS(Table1[[#This Row],[Previous Marks]]&gt;90,"A1",Table1[[#This Row],[Previous Marks]]&gt;80,"A2",Table1[[#This Row],[Previous Marks]]&gt;70,"B1",Table1[[#This Row],[Previous Marks]]&gt;60,"B2",Table1[[#This Row],[Previous Marks]]&gt;50,"C1",Table1[[#This Row],[Previous Marks]]&gt;40,"C2")</f>
        <v>A2</v>
      </c>
      <c r="F69">
        <v>92</v>
      </c>
    </row>
    <row r="70" spans="2:6" x14ac:dyDescent="0.3">
      <c r="B70">
        <v>87</v>
      </c>
      <c r="C70" t="str" cm="1">
        <f t="array" ref="C70">_xlfn.IFS(B70&gt;90,"A1",B70&gt;80,"A2",B70&gt;70,"B1",B70&gt;60,"B2",B70&gt;50,"C1",B70&gt;40,"C2")</f>
        <v>A2</v>
      </c>
      <c r="D70">
        <v>86</v>
      </c>
      <c r="E70" t="str" cm="1">
        <f t="array" ref="E70">_xlfn.IFS(Table1[[#This Row],[Previous Marks]]&gt;90,"A1",Table1[[#This Row],[Previous Marks]]&gt;80,"A2",Table1[[#This Row],[Previous Marks]]&gt;70,"B1",Table1[[#This Row],[Previous Marks]]&gt;60,"B2",Table1[[#This Row],[Previous Marks]]&gt;50,"C1",Table1[[#This Row],[Previous Marks]]&gt;40,"C2")</f>
        <v>A2</v>
      </c>
      <c r="F70">
        <v>95</v>
      </c>
    </row>
    <row r="71" spans="2:6" x14ac:dyDescent="0.3">
      <c r="B71">
        <v>92</v>
      </c>
      <c r="C71" t="str" cm="1">
        <f t="array" ref="C71">_xlfn.IFS(B71&gt;90,"A1",B71&gt;80,"A2",B71&gt;70,"B1",B71&gt;60,"B2",B71&gt;50,"C1",B71&gt;40,"C2")</f>
        <v>A1</v>
      </c>
      <c r="D71">
        <v>60</v>
      </c>
      <c r="E71" t="str" cm="1">
        <f t="array" ref="E71">_xlfn.IFS(Table1[[#This Row],[Previous Marks]]&gt;90,"A1",Table1[[#This Row],[Previous Marks]]&gt;80,"A2",Table1[[#This Row],[Previous Marks]]&gt;70,"B1",Table1[[#This Row],[Previous Marks]]&gt;60,"B2",Table1[[#This Row],[Previous Marks]]&gt;50,"C1",Table1[[#This Row],[Previous Marks]]&gt;40,"C2")</f>
        <v>C1</v>
      </c>
      <c r="F71">
        <v>88</v>
      </c>
    </row>
    <row r="72" spans="2:6" x14ac:dyDescent="0.3">
      <c r="B72">
        <v>72</v>
      </c>
      <c r="C72" t="str" cm="1">
        <f t="array" ref="C72">_xlfn.IFS(B72&gt;90,"A1",B72&gt;80,"A2",B72&gt;70,"B1",B72&gt;60,"B2",B72&gt;50,"C1",B72&gt;40,"C2")</f>
        <v>B1</v>
      </c>
      <c r="D72">
        <v>86</v>
      </c>
      <c r="E72" t="str" cm="1">
        <f t="array" ref="E72">_xlfn.IFS(Table1[[#This Row],[Previous Marks]]&gt;90,"A1",Table1[[#This Row],[Previous Marks]]&gt;80,"A2",Table1[[#This Row],[Previous Marks]]&gt;70,"B1",Table1[[#This Row],[Previous Marks]]&gt;60,"B2",Table1[[#This Row],[Previous Marks]]&gt;50,"C1",Table1[[#This Row],[Previous Marks]]&gt;40,"C2")</f>
        <v>A2</v>
      </c>
      <c r="F72">
        <v>91</v>
      </c>
    </row>
    <row r="73" spans="2:6" x14ac:dyDescent="0.3">
      <c r="B73">
        <v>90</v>
      </c>
      <c r="C73" t="str" cm="1">
        <f t="array" ref="C73">_xlfn.IFS(B73&gt;90,"A1",B73&gt;80,"A2",B73&gt;70,"B1",B73&gt;60,"B2",B73&gt;50,"C1",B73&gt;40,"C2")</f>
        <v>A2</v>
      </c>
      <c r="D73">
        <v>77</v>
      </c>
      <c r="E73" t="str" cm="1">
        <f t="array" ref="E73">_xlfn.IFS(Table1[[#This Row],[Previous Marks]]&gt;90,"A1",Table1[[#This Row],[Previous Marks]]&gt;80,"A2",Table1[[#This Row],[Previous Marks]]&gt;70,"B1",Table1[[#This Row],[Previous Marks]]&gt;60,"B2",Table1[[#This Row],[Previous Marks]]&gt;50,"C1",Table1[[#This Row],[Previous Marks]]&gt;40,"C2")</f>
        <v>B1</v>
      </c>
      <c r="F73">
        <v>85</v>
      </c>
    </row>
    <row r="74" spans="2:6" x14ac:dyDescent="0.3">
      <c r="B74">
        <v>78</v>
      </c>
      <c r="C74" t="str" cm="1">
        <f t="array" ref="C74">_xlfn.IFS(B74&gt;90,"A1",B74&gt;80,"A2",B74&gt;70,"B1",B74&gt;60,"B2",B74&gt;50,"C1",B74&gt;40,"C2")</f>
        <v>B1</v>
      </c>
      <c r="D74">
        <v>86</v>
      </c>
      <c r="E74" t="str" cm="1">
        <f t="array" ref="E74">_xlfn.IFS(Table1[[#This Row],[Previous Marks]]&gt;90,"A1",Table1[[#This Row],[Previous Marks]]&gt;80,"A2",Table1[[#This Row],[Previous Marks]]&gt;70,"B1",Table1[[#This Row],[Previous Marks]]&gt;60,"B2",Table1[[#This Row],[Previous Marks]]&gt;50,"C1",Table1[[#This Row],[Previous Marks]]&gt;40,"C2")</f>
        <v>A2</v>
      </c>
      <c r="F74">
        <v>82</v>
      </c>
    </row>
    <row r="75" spans="2:6" x14ac:dyDescent="0.3">
      <c r="B75">
        <v>88</v>
      </c>
      <c r="C75" t="str" cm="1">
        <f t="array" ref="C75">_xlfn.IFS(B75&gt;90,"A1",B75&gt;80,"A2",B75&gt;70,"B1",B75&gt;60,"B2",B75&gt;50,"C1",B75&gt;40,"C2")</f>
        <v>A2</v>
      </c>
      <c r="D75">
        <v>77</v>
      </c>
      <c r="E75" t="str" cm="1">
        <f t="array" ref="E75">_xlfn.IFS(Table1[[#This Row],[Previous Marks]]&gt;90,"A1",Table1[[#This Row],[Previous Marks]]&gt;80,"A2",Table1[[#This Row],[Previous Marks]]&gt;70,"B1",Table1[[#This Row],[Previous Marks]]&gt;60,"B2",Table1[[#This Row],[Previous Marks]]&gt;50,"C1",Table1[[#This Row],[Previous Marks]]&gt;40,"C2")</f>
        <v>B1</v>
      </c>
      <c r="F75">
        <v>90</v>
      </c>
    </row>
    <row r="76" spans="2:6" x14ac:dyDescent="0.3">
      <c r="B76">
        <v>85</v>
      </c>
      <c r="C76" t="str" cm="1">
        <f t="array" ref="C76">_xlfn.IFS(B76&gt;90,"A1",B76&gt;80,"A2",B76&gt;70,"B1",B76&gt;60,"B2",B76&gt;50,"C1",B76&gt;40,"C2")</f>
        <v>A2</v>
      </c>
      <c r="D76">
        <v>77</v>
      </c>
      <c r="E76" t="str" cm="1">
        <f t="array" ref="E76">_xlfn.IFS(Table1[[#This Row],[Previous Marks]]&gt;90,"A1",Table1[[#This Row],[Previous Marks]]&gt;80,"A2",Table1[[#This Row],[Previous Marks]]&gt;70,"B1",Table1[[#This Row],[Previous Marks]]&gt;60,"B2",Table1[[#This Row],[Previous Marks]]&gt;50,"C1",Table1[[#This Row],[Previous Marks]]&gt;40,"C2")</f>
        <v>B1</v>
      </c>
      <c r="F76">
        <v>95</v>
      </c>
    </row>
    <row r="77" spans="2:6" x14ac:dyDescent="0.3">
      <c r="B77">
        <v>92</v>
      </c>
      <c r="C77" t="str" cm="1">
        <f t="array" ref="C77">_xlfn.IFS(B77&gt;90,"A1",B77&gt;80,"A2",B77&gt;70,"B1",B77&gt;60,"B2",B77&gt;50,"C1",B77&gt;40,"C2")</f>
        <v>A1</v>
      </c>
      <c r="D77">
        <v>60</v>
      </c>
      <c r="E77" t="str" cm="1">
        <f t="array" ref="E77">_xlfn.IFS(Table1[[#This Row],[Previous Marks]]&gt;90,"A1",Table1[[#This Row],[Previous Marks]]&gt;80,"A2",Table1[[#This Row],[Previous Marks]]&gt;70,"B1",Table1[[#This Row],[Previous Marks]]&gt;60,"B2",Table1[[#This Row],[Previous Marks]]&gt;50,"C1",Table1[[#This Row],[Previous Marks]]&gt;40,"C2")</f>
        <v>C1</v>
      </c>
      <c r="F77">
        <v>90</v>
      </c>
    </row>
    <row r="78" spans="2:6" x14ac:dyDescent="0.3">
      <c r="B78">
        <v>92</v>
      </c>
      <c r="C78" t="str" cm="1">
        <f t="array" ref="C78">_xlfn.IFS(B78&gt;90,"A1",B78&gt;80,"A2",B78&gt;70,"B1",B78&gt;60,"B2",B78&gt;50,"C1",B78&gt;40,"C2")</f>
        <v>A1</v>
      </c>
      <c r="D78">
        <v>90</v>
      </c>
      <c r="E78" t="str" cm="1">
        <f t="array" ref="E78">_xlfn.IFS(Table1[[#This Row],[Previous Marks]]&gt;90,"A1",Table1[[#This Row],[Previous Marks]]&gt;80,"A2",Table1[[#This Row],[Previous Marks]]&gt;70,"B1",Table1[[#This Row],[Previous Marks]]&gt;60,"B2",Table1[[#This Row],[Previous Marks]]&gt;50,"C1",Table1[[#This Row],[Previous Marks]]&gt;40,"C2")</f>
        <v>A2</v>
      </c>
      <c r="F78">
        <v>90</v>
      </c>
    </row>
    <row r="79" spans="2:6" x14ac:dyDescent="0.3">
      <c r="B79">
        <v>78</v>
      </c>
      <c r="C79" t="str" cm="1">
        <f t="array" ref="C79">_xlfn.IFS(B79&gt;90,"A1",B79&gt;80,"A2",B79&gt;70,"B1",B79&gt;60,"B2",B79&gt;50,"C1",B79&gt;40,"C2")</f>
        <v>B1</v>
      </c>
      <c r="D79">
        <v>88</v>
      </c>
      <c r="E79" t="str" cm="1">
        <f t="array" ref="E79">_xlfn.IFS(Table1[[#This Row],[Previous Marks]]&gt;90,"A1",Table1[[#This Row],[Previous Marks]]&gt;80,"A2",Table1[[#This Row],[Previous Marks]]&gt;70,"B1",Table1[[#This Row],[Previous Marks]]&gt;60,"B2",Table1[[#This Row],[Previous Marks]]&gt;50,"C1",Table1[[#This Row],[Previous Marks]]&gt;40,"C2")</f>
        <v>A2</v>
      </c>
      <c r="F79">
        <v>70</v>
      </c>
    </row>
    <row r="80" spans="2:6" x14ac:dyDescent="0.3">
      <c r="B80">
        <v>92</v>
      </c>
      <c r="C80" t="str" cm="1">
        <f t="array" ref="C80">_xlfn.IFS(B80&gt;90,"A1",B80&gt;80,"A2",B80&gt;70,"B1",B80&gt;60,"B2",B80&gt;50,"C1",B80&gt;40,"C2")</f>
        <v>A1</v>
      </c>
      <c r="D80">
        <v>70</v>
      </c>
      <c r="E80" t="str" cm="1">
        <f t="array" ref="E80">_xlfn.IFS(Table1[[#This Row],[Previous Marks]]&gt;90,"A1",Table1[[#This Row],[Previous Marks]]&gt;80,"A2",Table1[[#This Row],[Previous Marks]]&gt;70,"B1",Table1[[#This Row],[Previous Marks]]&gt;60,"B2",Table1[[#This Row],[Previous Marks]]&gt;50,"C1",Table1[[#This Row],[Previous Marks]]&gt;40,"C2")</f>
        <v>B2</v>
      </c>
      <c r="F80">
        <v>95</v>
      </c>
    </row>
    <row r="81" spans="2:6" x14ac:dyDescent="0.3">
      <c r="B81">
        <v>80</v>
      </c>
      <c r="C81" t="str" cm="1">
        <f t="array" ref="C81">_xlfn.IFS(B81&gt;90,"A1",B81&gt;80,"A2",B81&gt;70,"B1",B81&gt;60,"B2",B81&gt;50,"C1",B81&gt;40,"C2")</f>
        <v>B1</v>
      </c>
      <c r="D81">
        <v>88</v>
      </c>
      <c r="E81" t="str" cm="1">
        <f t="array" ref="E81">_xlfn.IFS(Table1[[#This Row],[Previous Marks]]&gt;90,"A1",Table1[[#This Row],[Previous Marks]]&gt;80,"A2",Table1[[#This Row],[Previous Marks]]&gt;70,"B1",Table1[[#This Row],[Previous Marks]]&gt;60,"B2",Table1[[#This Row],[Previous Marks]]&gt;50,"C1",Table1[[#This Row],[Previous Marks]]&gt;40,"C2")</f>
        <v>A2</v>
      </c>
      <c r="F81">
        <v>88</v>
      </c>
    </row>
    <row r="82" spans="2:6" x14ac:dyDescent="0.3">
      <c r="B82">
        <v>80</v>
      </c>
      <c r="C82" t="str" cm="1">
        <f t="array" ref="C82">_xlfn.IFS(B82&gt;90,"A1",B82&gt;80,"A2",B82&gt;70,"B1",B82&gt;60,"B2",B82&gt;50,"C1",B82&gt;40,"C2")</f>
        <v>B1</v>
      </c>
      <c r="D82">
        <v>77.598759048603924</v>
      </c>
      <c r="E82" t="str" cm="1">
        <f t="array" ref="E82">_xlfn.IFS(Table1[[#This Row],[Previous Marks]]&gt;90,"A1",Table1[[#This Row],[Previous Marks]]&gt;80,"A2",Table1[[#This Row],[Previous Marks]]&gt;70,"B1",Table1[[#This Row],[Previous Marks]]&gt;60,"B2",Table1[[#This Row],[Previous Marks]]&gt;50,"C1",Table1[[#This Row],[Previous Marks]]&gt;40,"C2")</f>
        <v>B1</v>
      </c>
      <c r="F82">
        <v>82</v>
      </c>
    </row>
    <row r="83" spans="2:6" x14ac:dyDescent="0.3">
      <c r="B83">
        <v>87</v>
      </c>
      <c r="C83" t="str" cm="1">
        <f t="array" ref="C83">_xlfn.IFS(B83&gt;90,"A1",B83&gt;80,"A2",B83&gt;70,"B1",B83&gt;60,"B2",B83&gt;50,"C1",B83&gt;40,"C2")</f>
        <v>A2</v>
      </c>
      <c r="D83">
        <v>82</v>
      </c>
      <c r="E83" t="str" cm="1">
        <f t="array" ref="E83">_xlfn.IFS(Table1[[#This Row],[Previous Marks]]&gt;90,"A1",Table1[[#This Row],[Previous Marks]]&gt;80,"A2",Table1[[#This Row],[Previous Marks]]&gt;70,"B1",Table1[[#This Row],[Previous Marks]]&gt;60,"B2",Table1[[#This Row],[Previous Marks]]&gt;50,"C1",Table1[[#This Row],[Previous Marks]]&gt;40,"C2")</f>
        <v>A2</v>
      </c>
      <c r="F83">
        <v>78</v>
      </c>
    </row>
    <row r="84" spans="2:6" x14ac:dyDescent="0.3">
      <c r="B84">
        <v>72</v>
      </c>
      <c r="C84" t="str" cm="1">
        <f t="array" ref="C84">_xlfn.IFS(B84&gt;90,"A1",B84&gt;80,"A2",B84&gt;70,"B1",B84&gt;60,"B2",B84&gt;50,"C1",B84&gt;40,"C2")</f>
        <v>B1</v>
      </c>
      <c r="D84">
        <v>85</v>
      </c>
      <c r="E84" t="str" cm="1">
        <f t="array" ref="E84">_xlfn.IFS(Table1[[#This Row],[Previous Marks]]&gt;90,"A1",Table1[[#This Row],[Previous Marks]]&gt;80,"A2",Table1[[#This Row],[Previous Marks]]&gt;70,"B1",Table1[[#This Row],[Previous Marks]]&gt;60,"B2",Table1[[#This Row],[Previous Marks]]&gt;50,"C1",Table1[[#This Row],[Previous Marks]]&gt;40,"C2")</f>
        <v>A2</v>
      </c>
      <c r="F84">
        <v>91</v>
      </c>
    </row>
    <row r="85" spans="2:6" x14ac:dyDescent="0.3">
      <c r="B85">
        <v>85</v>
      </c>
      <c r="C85" t="str" cm="1">
        <f t="array" ref="C85">_xlfn.IFS(B85&gt;90,"A1",B85&gt;80,"A2",B85&gt;70,"B1",B85&gt;60,"B2",B85&gt;50,"C1",B85&gt;40,"C2")</f>
        <v>A2</v>
      </c>
      <c r="D85">
        <v>82</v>
      </c>
      <c r="E85" t="str" cm="1">
        <f t="array" ref="E85">_xlfn.IFS(Table1[[#This Row],[Previous Marks]]&gt;90,"A1",Table1[[#This Row],[Previous Marks]]&gt;80,"A2",Table1[[#This Row],[Previous Marks]]&gt;70,"B1",Table1[[#This Row],[Previous Marks]]&gt;60,"B2",Table1[[#This Row],[Previous Marks]]&gt;50,"C1",Table1[[#This Row],[Previous Marks]]&gt;40,"C2")</f>
        <v>A2</v>
      </c>
      <c r="F85">
        <v>85</v>
      </c>
    </row>
    <row r="86" spans="2:6" x14ac:dyDescent="0.3">
      <c r="B86">
        <v>72</v>
      </c>
      <c r="C86" t="str" cm="1">
        <f t="array" ref="C86">_xlfn.IFS(B86&gt;90,"A1",B86&gt;80,"A2",B86&gt;70,"B1",B86&gt;60,"B2",B86&gt;50,"C1",B86&gt;40,"C2")</f>
        <v>B1</v>
      </c>
      <c r="D86">
        <v>65</v>
      </c>
      <c r="E86" t="str" cm="1">
        <f t="array" ref="E86">_xlfn.IFS(Table1[[#This Row],[Previous Marks]]&gt;90,"A1",Table1[[#This Row],[Previous Marks]]&gt;80,"A2",Table1[[#This Row],[Previous Marks]]&gt;70,"B1",Table1[[#This Row],[Previous Marks]]&gt;60,"B2",Table1[[#This Row],[Previous Marks]]&gt;50,"C1",Table1[[#This Row],[Previous Marks]]&gt;40,"C2")</f>
        <v>B2</v>
      </c>
      <c r="F86">
        <v>88</v>
      </c>
    </row>
    <row r="87" spans="2:6" x14ac:dyDescent="0.3">
      <c r="B87">
        <v>80.030208333333334</v>
      </c>
      <c r="C87" t="str" cm="1">
        <f t="array" ref="C87">_xlfn.IFS(B87&gt;90,"A1",B87&gt;80,"A2",B87&gt;70,"B1",B87&gt;60,"B2",B87&gt;50,"C1",B87&gt;40,"C2")</f>
        <v>A2</v>
      </c>
      <c r="D87">
        <v>90</v>
      </c>
      <c r="E87" t="str" cm="1">
        <f t="array" ref="E87">_xlfn.IFS(Table1[[#This Row],[Previous Marks]]&gt;90,"A1",Table1[[#This Row],[Previous Marks]]&gt;80,"A2",Table1[[#This Row],[Previous Marks]]&gt;70,"B1",Table1[[#This Row],[Previous Marks]]&gt;60,"B2",Table1[[#This Row],[Previous Marks]]&gt;50,"C1",Table1[[#This Row],[Previous Marks]]&gt;40,"C2")</f>
        <v>A2</v>
      </c>
      <c r="F87">
        <v>88</v>
      </c>
    </row>
    <row r="88" spans="2:6" x14ac:dyDescent="0.3">
      <c r="B88">
        <v>92</v>
      </c>
      <c r="C88" t="str" cm="1">
        <f t="array" ref="C88">_xlfn.IFS(B88&gt;90,"A1",B88&gt;80,"A2",B88&gt;70,"B1",B88&gt;60,"B2",B88&gt;50,"C1",B88&gt;40,"C2")</f>
        <v>A1</v>
      </c>
      <c r="D88">
        <v>60</v>
      </c>
      <c r="E88" t="str" cm="1">
        <f t="array" ref="E88">_xlfn.IFS(Table1[[#This Row],[Previous Marks]]&gt;90,"A1",Table1[[#This Row],[Previous Marks]]&gt;80,"A2",Table1[[#This Row],[Previous Marks]]&gt;70,"B1",Table1[[#This Row],[Previous Marks]]&gt;60,"B2",Table1[[#This Row],[Previous Marks]]&gt;50,"C1",Table1[[#This Row],[Previous Marks]]&gt;40,"C2")</f>
        <v>C1</v>
      </c>
      <c r="F88">
        <v>91</v>
      </c>
    </row>
    <row r="89" spans="2:6" x14ac:dyDescent="0.3">
      <c r="B89">
        <v>78</v>
      </c>
      <c r="C89" t="str" cm="1">
        <f t="array" ref="C89">_xlfn.IFS(B89&gt;90,"A1",B89&gt;80,"A2",B89&gt;70,"B1",B89&gt;60,"B2",B89&gt;50,"C1",B89&gt;40,"C2")</f>
        <v>B1</v>
      </c>
      <c r="D89">
        <v>86</v>
      </c>
      <c r="E89" t="str" cm="1">
        <f t="array" ref="E89">_xlfn.IFS(Table1[[#This Row],[Previous Marks]]&gt;90,"A1",Table1[[#This Row],[Previous Marks]]&gt;80,"A2",Table1[[#This Row],[Previous Marks]]&gt;70,"B1",Table1[[#This Row],[Previous Marks]]&gt;60,"B2",Table1[[#This Row],[Previous Marks]]&gt;50,"C1",Table1[[#This Row],[Previous Marks]]&gt;40,"C2")</f>
        <v>A2</v>
      </c>
      <c r="F89">
        <v>78</v>
      </c>
    </row>
    <row r="90" spans="2:6" x14ac:dyDescent="0.3">
      <c r="B90">
        <v>88</v>
      </c>
      <c r="C90" t="str" cm="1">
        <f t="array" ref="C90">_xlfn.IFS(B90&gt;90,"A1",B90&gt;80,"A2",B90&gt;70,"B1",B90&gt;60,"B2",B90&gt;50,"C1",B90&gt;40,"C2")</f>
        <v>A2</v>
      </c>
      <c r="D90">
        <v>77</v>
      </c>
      <c r="E90" t="str" cm="1">
        <f t="array" ref="E90">_xlfn.IFS(Table1[[#This Row],[Previous Marks]]&gt;90,"A1",Table1[[#This Row],[Previous Marks]]&gt;80,"A2",Table1[[#This Row],[Previous Marks]]&gt;70,"B1",Table1[[#This Row],[Previous Marks]]&gt;60,"B2",Table1[[#This Row],[Previous Marks]]&gt;50,"C1",Table1[[#This Row],[Previous Marks]]&gt;40,"C2")</f>
        <v>B1</v>
      </c>
      <c r="F90">
        <v>82</v>
      </c>
    </row>
    <row r="91" spans="2:6" x14ac:dyDescent="0.3">
      <c r="B91">
        <v>85</v>
      </c>
      <c r="C91" t="str" cm="1">
        <f t="array" ref="C91">_xlfn.IFS(B91&gt;90,"A1",B91&gt;80,"A2",B91&gt;70,"B1",B91&gt;60,"B2",B91&gt;50,"C1",B91&gt;40,"C2")</f>
        <v>A2</v>
      </c>
      <c r="D91">
        <v>86</v>
      </c>
      <c r="E91" t="str" cm="1">
        <f t="array" ref="E91">_xlfn.IFS(Table1[[#This Row],[Previous Marks]]&gt;90,"A1",Table1[[#This Row],[Previous Marks]]&gt;80,"A2",Table1[[#This Row],[Previous Marks]]&gt;70,"B1",Table1[[#This Row],[Previous Marks]]&gt;60,"B2",Table1[[#This Row],[Previous Marks]]&gt;50,"C1",Table1[[#This Row],[Previous Marks]]&gt;40,"C2")</f>
        <v>A2</v>
      </c>
      <c r="F91">
        <v>90</v>
      </c>
    </row>
    <row r="92" spans="2:6" x14ac:dyDescent="0.3">
      <c r="B92">
        <v>78</v>
      </c>
      <c r="C92" t="str" cm="1">
        <f t="array" ref="C92">_xlfn.IFS(B92&gt;90,"A1",B92&gt;80,"A2",B92&gt;70,"B1",B92&gt;60,"B2",B92&gt;50,"C1",B92&gt;40,"C2")</f>
        <v>B1</v>
      </c>
      <c r="D92">
        <v>86</v>
      </c>
      <c r="E92" t="str" cm="1">
        <f t="array" ref="E92">_xlfn.IFS(Table1[[#This Row],[Previous Marks]]&gt;90,"A1",Table1[[#This Row],[Previous Marks]]&gt;80,"A2",Table1[[#This Row],[Previous Marks]]&gt;70,"B1",Table1[[#This Row],[Previous Marks]]&gt;60,"B2",Table1[[#This Row],[Previous Marks]]&gt;50,"C1",Table1[[#This Row],[Previous Marks]]&gt;40,"C2")</f>
        <v>A2</v>
      </c>
      <c r="F92">
        <v>88</v>
      </c>
    </row>
    <row r="93" spans="2:6" x14ac:dyDescent="0.3">
      <c r="B93">
        <v>78</v>
      </c>
      <c r="C93" t="str" cm="1">
        <f t="array" ref="C93">_xlfn.IFS(B93&gt;90,"A1",B93&gt;80,"A2",B93&gt;70,"B1",B93&gt;60,"B2",B93&gt;50,"C1",B93&gt;40,"C2")</f>
        <v>B1</v>
      </c>
      <c r="D93">
        <v>65</v>
      </c>
      <c r="E93" t="str" cm="1">
        <f t="array" ref="E93">_xlfn.IFS(Table1[[#This Row],[Previous Marks]]&gt;90,"A1",Table1[[#This Row],[Previous Marks]]&gt;80,"A2",Table1[[#This Row],[Previous Marks]]&gt;70,"B1",Table1[[#This Row],[Previous Marks]]&gt;60,"B2",Table1[[#This Row],[Previous Marks]]&gt;50,"C1",Table1[[#This Row],[Previous Marks]]&gt;40,"C2")</f>
        <v>B2</v>
      </c>
      <c r="F93">
        <v>95</v>
      </c>
    </row>
    <row r="94" spans="2:6" x14ac:dyDescent="0.3">
      <c r="B94">
        <v>72</v>
      </c>
      <c r="C94" t="str" cm="1">
        <f t="array" ref="C94">_xlfn.IFS(B94&gt;90,"A1",B94&gt;80,"A2",B94&gt;70,"B1",B94&gt;60,"B2",B94&gt;50,"C1",B94&gt;40,"C2")</f>
        <v>B1</v>
      </c>
      <c r="D94">
        <v>88</v>
      </c>
      <c r="E94" t="str" cm="1">
        <f t="array" ref="E94">_xlfn.IFS(Table1[[#This Row],[Previous Marks]]&gt;90,"A1",Table1[[#This Row],[Previous Marks]]&gt;80,"A2",Table1[[#This Row],[Previous Marks]]&gt;70,"B1",Table1[[#This Row],[Previous Marks]]&gt;60,"B2",Table1[[#This Row],[Previous Marks]]&gt;50,"C1",Table1[[#This Row],[Previous Marks]]&gt;40,"C2")</f>
        <v>A2</v>
      </c>
      <c r="F94">
        <v>95</v>
      </c>
    </row>
    <row r="95" spans="2:6" x14ac:dyDescent="0.3">
      <c r="B95">
        <v>78</v>
      </c>
      <c r="C95" t="str" cm="1">
        <f t="array" ref="C95">_xlfn.IFS(B95&gt;90,"A1",B95&gt;80,"A2",B95&gt;70,"B1",B95&gt;60,"B2",B95&gt;50,"C1",B95&gt;40,"C2")</f>
        <v>B1</v>
      </c>
      <c r="D95">
        <v>88</v>
      </c>
      <c r="E95" t="str" cm="1">
        <f t="array" ref="E95">_xlfn.IFS(Table1[[#This Row],[Previous Marks]]&gt;90,"A1",Table1[[#This Row],[Previous Marks]]&gt;80,"A2",Table1[[#This Row],[Previous Marks]]&gt;70,"B1",Table1[[#This Row],[Previous Marks]]&gt;60,"B2",Table1[[#This Row],[Previous Marks]]&gt;50,"C1",Table1[[#This Row],[Previous Marks]]&gt;40,"C2")</f>
        <v>A2</v>
      </c>
      <c r="F95">
        <v>92</v>
      </c>
    </row>
    <row r="96" spans="2:6" x14ac:dyDescent="0.3">
      <c r="B96">
        <v>88</v>
      </c>
      <c r="C96" t="str" cm="1">
        <f t="array" ref="C96">_xlfn.IFS(B96&gt;90,"A1",B96&gt;80,"A2",B96&gt;70,"B1",B96&gt;60,"B2",B96&gt;50,"C1",B96&gt;40,"C2")</f>
        <v>A2</v>
      </c>
      <c r="D96">
        <v>77</v>
      </c>
      <c r="E96" t="str" cm="1">
        <f t="array" ref="E96">_xlfn.IFS(Table1[[#This Row],[Previous Marks]]&gt;90,"A1",Table1[[#This Row],[Previous Marks]]&gt;80,"A2",Table1[[#This Row],[Previous Marks]]&gt;70,"B1",Table1[[#This Row],[Previous Marks]]&gt;60,"B2",Table1[[#This Row],[Previous Marks]]&gt;50,"C1",Table1[[#This Row],[Previous Marks]]&gt;40,"C2")</f>
        <v>B1</v>
      </c>
      <c r="F96">
        <v>88</v>
      </c>
    </row>
    <row r="97" spans="2:6" x14ac:dyDescent="0.3">
      <c r="B97">
        <v>78</v>
      </c>
      <c r="C97" t="str" cm="1">
        <f t="array" ref="C97">_xlfn.IFS(B97&gt;90,"A1",B97&gt;80,"A2",B97&gt;70,"B1",B97&gt;60,"B2",B97&gt;50,"C1",B97&gt;40,"C2")</f>
        <v>B1</v>
      </c>
      <c r="D97">
        <v>85</v>
      </c>
      <c r="E97" t="str" cm="1">
        <f t="array" ref="E97">_xlfn.IFS(Table1[[#This Row],[Previous Marks]]&gt;90,"A1",Table1[[#This Row],[Previous Marks]]&gt;80,"A2",Table1[[#This Row],[Previous Marks]]&gt;70,"B1",Table1[[#This Row],[Previous Marks]]&gt;60,"B2",Table1[[#This Row],[Previous Marks]]&gt;50,"C1",Table1[[#This Row],[Previous Marks]]&gt;40,"C2")</f>
        <v>A2</v>
      </c>
      <c r="F97">
        <v>82</v>
      </c>
    </row>
    <row r="98" spans="2:6" x14ac:dyDescent="0.3">
      <c r="B98">
        <v>92</v>
      </c>
      <c r="C98" t="str" cm="1">
        <f t="array" ref="C98">_xlfn.IFS(B98&gt;90,"A1",B98&gt;80,"A2",B98&gt;70,"B1",B98&gt;60,"B2",B98&gt;50,"C1",B98&gt;40,"C2")</f>
        <v>A1</v>
      </c>
      <c r="D98">
        <v>60</v>
      </c>
      <c r="E98" t="str" cm="1">
        <f t="array" ref="E98">_xlfn.IFS(Table1[[#This Row],[Previous Marks]]&gt;90,"A1",Table1[[#This Row],[Previous Marks]]&gt;80,"A2",Table1[[#This Row],[Previous Marks]]&gt;70,"B1",Table1[[#This Row],[Previous Marks]]&gt;60,"B2",Table1[[#This Row],[Previous Marks]]&gt;50,"C1",Table1[[#This Row],[Previous Marks]]&gt;40,"C2")</f>
        <v>C1</v>
      </c>
      <c r="F98">
        <v>82</v>
      </c>
    </row>
    <row r="99" spans="2:6" x14ac:dyDescent="0.3">
      <c r="B99">
        <v>85</v>
      </c>
      <c r="C99" t="str" cm="1">
        <f t="array" ref="C99">_xlfn.IFS(B99&gt;90,"A1",B99&gt;80,"A2",B99&gt;70,"B1",B99&gt;60,"B2",B99&gt;50,"C1",B99&gt;40,"C2")</f>
        <v>A2</v>
      </c>
      <c r="D99">
        <v>60</v>
      </c>
      <c r="E99" t="str" cm="1">
        <f t="array" ref="E99">_xlfn.IFS(Table1[[#This Row],[Previous Marks]]&gt;90,"A1",Table1[[#This Row],[Previous Marks]]&gt;80,"A2",Table1[[#This Row],[Previous Marks]]&gt;70,"B1",Table1[[#This Row],[Previous Marks]]&gt;60,"B2",Table1[[#This Row],[Previous Marks]]&gt;50,"C1",Table1[[#This Row],[Previous Marks]]&gt;40,"C2")</f>
        <v>C1</v>
      </c>
      <c r="F99">
        <v>90</v>
      </c>
    </row>
    <row r="100" spans="2:6" x14ac:dyDescent="0.3">
      <c r="B100">
        <v>72</v>
      </c>
      <c r="C100" t="str" cm="1">
        <f t="array" ref="C100">_xlfn.IFS(B100&gt;90,"A1",B100&gt;80,"A2",B100&gt;70,"B1",B100&gt;60,"B2",B100&gt;50,"C1",B100&gt;40,"C2")</f>
        <v>B1</v>
      </c>
      <c r="D100">
        <v>77</v>
      </c>
      <c r="E100" t="str" cm="1">
        <f t="array" ref="E100">_xlfn.IFS(Table1[[#This Row],[Previous Marks]]&gt;90,"A1",Table1[[#This Row],[Previous Marks]]&gt;80,"A2",Table1[[#This Row],[Previous Marks]]&gt;70,"B1",Table1[[#This Row],[Previous Marks]]&gt;60,"B2",Table1[[#This Row],[Previous Marks]]&gt;50,"C1",Table1[[#This Row],[Previous Marks]]&gt;40,"C2")</f>
        <v>B1</v>
      </c>
      <c r="F100">
        <v>85</v>
      </c>
    </row>
    <row r="101" spans="2:6" x14ac:dyDescent="0.3">
      <c r="B101">
        <v>80</v>
      </c>
      <c r="C101" t="str" cm="1">
        <f t="array" ref="C101">_xlfn.IFS(B101&gt;90,"A1",B101&gt;80,"A2",B101&gt;70,"B1",B101&gt;60,"B2",B101&gt;50,"C1",B101&gt;40,"C2")</f>
        <v>B1</v>
      </c>
      <c r="D101">
        <v>60</v>
      </c>
      <c r="E101" t="str" cm="1">
        <f t="array" ref="E101">_xlfn.IFS(Table1[[#This Row],[Previous Marks]]&gt;90,"A1",Table1[[#This Row],[Previous Marks]]&gt;80,"A2",Table1[[#This Row],[Previous Marks]]&gt;70,"B1",Table1[[#This Row],[Previous Marks]]&gt;60,"B2",Table1[[#This Row],[Previous Marks]]&gt;50,"C1",Table1[[#This Row],[Previous Marks]]&gt;40,"C2")</f>
        <v>C1</v>
      </c>
      <c r="F101">
        <v>92</v>
      </c>
    </row>
    <row r="102" spans="2:6" x14ac:dyDescent="0.3">
      <c r="B102">
        <v>90</v>
      </c>
      <c r="C102" t="str" cm="1">
        <f t="array" ref="C102">_xlfn.IFS(B102&gt;90,"A1",B102&gt;80,"A2",B102&gt;70,"B1",B102&gt;60,"B2",B102&gt;50,"C1",B102&gt;40,"C2")</f>
        <v>A2</v>
      </c>
      <c r="D102">
        <v>65</v>
      </c>
      <c r="E102" t="str" cm="1">
        <f t="array" ref="E102">_xlfn.IFS(Table1[[#This Row],[Previous Marks]]&gt;90,"A1",Table1[[#This Row],[Previous Marks]]&gt;80,"A2",Table1[[#This Row],[Previous Marks]]&gt;70,"B1",Table1[[#This Row],[Previous Marks]]&gt;60,"B2",Table1[[#This Row],[Previous Marks]]&gt;50,"C1",Table1[[#This Row],[Previous Marks]]&gt;40,"C2")</f>
        <v>B2</v>
      </c>
      <c r="F102">
        <v>85</v>
      </c>
    </row>
    <row r="103" spans="2:6" x14ac:dyDescent="0.3">
      <c r="B103">
        <v>78</v>
      </c>
      <c r="C103" t="str" cm="1">
        <f t="array" ref="C103">_xlfn.IFS(B103&gt;90,"A1",B103&gt;80,"A2",B103&gt;70,"B1",B103&gt;60,"B2",B103&gt;50,"C1",B103&gt;40,"C2")</f>
        <v>B1</v>
      </c>
      <c r="D103">
        <v>60</v>
      </c>
      <c r="E103" t="str" cm="1">
        <f t="array" ref="E103">_xlfn.IFS(Table1[[#This Row],[Previous Marks]]&gt;90,"A1",Table1[[#This Row],[Previous Marks]]&gt;80,"A2",Table1[[#This Row],[Previous Marks]]&gt;70,"B1",Table1[[#This Row],[Previous Marks]]&gt;60,"B2",Table1[[#This Row],[Previous Marks]]&gt;50,"C1",Table1[[#This Row],[Previous Marks]]&gt;40,"C2")</f>
        <v>C1</v>
      </c>
      <c r="F103">
        <v>85</v>
      </c>
    </row>
    <row r="104" spans="2:6" x14ac:dyDescent="0.3">
      <c r="B104">
        <v>78</v>
      </c>
      <c r="C104" t="str" cm="1">
        <f t="array" ref="C104">_xlfn.IFS(B104&gt;90,"A1",B104&gt;80,"A2",B104&gt;70,"B1",B104&gt;60,"B2",B104&gt;50,"C1",B104&gt;40,"C2")</f>
        <v>B1</v>
      </c>
      <c r="D104">
        <v>60</v>
      </c>
      <c r="E104" t="str" cm="1">
        <f t="array" ref="E104">_xlfn.IFS(Table1[[#This Row],[Previous Marks]]&gt;90,"A1",Table1[[#This Row],[Previous Marks]]&gt;80,"A2",Table1[[#This Row],[Previous Marks]]&gt;70,"B1",Table1[[#This Row],[Previous Marks]]&gt;60,"B2",Table1[[#This Row],[Previous Marks]]&gt;50,"C1",Table1[[#This Row],[Previous Marks]]&gt;40,"C2")</f>
        <v>C1</v>
      </c>
      <c r="F104">
        <v>95</v>
      </c>
    </row>
    <row r="105" spans="2:6" x14ac:dyDescent="0.3">
      <c r="B105">
        <v>87</v>
      </c>
      <c r="C105" t="str" cm="1">
        <f t="array" ref="C105">_xlfn.IFS(B105&gt;90,"A1",B105&gt;80,"A2",B105&gt;70,"B1",B105&gt;60,"B2",B105&gt;50,"C1",B105&gt;40,"C2")</f>
        <v>A2</v>
      </c>
      <c r="D105">
        <v>60</v>
      </c>
      <c r="E105" t="str" cm="1">
        <f t="array" ref="E105">_xlfn.IFS(Table1[[#This Row],[Previous Marks]]&gt;90,"A1",Table1[[#This Row],[Previous Marks]]&gt;80,"A2",Table1[[#This Row],[Previous Marks]]&gt;70,"B1",Table1[[#This Row],[Previous Marks]]&gt;60,"B2",Table1[[#This Row],[Previous Marks]]&gt;50,"C1",Table1[[#This Row],[Previous Marks]]&gt;40,"C2")</f>
        <v>C1</v>
      </c>
      <c r="F105">
        <v>92</v>
      </c>
    </row>
    <row r="106" spans="2:6" x14ac:dyDescent="0.3">
      <c r="B106">
        <v>62</v>
      </c>
      <c r="C106" t="str" cm="1">
        <f t="array" ref="C106">_xlfn.IFS(B106&gt;90,"A1",B106&gt;80,"A2",B106&gt;70,"B1",B106&gt;60,"B2",B106&gt;50,"C1",B106&gt;40,"C2")</f>
        <v>B2</v>
      </c>
      <c r="D106">
        <v>82</v>
      </c>
      <c r="E106" t="str" cm="1">
        <f t="array" ref="E106">_xlfn.IFS(Table1[[#This Row],[Previous Marks]]&gt;90,"A1",Table1[[#This Row],[Previous Marks]]&gt;80,"A2",Table1[[#This Row],[Previous Marks]]&gt;70,"B1",Table1[[#This Row],[Previous Marks]]&gt;60,"B2",Table1[[#This Row],[Previous Marks]]&gt;50,"C1",Table1[[#This Row],[Previous Marks]]&gt;40,"C2")</f>
        <v>A2</v>
      </c>
      <c r="F106">
        <v>95</v>
      </c>
    </row>
    <row r="107" spans="2:6" x14ac:dyDescent="0.3">
      <c r="B107">
        <v>92</v>
      </c>
      <c r="C107" t="str" cm="1">
        <f t="array" ref="C107">_xlfn.IFS(B107&gt;90,"A1",B107&gt;80,"A2",B107&gt;70,"B1",B107&gt;60,"B2",B107&gt;50,"C1",B107&gt;40,"C2")</f>
        <v>A1</v>
      </c>
      <c r="D107">
        <v>86</v>
      </c>
      <c r="E107" t="str" cm="1">
        <f t="array" ref="E107">_xlfn.IFS(Table1[[#This Row],[Previous Marks]]&gt;90,"A1",Table1[[#This Row],[Previous Marks]]&gt;80,"A2",Table1[[#This Row],[Previous Marks]]&gt;70,"B1",Table1[[#This Row],[Previous Marks]]&gt;60,"B2",Table1[[#This Row],[Previous Marks]]&gt;50,"C1",Table1[[#This Row],[Previous Marks]]&gt;40,"C2")</f>
        <v>A2</v>
      </c>
      <c r="F107">
        <v>78</v>
      </c>
    </row>
    <row r="108" spans="2:6" x14ac:dyDescent="0.3">
      <c r="B108">
        <v>85</v>
      </c>
      <c r="C108" t="str" cm="1">
        <f t="array" ref="C108">_xlfn.IFS(B108&gt;90,"A1",B108&gt;80,"A2",B108&gt;70,"B1",B108&gt;60,"B2",B108&gt;50,"C1",B108&gt;40,"C2")</f>
        <v>A2</v>
      </c>
      <c r="D108">
        <v>82</v>
      </c>
      <c r="E108" t="str" cm="1">
        <f t="array" ref="E108">_xlfn.IFS(Table1[[#This Row],[Previous Marks]]&gt;90,"A1",Table1[[#This Row],[Previous Marks]]&gt;80,"A2",Table1[[#This Row],[Previous Marks]]&gt;70,"B1",Table1[[#This Row],[Previous Marks]]&gt;60,"B2",Table1[[#This Row],[Previous Marks]]&gt;50,"C1",Table1[[#This Row],[Previous Marks]]&gt;40,"C2")</f>
        <v>A2</v>
      </c>
      <c r="F108">
        <v>88</v>
      </c>
    </row>
    <row r="109" spans="2:6" x14ac:dyDescent="0.3">
      <c r="B109">
        <v>85</v>
      </c>
      <c r="C109" t="str" cm="1">
        <f t="array" ref="C109">_xlfn.IFS(B109&gt;90,"A1",B109&gt;80,"A2",B109&gt;70,"B1",B109&gt;60,"B2",B109&gt;50,"C1",B109&gt;40,"C2")</f>
        <v>A2</v>
      </c>
      <c r="D109">
        <v>60</v>
      </c>
      <c r="E109" t="str" cm="1">
        <f t="array" ref="E109">_xlfn.IFS(Table1[[#This Row],[Previous Marks]]&gt;90,"A1",Table1[[#This Row],[Previous Marks]]&gt;80,"A2",Table1[[#This Row],[Previous Marks]]&gt;70,"B1",Table1[[#This Row],[Previous Marks]]&gt;60,"B2",Table1[[#This Row],[Previous Marks]]&gt;50,"C1",Table1[[#This Row],[Previous Marks]]&gt;40,"C2")</f>
        <v>C1</v>
      </c>
      <c r="F109">
        <v>91</v>
      </c>
    </row>
    <row r="110" spans="2:6" x14ac:dyDescent="0.3">
      <c r="B110">
        <v>85</v>
      </c>
      <c r="C110" t="str" cm="1">
        <f t="array" ref="C110">_xlfn.IFS(B110&gt;90,"A1",B110&gt;80,"A2",B110&gt;70,"B1",B110&gt;60,"B2",B110&gt;50,"C1",B110&gt;40,"C2")</f>
        <v>A2</v>
      </c>
      <c r="D110">
        <v>88</v>
      </c>
      <c r="E110" t="str" cm="1">
        <f t="array" ref="E110">_xlfn.IFS(Table1[[#This Row],[Previous Marks]]&gt;90,"A1",Table1[[#This Row],[Previous Marks]]&gt;80,"A2",Table1[[#This Row],[Previous Marks]]&gt;70,"B1",Table1[[#This Row],[Previous Marks]]&gt;60,"B2",Table1[[#This Row],[Previous Marks]]&gt;50,"C1",Table1[[#This Row],[Previous Marks]]&gt;40,"C2")</f>
        <v>A2</v>
      </c>
      <c r="F110">
        <v>70</v>
      </c>
    </row>
    <row r="111" spans="2:6" x14ac:dyDescent="0.3">
      <c r="B111">
        <v>92</v>
      </c>
      <c r="C111" t="str" cm="1">
        <f t="array" ref="C111">_xlfn.IFS(B111&gt;90,"A1",B111&gt;80,"A2",B111&gt;70,"B1",B111&gt;60,"B2",B111&gt;50,"C1",B111&gt;40,"C2")</f>
        <v>A1</v>
      </c>
      <c r="D111">
        <v>86</v>
      </c>
      <c r="E111" t="str" cm="1">
        <f t="array" ref="E111">_xlfn.IFS(Table1[[#This Row],[Previous Marks]]&gt;90,"A1",Table1[[#This Row],[Previous Marks]]&gt;80,"A2",Table1[[#This Row],[Previous Marks]]&gt;70,"B1",Table1[[#This Row],[Previous Marks]]&gt;60,"B2",Table1[[#This Row],[Previous Marks]]&gt;50,"C1",Table1[[#This Row],[Previous Marks]]&gt;40,"C2")</f>
        <v>A2</v>
      </c>
      <c r="F111">
        <v>91</v>
      </c>
    </row>
    <row r="112" spans="2:6" x14ac:dyDescent="0.3">
      <c r="B112">
        <v>80</v>
      </c>
      <c r="C112" t="str" cm="1">
        <f t="array" ref="C112">_xlfn.IFS(B112&gt;90,"A1",B112&gt;80,"A2",B112&gt;70,"B1",B112&gt;60,"B2",B112&gt;50,"C1",B112&gt;40,"C2")</f>
        <v>B1</v>
      </c>
      <c r="D112">
        <v>78</v>
      </c>
      <c r="E112" t="str" cm="1">
        <f t="array" ref="E112">_xlfn.IFS(Table1[[#This Row],[Previous Marks]]&gt;90,"A1",Table1[[#This Row],[Previous Marks]]&gt;80,"A2",Table1[[#This Row],[Previous Marks]]&gt;70,"B1",Table1[[#This Row],[Previous Marks]]&gt;60,"B2",Table1[[#This Row],[Previous Marks]]&gt;50,"C1",Table1[[#This Row],[Previous Marks]]&gt;40,"C2")</f>
        <v>B1</v>
      </c>
      <c r="F112">
        <v>78</v>
      </c>
    </row>
    <row r="113" spans="2:6" x14ac:dyDescent="0.3">
      <c r="B113">
        <v>72</v>
      </c>
      <c r="C113" t="str" cm="1">
        <f t="array" ref="C113">_xlfn.IFS(B113&gt;90,"A1",B113&gt;80,"A2",B113&gt;70,"B1",B113&gt;60,"B2",B113&gt;50,"C1",B113&gt;40,"C2")</f>
        <v>B1</v>
      </c>
      <c r="D113">
        <v>65</v>
      </c>
      <c r="E113" t="str" cm="1">
        <f t="array" ref="E113">_xlfn.IFS(Table1[[#This Row],[Previous Marks]]&gt;90,"A1",Table1[[#This Row],[Previous Marks]]&gt;80,"A2",Table1[[#This Row],[Previous Marks]]&gt;70,"B1",Table1[[#This Row],[Previous Marks]]&gt;60,"B2",Table1[[#This Row],[Previous Marks]]&gt;50,"C1",Table1[[#This Row],[Previous Marks]]&gt;40,"C2")</f>
        <v>B2</v>
      </c>
      <c r="F113">
        <v>95</v>
      </c>
    </row>
    <row r="114" spans="2:6" x14ac:dyDescent="0.3">
      <c r="B114">
        <v>87</v>
      </c>
      <c r="C114" t="str" cm="1">
        <f t="array" ref="C114">_xlfn.IFS(B114&gt;90,"A1",B114&gt;80,"A2",B114&gt;70,"B1",B114&gt;60,"B2",B114&gt;50,"C1",B114&gt;40,"C2")</f>
        <v>A2</v>
      </c>
      <c r="D114">
        <v>88</v>
      </c>
      <c r="E114" t="str" cm="1">
        <f t="array" ref="E114">_xlfn.IFS(Table1[[#This Row],[Previous Marks]]&gt;90,"A1",Table1[[#This Row],[Previous Marks]]&gt;80,"A2",Table1[[#This Row],[Previous Marks]]&gt;70,"B1",Table1[[#This Row],[Previous Marks]]&gt;60,"B2",Table1[[#This Row],[Previous Marks]]&gt;50,"C1",Table1[[#This Row],[Previous Marks]]&gt;40,"C2")</f>
        <v>A2</v>
      </c>
      <c r="F114">
        <v>85</v>
      </c>
    </row>
    <row r="115" spans="2:6" x14ac:dyDescent="0.3">
      <c r="B115">
        <v>78</v>
      </c>
      <c r="C115" t="str" cm="1">
        <f t="array" ref="C115">_xlfn.IFS(B115&gt;90,"A1",B115&gt;80,"A2",B115&gt;70,"B1",B115&gt;60,"B2",B115&gt;50,"C1",B115&gt;40,"C2")</f>
        <v>B1</v>
      </c>
      <c r="D115">
        <v>82</v>
      </c>
      <c r="E115" t="str" cm="1">
        <f t="array" ref="E115">_xlfn.IFS(Table1[[#This Row],[Previous Marks]]&gt;90,"A1",Table1[[#This Row],[Previous Marks]]&gt;80,"A2",Table1[[#This Row],[Previous Marks]]&gt;70,"B1",Table1[[#This Row],[Previous Marks]]&gt;60,"B2",Table1[[#This Row],[Previous Marks]]&gt;50,"C1",Table1[[#This Row],[Previous Marks]]&gt;40,"C2")</f>
        <v>A2</v>
      </c>
      <c r="F115">
        <v>70</v>
      </c>
    </row>
    <row r="116" spans="2:6" x14ac:dyDescent="0.3">
      <c r="B116">
        <v>72</v>
      </c>
      <c r="C116" t="str" cm="1">
        <f t="array" ref="C116">_xlfn.IFS(B116&gt;90,"A1",B116&gt;80,"A2",B116&gt;70,"B1",B116&gt;60,"B2",B116&gt;50,"C1",B116&gt;40,"C2")</f>
        <v>B1</v>
      </c>
      <c r="D116">
        <v>77</v>
      </c>
      <c r="E116" t="str" cm="1">
        <f t="array" ref="E116">_xlfn.IFS(Table1[[#This Row],[Previous Marks]]&gt;90,"A1",Table1[[#This Row],[Previous Marks]]&gt;80,"A2",Table1[[#This Row],[Previous Marks]]&gt;70,"B1",Table1[[#This Row],[Previous Marks]]&gt;60,"B2",Table1[[#This Row],[Previous Marks]]&gt;50,"C1",Table1[[#This Row],[Previous Marks]]&gt;40,"C2")</f>
        <v>B1</v>
      </c>
      <c r="F116">
        <v>90</v>
      </c>
    </row>
    <row r="117" spans="2:6" x14ac:dyDescent="0.3">
      <c r="B117">
        <v>80</v>
      </c>
      <c r="C117" t="str" cm="1">
        <f t="array" ref="C117">_xlfn.IFS(B117&gt;90,"A1",B117&gt;80,"A2",B117&gt;70,"B1",B117&gt;60,"B2",B117&gt;50,"C1",B117&gt;40,"C2")</f>
        <v>B1</v>
      </c>
      <c r="D117">
        <v>85</v>
      </c>
      <c r="E117" t="str" cm="1">
        <f t="array" ref="E117">_xlfn.IFS(Table1[[#This Row],[Previous Marks]]&gt;90,"A1",Table1[[#This Row],[Previous Marks]]&gt;80,"A2",Table1[[#This Row],[Previous Marks]]&gt;70,"B1",Table1[[#This Row],[Previous Marks]]&gt;60,"B2",Table1[[#This Row],[Previous Marks]]&gt;50,"C1",Table1[[#This Row],[Previous Marks]]&gt;40,"C2")</f>
        <v>A2</v>
      </c>
      <c r="F117">
        <v>88</v>
      </c>
    </row>
    <row r="118" spans="2:6" x14ac:dyDescent="0.3">
      <c r="B118">
        <v>72</v>
      </c>
      <c r="C118" t="str" cm="1">
        <f t="array" ref="C118">_xlfn.IFS(B118&gt;90,"A1",B118&gt;80,"A2",B118&gt;70,"B1",B118&gt;60,"B2",B118&gt;50,"C1",B118&gt;40,"C2")</f>
        <v>B1</v>
      </c>
      <c r="D118">
        <v>60</v>
      </c>
      <c r="E118" t="str" cm="1">
        <f t="array" ref="E118">_xlfn.IFS(Table1[[#This Row],[Previous Marks]]&gt;90,"A1",Table1[[#This Row],[Previous Marks]]&gt;80,"A2",Table1[[#This Row],[Previous Marks]]&gt;70,"B1",Table1[[#This Row],[Previous Marks]]&gt;60,"B2",Table1[[#This Row],[Previous Marks]]&gt;50,"C1",Table1[[#This Row],[Previous Marks]]&gt;40,"C2")</f>
        <v>C1</v>
      </c>
      <c r="F118">
        <v>82</v>
      </c>
    </row>
    <row r="119" spans="2:6" x14ac:dyDescent="0.3">
      <c r="B119">
        <v>80.030208333333334</v>
      </c>
      <c r="C119" t="str" cm="1">
        <f t="array" ref="C119">_xlfn.IFS(B119&gt;90,"A1",B119&gt;80,"A2",B119&gt;70,"B1",B119&gt;60,"B2",B119&gt;50,"C1",B119&gt;40,"C2")</f>
        <v>A2</v>
      </c>
      <c r="D119">
        <v>60</v>
      </c>
      <c r="E119" t="str" cm="1">
        <f t="array" ref="E119">_xlfn.IFS(Table1[[#This Row],[Previous Marks]]&gt;90,"A1",Table1[[#This Row],[Previous Marks]]&gt;80,"A2",Table1[[#This Row],[Previous Marks]]&gt;70,"B1",Table1[[#This Row],[Previous Marks]]&gt;60,"B2",Table1[[#This Row],[Previous Marks]]&gt;50,"C1",Table1[[#This Row],[Previous Marks]]&gt;40,"C2")</f>
        <v>C1</v>
      </c>
      <c r="F119">
        <v>85</v>
      </c>
    </row>
    <row r="120" spans="2:6" x14ac:dyDescent="0.3">
      <c r="B120">
        <v>85</v>
      </c>
      <c r="C120" t="str" cm="1">
        <f t="array" ref="C120">_xlfn.IFS(B120&gt;90,"A1",B120&gt;80,"A2",B120&gt;70,"B1",B120&gt;60,"B2",B120&gt;50,"C1",B120&gt;40,"C2")</f>
        <v>A2</v>
      </c>
      <c r="D120">
        <v>88</v>
      </c>
      <c r="E120" t="str" cm="1">
        <f t="array" ref="E120">_xlfn.IFS(Table1[[#This Row],[Previous Marks]]&gt;90,"A1",Table1[[#This Row],[Previous Marks]]&gt;80,"A2",Table1[[#This Row],[Previous Marks]]&gt;70,"B1",Table1[[#This Row],[Previous Marks]]&gt;60,"B2",Table1[[#This Row],[Previous Marks]]&gt;50,"C1",Table1[[#This Row],[Previous Marks]]&gt;40,"C2")</f>
        <v>A2</v>
      </c>
      <c r="F120">
        <v>95</v>
      </c>
    </row>
    <row r="121" spans="2:6" x14ac:dyDescent="0.3">
      <c r="B121">
        <v>68</v>
      </c>
      <c r="C121" t="str" cm="1">
        <f t="array" ref="C121">_xlfn.IFS(B121&gt;90,"A1",B121&gt;80,"A2",B121&gt;70,"B1",B121&gt;60,"B2",B121&gt;50,"C1",B121&gt;40,"C2")</f>
        <v>B2</v>
      </c>
      <c r="D121">
        <v>78</v>
      </c>
      <c r="E121" t="str" cm="1">
        <f t="array" ref="E121">_xlfn.IFS(Table1[[#This Row],[Previous Marks]]&gt;90,"A1",Table1[[#This Row],[Previous Marks]]&gt;80,"A2",Table1[[#This Row],[Previous Marks]]&gt;70,"B1",Table1[[#This Row],[Previous Marks]]&gt;60,"B2",Table1[[#This Row],[Previous Marks]]&gt;50,"C1",Table1[[#This Row],[Previous Marks]]&gt;40,"C2")</f>
        <v>B1</v>
      </c>
      <c r="F121">
        <v>91</v>
      </c>
    </row>
    <row r="122" spans="2:6" x14ac:dyDescent="0.3">
      <c r="B122">
        <v>80.030208333333334</v>
      </c>
      <c r="C122" t="str" cm="1">
        <f t="array" ref="C122">_xlfn.IFS(B122&gt;90,"A1",B122&gt;80,"A2",B122&gt;70,"B1",B122&gt;60,"B2",B122&gt;50,"C1",B122&gt;40,"C2")</f>
        <v>A2</v>
      </c>
      <c r="D122">
        <v>65</v>
      </c>
      <c r="E122" t="str" cm="1">
        <f t="array" ref="E122">_xlfn.IFS(Table1[[#This Row],[Previous Marks]]&gt;90,"A1",Table1[[#This Row],[Previous Marks]]&gt;80,"A2",Table1[[#This Row],[Previous Marks]]&gt;70,"B1",Table1[[#This Row],[Previous Marks]]&gt;60,"B2",Table1[[#This Row],[Previous Marks]]&gt;50,"C1",Table1[[#This Row],[Previous Marks]]&gt;40,"C2")</f>
        <v>B2</v>
      </c>
      <c r="F122">
        <v>92</v>
      </c>
    </row>
    <row r="123" spans="2:6" x14ac:dyDescent="0.3">
      <c r="B123">
        <v>90</v>
      </c>
      <c r="C123" t="str" cm="1">
        <f t="array" ref="C123">_xlfn.IFS(B123&gt;90,"A1",B123&gt;80,"A2",B123&gt;70,"B1",B123&gt;60,"B2",B123&gt;50,"C1",B123&gt;40,"C2")</f>
        <v>A2</v>
      </c>
      <c r="D123">
        <v>78</v>
      </c>
      <c r="E123" t="str" cm="1">
        <f t="array" ref="E123">_xlfn.IFS(Table1[[#This Row],[Previous Marks]]&gt;90,"A1",Table1[[#This Row],[Previous Marks]]&gt;80,"A2",Table1[[#This Row],[Previous Marks]]&gt;70,"B1",Table1[[#This Row],[Previous Marks]]&gt;60,"B2",Table1[[#This Row],[Previous Marks]]&gt;50,"C1",Table1[[#This Row],[Previous Marks]]&gt;40,"C2")</f>
        <v>B1</v>
      </c>
      <c r="F123">
        <v>78</v>
      </c>
    </row>
    <row r="124" spans="2:6" x14ac:dyDescent="0.3">
      <c r="B124">
        <v>87</v>
      </c>
      <c r="C124" t="str" cm="1">
        <f t="array" ref="C124">_xlfn.IFS(B124&gt;90,"A1",B124&gt;80,"A2",B124&gt;70,"B1",B124&gt;60,"B2",B124&gt;50,"C1",B124&gt;40,"C2")</f>
        <v>A2</v>
      </c>
      <c r="D124">
        <v>65</v>
      </c>
      <c r="E124" t="str" cm="1">
        <f t="array" ref="E124">_xlfn.IFS(Table1[[#This Row],[Previous Marks]]&gt;90,"A1",Table1[[#This Row],[Previous Marks]]&gt;80,"A2",Table1[[#This Row],[Previous Marks]]&gt;70,"B1",Table1[[#This Row],[Previous Marks]]&gt;60,"B2",Table1[[#This Row],[Previous Marks]]&gt;50,"C1",Table1[[#This Row],[Previous Marks]]&gt;40,"C2")</f>
        <v>B2</v>
      </c>
      <c r="F124">
        <v>88</v>
      </c>
    </row>
    <row r="125" spans="2:6" x14ac:dyDescent="0.3">
      <c r="B125">
        <v>72</v>
      </c>
      <c r="C125" t="str" cm="1">
        <f t="array" ref="C125">_xlfn.IFS(B125&gt;90,"A1",B125&gt;80,"A2",B125&gt;70,"B1",B125&gt;60,"B2",B125&gt;50,"C1",B125&gt;40,"C2")</f>
        <v>B1</v>
      </c>
      <c r="D125">
        <v>90</v>
      </c>
      <c r="E125" t="str" cm="1">
        <f t="array" ref="E125">_xlfn.IFS(Table1[[#This Row],[Previous Marks]]&gt;90,"A1",Table1[[#This Row],[Previous Marks]]&gt;80,"A2",Table1[[#This Row],[Previous Marks]]&gt;70,"B1",Table1[[#This Row],[Previous Marks]]&gt;60,"B2",Table1[[#This Row],[Previous Marks]]&gt;50,"C1",Table1[[#This Row],[Previous Marks]]&gt;40,"C2")</f>
        <v>A2</v>
      </c>
      <c r="F125">
        <v>85</v>
      </c>
    </row>
    <row r="126" spans="2:6" x14ac:dyDescent="0.3">
      <c r="B126">
        <v>80.030208333333334</v>
      </c>
      <c r="C126" t="str" cm="1">
        <f t="array" ref="C126">_xlfn.IFS(B126&gt;90,"A1",B126&gt;80,"A2",B126&gt;70,"B1",B126&gt;60,"B2",B126&gt;50,"C1",B126&gt;40,"C2")</f>
        <v>A2</v>
      </c>
      <c r="D126">
        <v>85</v>
      </c>
      <c r="E126" t="str" cm="1">
        <f t="array" ref="E126">_xlfn.IFS(Table1[[#This Row],[Previous Marks]]&gt;90,"A1",Table1[[#This Row],[Previous Marks]]&gt;80,"A2",Table1[[#This Row],[Previous Marks]]&gt;70,"B1",Table1[[#This Row],[Previous Marks]]&gt;60,"B2",Table1[[#This Row],[Previous Marks]]&gt;50,"C1",Table1[[#This Row],[Previous Marks]]&gt;40,"C2")</f>
        <v>A2</v>
      </c>
      <c r="F126">
        <v>70</v>
      </c>
    </row>
    <row r="127" spans="2:6" x14ac:dyDescent="0.3">
      <c r="B127">
        <v>90</v>
      </c>
      <c r="C127" t="str" cm="1">
        <f t="array" ref="C127">_xlfn.IFS(B127&gt;90,"A1",B127&gt;80,"A2",B127&gt;70,"B1",B127&gt;60,"B2",B127&gt;50,"C1",B127&gt;40,"C2")</f>
        <v>A2</v>
      </c>
      <c r="D127">
        <v>86</v>
      </c>
      <c r="E127" t="str" cm="1">
        <f t="array" ref="E127">_xlfn.IFS(Table1[[#This Row],[Previous Marks]]&gt;90,"A1",Table1[[#This Row],[Previous Marks]]&gt;80,"A2",Table1[[#This Row],[Previous Marks]]&gt;70,"B1",Table1[[#This Row],[Previous Marks]]&gt;60,"B2",Table1[[#This Row],[Previous Marks]]&gt;50,"C1",Table1[[#This Row],[Previous Marks]]&gt;40,"C2")</f>
        <v>A2</v>
      </c>
      <c r="F127">
        <v>78</v>
      </c>
    </row>
    <row r="128" spans="2:6" x14ac:dyDescent="0.3">
      <c r="B128">
        <v>78</v>
      </c>
      <c r="C128" t="str" cm="1">
        <f t="array" ref="C128">_xlfn.IFS(B128&gt;90,"A1",B128&gt;80,"A2",B128&gt;70,"B1",B128&gt;60,"B2",B128&gt;50,"C1",B128&gt;40,"C2")</f>
        <v>B1</v>
      </c>
      <c r="D128">
        <v>70</v>
      </c>
      <c r="E128" t="str" cm="1">
        <f t="array" ref="E128">_xlfn.IFS(Table1[[#This Row],[Previous Marks]]&gt;90,"A1",Table1[[#This Row],[Previous Marks]]&gt;80,"A2",Table1[[#This Row],[Previous Marks]]&gt;70,"B1",Table1[[#This Row],[Previous Marks]]&gt;60,"B2",Table1[[#This Row],[Previous Marks]]&gt;50,"C1",Table1[[#This Row],[Previous Marks]]&gt;40,"C2")</f>
        <v>B2</v>
      </c>
      <c r="F128">
        <v>90</v>
      </c>
    </row>
    <row r="129" spans="2:6" x14ac:dyDescent="0.3">
      <c r="B129">
        <v>85</v>
      </c>
      <c r="C129" t="str" cm="1">
        <f t="array" ref="C129">_xlfn.IFS(B129&gt;90,"A1",B129&gt;80,"A2",B129&gt;70,"B1",B129&gt;60,"B2",B129&gt;50,"C1",B129&gt;40,"C2")</f>
        <v>A2</v>
      </c>
      <c r="D129">
        <v>88</v>
      </c>
      <c r="E129" t="str" cm="1">
        <f t="array" ref="E129">_xlfn.IFS(Table1[[#This Row],[Previous Marks]]&gt;90,"A1",Table1[[#This Row],[Previous Marks]]&gt;80,"A2",Table1[[#This Row],[Previous Marks]]&gt;70,"B1",Table1[[#This Row],[Previous Marks]]&gt;60,"B2",Table1[[#This Row],[Previous Marks]]&gt;50,"C1",Table1[[#This Row],[Previous Marks]]&gt;40,"C2")</f>
        <v>A2</v>
      </c>
      <c r="F129">
        <v>70</v>
      </c>
    </row>
    <row r="130" spans="2:6" x14ac:dyDescent="0.3">
      <c r="B130">
        <v>90</v>
      </c>
      <c r="C130" t="str" cm="1">
        <f t="array" ref="C130">_xlfn.IFS(B130&gt;90,"A1",B130&gt;80,"A2",B130&gt;70,"B1",B130&gt;60,"B2",B130&gt;50,"C1",B130&gt;40,"C2")</f>
        <v>A2</v>
      </c>
      <c r="D130">
        <v>60</v>
      </c>
      <c r="E130" t="str" cm="1">
        <f t="array" ref="E130">_xlfn.IFS(Table1[[#This Row],[Previous Marks]]&gt;90,"A1",Table1[[#This Row],[Previous Marks]]&gt;80,"A2",Table1[[#This Row],[Previous Marks]]&gt;70,"B1",Table1[[#This Row],[Previous Marks]]&gt;60,"B2",Table1[[#This Row],[Previous Marks]]&gt;50,"C1",Table1[[#This Row],[Previous Marks]]&gt;40,"C2")</f>
        <v>C1</v>
      </c>
      <c r="F130">
        <v>90</v>
      </c>
    </row>
    <row r="131" spans="2:6" x14ac:dyDescent="0.3">
      <c r="B131">
        <v>88</v>
      </c>
      <c r="C131" t="str" cm="1">
        <f t="array" ref="C131">_xlfn.IFS(B131&gt;90,"A1",B131&gt;80,"A2",B131&gt;70,"B1",B131&gt;60,"B2",B131&gt;50,"C1",B131&gt;40,"C2")</f>
        <v>A2</v>
      </c>
      <c r="D131">
        <v>60</v>
      </c>
      <c r="E131" t="str" cm="1">
        <f t="array" ref="E131">_xlfn.IFS(Table1[[#This Row],[Previous Marks]]&gt;90,"A1",Table1[[#This Row],[Previous Marks]]&gt;80,"A2",Table1[[#This Row],[Previous Marks]]&gt;70,"B1",Table1[[#This Row],[Previous Marks]]&gt;60,"B2",Table1[[#This Row],[Previous Marks]]&gt;50,"C1",Table1[[#This Row],[Previous Marks]]&gt;40,"C2")</f>
        <v>C1</v>
      </c>
      <c r="F131">
        <v>70</v>
      </c>
    </row>
    <row r="132" spans="2:6" x14ac:dyDescent="0.3">
      <c r="B132">
        <v>87</v>
      </c>
      <c r="C132" t="str" cm="1">
        <f t="array" ref="C132">_xlfn.IFS(B132&gt;90,"A1",B132&gt;80,"A2",B132&gt;70,"B1",B132&gt;60,"B2",B132&gt;50,"C1",B132&gt;40,"C2")</f>
        <v>A2</v>
      </c>
      <c r="D132">
        <v>88</v>
      </c>
      <c r="E132" t="str" cm="1">
        <f t="array" ref="E132">_xlfn.IFS(Table1[[#This Row],[Previous Marks]]&gt;90,"A1",Table1[[#This Row],[Previous Marks]]&gt;80,"A2",Table1[[#This Row],[Previous Marks]]&gt;70,"B1",Table1[[#This Row],[Previous Marks]]&gt;60,"B2",Table1[[#This Row],[Previous Marks]]&gt;50,"C1",Table1[[#This Row],[Previous Marks]]&gt;40,"C2")</f>
        <v>A2</v>
      </c>
      <c r="F132">
        <v>92</v>
      </c>
    </row>
    <row r="133" spans="2:6" x14ac:dyDescent="0.3">
      <c r="B133">
        <v>85</v>
      </c>
      <c r="C133" t="str" cm="1">
        <f t="array" ref="C133">_xlfn.IFS(B133&gt;90,"A1",B133&gt;80,"A2",B133&gt;70,"B1",B133&gt;60,"B2",B133&gt;50,"C1",B133&gt;40,"C2")</f>
        <v>A2</v>
      </c>
      <c r="D133">
        <v>78</v>
      </c>
      <c r="E133" t="str" cm="1">
        <f t="array" ref="E133">_xlfn.IFS(Table1[[#This Row],[Previous Marks]]&gt;90,"A1",Table1[[#This Row],[Previous Marks]]&gt;80,"A2",Table1[[#This Row],[Previous Marks]]&gt;70,"B1",Table1[[#This Row],[Previous Marks]]&gt;60,"B2",Table1[[#This Row],[Previous Marks]]&gt;50,"C1",Table1[[#This Row],[Previous Marks]]&gt;40,"C2")</f>
        <v>B1</v>
      </c>
      <c r="F133">
        <v>91</v>
      </c>
    </row>
    <row r="134" spans="2:6" x14ac:dyDescent="0.3">
      <c r="B134">
        <v>80</v>
      </c>
      <c r="C134" t="str" cm="1">
        <f t="array" ref="C134">_xlfn.IFS(B134&gt;90,"A1",B134&gt;80,"A2",B134&gt;70,"B1",B134&gt;60,"B2",B134&gt;50,"C1",B134&gt;40,"C2")</f>
        <v>B1</v>
      </c>
      <c r="D134">
        <v>85</v>
      </c>
      <c r="E134" t="str" cm="1">
        <f t="array" ref="E134">_xlfn.IFS(Table1[[#This Row],[Previous Marks]]&gt;90,"A1",Table1[[#This Row],[Previous Marks]]&gt;80,"A2",Table1[[#This Row],[Previous Marks]]&gt;70,"B1",Table1[[#This Row],[Previous Marks]]&gt;60,"B2",Table1[[#This Row],[Previous Marks]]&gt;50,"C1",Table1[[#This Row],[Previous Marks]]&gt;40,"C2")</f>
        <v>A2</v>
      </c>
      <c r="F134">
        <v>91</v>
      </c>
    </row>
    <row r="135" spans="2:6" x14ac:dyDescent="0.3">
      <c r="B135">
        <v>90</v>
      </c>
      <c r="C135" t="str" cm="1">
        <f t="array" ref="C135">_xlfn.IFS(B135&gt;90,"A1",B135&gt;80,"A2",B135&gt;70,"B1",B135&gt;60,"B2",B135&gt;50,"C1",B135&gt;40,"C2")</f>
        <v>A2</v>
      </c>
      <c r="D135">
        <v>77.598759048603924</v>
      </c>
      <c r="E135" t="str" cm="1">
        <f t="array" ref="E135">_xlfn.IFS(Table1[[#This Row],[Previous Marks]]&gt;90,"A1",Table1[[#This Row],[Previous Marks]]&gt;80,"A2",Table1[[#This Row],[Previous Marks]]&gt;70,"B1",Table1[[#This Row],[Previous Marks]]&gt;60,"B2",Table1[[#This Row],[Previous Marks]]&gt;50,"C1",Table1[[#This Row],[Previous Marks]]&gt;40,"C2")</f>
        <v>B1</v>
      </c>
      <c r="F135">
        <v>85</v>
      </c>
    </row>
    <row r="136" spans="2:6" x14ac:dyDescent="0.3">
      <c r="B136">
        <v>78</v>
      </c>
      <c r="C136" t="str" cm="1">
        <f t="array" ref="C136">_xlfn.IFS(B136&gt;90,"A1",B136&gt;80,"A2",B136&gt;70,"B1",B136&gt;60,"B2",B136&gt;50,"C1",B136&gt;40,"C2")</f>
        <v>B1</v>
      </c>
      <c r="D136">
        <v>78</v>
      </c>
      <c r="E136" t="str" cm="1">
        <f t="array" ref="E136">_xlfn.IFS(Table1[[#This Row],[Previous Marks]]&gt;90,"A1",Table1[[#This Row],[Previous Marks]]&gt;80,"A2",Table1[[#This Row],[Previous Marks]]&gt;70,"B1",Table1[[#This Row],[Previous Marks]]&gt;60,"B2",Table1[[#This Row],[Previous Marks]]&gt;50,"C1",Table1[[#This Row],[Previous Marks]]&gt;40,"C2")</f>
        <v>B1</v>
      </c>
      <c r="F136">
        <v>78</v>
      </c>
    </row>
    <row r="137" spans="2:6" x14ac:dyDescent="0.3">
      <c r="B137">
        <v>87</v>
      </c>
      <c r="C137" t="str" cm="1">
        <f t="array" ref="C137">_xlfn.IFS(B137&gt;90,"A1",B137&gt;80,"A2",B137&gt;70,"B1",B137&gt;60,"B2",B137&gt;50,"C1",B137&gt;40,"C2")</f>
        <v>A2</v>
      </c>
      <c r="D137">
        <v>85</v>
      </c>
      <c r="E137" t="str" cm="1">
        <f t="array" ref="E137">_xlfn.IFS(Table1[[#This Row],[Previous Marks]]&gt;90,"A1",Table1[[#This Row],[Previous Marks]]&gt;80,"A2",Table1[[#This Row],[Previous Marks]]&gt;70,"B1",Table1[[#This Row],[Previous Marks]]&gt;60,"B2",Table1[[#This Row],[Previous Marks]]&gt;50,"C1",Table1[[#This Row],[Previous Marks]]&gt;40,"C2")</f>
        <v>A2</v>
      </c>
      <c r="F137">
        <v>92</v>
      </c>
    </row>
    <row r="138" spans="2:6" x14ac:dyDescent="0.3">
      <c r="B138">
        <v>80</v>
      </c>
      <c r="C138" t="str" cm="1">
        <f t="array" ref="C138">_xlfn.IFS(B138&gt;90,"A1",B138&gt;80,"A2",B138&gt;70,"B1",B138&gt;60,"B2",B138&gt;50,"C1",B138&gt;40,"C2")</f>
        <v>B1</v>
      </c>
      <c r="D138">
        <v>60</v>
      </c>
      <c r="E138" t="str" cm="1">
        <f t="array" ref="E138">_xlfn.IFS(Table1[[#This Row],[Previous Marks]]&gt;90,"A1",Table1[[#This Row],[Previous Marks]]&gt;80,"A2",Table1[[#This Row],[Previous Marks]]&gt;70,"B1",Table1[[#This Row],[Previous Marks]]&gt;60,"B2",Table1[[#This Row],[Previous Marks]]&gt;50,"C1",Table1[[#This Row],[Previous Marks]]&gt;40,"C2")</f>
        <v>C1</v>
      </c>
      <c r="F138">
        <v>85</v>
      </c>
    </row>
    <row r="139" spans="2:6" x14ac:dyDescent="0.3">
      <c r="B139">
        <v>62</v>
      </c>
      <c r="C139" t="str" cm="1">
        <f t="array" ref="C139">_xlfn.IFS(B139&gt;90,"A1",B139&gt;80,"A2",B139&gt;70,"B1",B139&gt;60,"B2",B139&gt;50,"C1",B139&gt;40,"C2")</f>
        <v>B2</v>
      </c>
      <c r="D139">
        <v>78</v>
      </c>
      <c r="E139" t="str" cm="1">
        <f t="array" ref="E139">_xlfn.IFS(Table1[[#This Row],[Previous Marks]]&gt;90,"A1",Table1[[#This Row],[Previous Marks]]&gt;80,"A2",Table1[[#This Row],[Previous Marks]]&gt;70,"B1",Table1[[#This Row],[Previous Marks]]&gt;60,"B2",Table1[[#This Row],[Previous Marks]]&gt;50,"C1",Table1[[#This Row],[Previous Marks]]&gt;40,"C2")</f>
        <v>B1</v>
      </c>
      <c r="F139">
        <v>95</v>
      </c>
    </row>
    <row r="140" spans="2:6" x14ac:dyDescent="0.3">
      <c r="B140">
        <v>78</v>
      </c>
      <c r="C140" t="str" cm="1">
        <f t="array" ref="C140">_xlfn.IFS(B140&gt;90,"A1",B140&gt;80,"A2",B140&gt;70,"B1",B140&gt;60,"B2",B140&gt;50,"C1",B140&gt;40,"C2")</f>
        <v>B1</v>
      </c>
      <c r="D140">
        <v>78</v>
      </c>
      <c r="E140" t="str" cm="1">
        <f t="array" ref="E140">_xlfn.IFS(Table1[[#This Row],[Previous Marks]]&gt;90,"A1",Table1[[#This Row],[Previous Marks]]&gt;80,"A2",Table1[[#This Row],[Previous Marks]]&gt;70,"B1",Table1[[#This Row],[Previous Marks]]&gt;60,"B2",Table1[[#This Row],[Previous Marks]]&gt;50,"C1",Table1[[#This Row],[Previous Marks]]&gt;40,"C2")</f>
        <v>B1</v>
      </c>
      <c r="F140">
        <v>90</v>
      </c>
    </row>
    <row r="141" spans="2:6" x14ac:dyDescent="0.3">
      <c r="B141">
        <v>68</v>
      </c>
      <c r="C141" t="str" cm="1">
        <f t="array" ref="C141">_xlfn.IFS(B141&gt;90,"A1",B141&gt;80,"A2",B141&gt;70,"B1",B141&gt;60,"B2",B141&gt;50,"C1",B141&gt;40,"C2")</f>
        <v>B2</v>
      </c>
      <c r="D141">
        <v>60</v>
      </c>
      <c r="E141" t="str" cm="1">
        <f t="array" ref="E141">_xlfn.IFS(Table1[[#This Row],[Previous Marks]]&gt;90,"A1",Table1[[#This Row],[Previous Marks]]&gt;80,"A2",Table1[[#This Row],[Previous Marks]]&gt;70,"B1",Table1[[#This Row],[Previous Marks]]&gt;60,"B2",Table1[[#This Row],[Previous Marks]]&gt;50,"C1",Table1[[#This Row],[Previous Marks]]&gt;40,"C2")</f>
        <v>C1</v>
      </c>
      <c r="F141">
        <v>88</v>
      </c>
    </row>
    <row r="142" spans="2:6" x14ac:dyDescent="0.3">
      <c r="B142">
        <v>62</v>
      </c>
      <c r="C142" t="str" cm="1">
        <f t="array" ref="C142">_xlfn.IFS(B142&gt;90,"A1",B142&gt;80,"A2",B142&gt;70,"B1",B142&gt;60,"B2",B142&gt;50,"C1",B142&gt;40,"C2")</f>
        <v>B2</v>
      </c>
      <c r="D142">
        <v>90</v>
      </c>
      <c r="E142" t="str" cm="1">
        <f t="array" ref="E142">_xlfn.IFS(Table1[[#This Row],[Previous Marks]]&gt;90,"A1",Table1[[#This Row],[Previous Marks]]&gt;80,"A2",Table1[[#This Row],[Previous Marks]]&gt;70,"B1",Table1[[#This Row],[Previous Marks]]&gt;60,"B2",Table1[[#This Row],[Previous Marks]]&gt;50,"C1",Table1[[#This Row],[Previous Marks]]&gt;40,"C2")</f>
        <v>A2</v>
      </c>
      <c r="F142">
        <v>70</v>
      </c>
    </row>
    <row r="143" spans="2:6" x14ac:dyDescent="0.3">
      <c r="B143">
        <v>80.030208333333334</v>
      </c>
      <c r="C143" t="str" cm="1">
        <f t="array" ref="C143">_xlfn.IFS(B143&gt;90,"A1",B143&gt;80,"A2",B143&gt;70,"B1",B143&gt;60,"B2",B143&gt;50,"C1",B143&gt;40,"C2")</f>
        <v>A2</v>
      </c>
      <c r="D143">
        <v>85</v>
      </c>
      <c r="E143" t="str" cm="1">
        <f t="array" ref="E143">_xlfn.IFS(Table1[[#This Row],[Previous Marks]]&gt;90,"A1",Table1[[#This Row],[Previous Marks]]&gt;80,"A2",Table1[[#This Row],[Previous Marks]]&gt;70,"B1",Table1[[#This Row],[Previous Marks]]&gt;60,"B2",Table1[[#This Row],[Previous Marks]]&gt;50,"C1",Table1[[#This Row],[Previous Marks]]&gt;40,"C2")</f>
        <v>A2</v>
      </c>
      <c r="F143">
        <v>95</v>
      </c>
    </row>
    <row r="144" spans="2:6" x14ac:dyDescent="0.3">
      <c r="B144">
        <v>68</v>
      </c>
      <c r="C144" t="str" cm="1">
        <f t="array" ref="C144">_xlfn.IFS(B144&gt;90,"A1",B144&gt;80,"A2",B144&gt;70,"B1",B144&gt;60,"B2",B144&gt;50,"C1",B144&gt;40,"C2")</f>
        <v>B2</v>
      </c>
      <c r="D144">
        <v>65</v>
      </c>
      <c r="E144" t="str" cm="1">
        <f t="array" ref="E144">_xlfn.IFS(Table1[[#This Row],[Previous Marks]]&gt;90,"A1",Table1[[#This Row],[Previous Marks]]&gt;80,"A2",Table1[[#This Row],[Previous Marks]]&gt;70,"B1",Table1[[#This Row],[Previous Marks]]&gt;60,"B2",Table1[[#This Row],[Previous Marks]]&gt;50,"C1",Table1[[#This Row],[Previous Marks]]&gt;40,"C2")</f>
        <v>B2</v>
      </c>
      <c r="F144">
        <v>92</v>
      </c>
    </row>
    <row r="145" spans="2:6" x14ac:dyDescent="0.3">
      <c r="B145">
        <v>88</v>
      </c>
      <c r="C145" t="str" cm="1">
        <f t="array" ref="C145">_xlfn.IFS(B145&gt;90,"A1",B145&gt;80,"A2",B145&gt;70,"B1",B145&gt;60,"B2",B145&gt;50,"C1",B145&gt;40,"C2")</f>
        <v>A2</v>
      </c>
      <c r="D145">
        <v>86</v>
      </c>
      <c r="E145" t="str" cm="1">
        <f t="array" ref="E145">_xlfn.IFS(Table1[[#This Row],[Previous Marks]]&gt;90,"A1",Table1[[#This Row],[Previous Marks]]&gt;80,"A2",Table1[[#This Row],[Previous Marks]]&gt;70,"B1",Table1[[#This Row],[Previous Marks]]&gt;60,"B2",Table1[[#This Row],[Previous Marks]]&gt;50,"C1",Table1[[#This Row],[Previous Marks]]&gt;40,"C2")</f>
        <v>A2</v>
      </c>
      <c r="F145">
        <v>85</v>
      </c>
    </row>
    <row r="146" spans="2:6" x14ac:dyDescent="0.3">
      <c r="B146">
        <v>85</v>
      </c>
      <c r="C146" t="str" cm="1">
        <f t="array" ref="C146">_xlfn.IFS(B146&gt;90,"A1",B146&gt;80,"A2",B146&gt;70,"B1",B146&gt;60,"B2",B146&gt;50,"C1",B146&gt;40,"C2")</f>
        <v>A2</v>
      </c>
      <c r="D146">
        <v>77</v>
      </c>
      <c r="E146" t="str" cm="1">
        <f t="array" ref="E146">_xlfn.IFS(Table1[[#This Row],[Previous Marks]]&gt;90,"A1",Table1[[#This Row],[Previous Marks]]&gt;80,"A2",Table1[[#This Row],[Previous Marks]]&gt;70,"B1",Table1[[#This Row],[Previous Marks]]&gt;60,"B2",Table1[[#This Row],[Previous Marks]]&gt;50,"C1",Table1[[#This Row],[Previous Marks]]&gt;40,"C2")</f>
        <v>B1</v>
      </c>
      <c r="F146">
        <v>85</v>
      </c>
    </row>
    <row r="147" spans="2:6" x14ac:dyDescent="0.3">
      <c r="B147">
        <v>90</v>
      </c>
      <c r="C147" t="str" cm="1">
        <f t="array" ref="C147">_xlfn.IFS(B147&gt;90,"A1",B147&gt;80,"A2",B147&gt;70,"B1",B147&gt;60,"B2",B147&gt;50,"C1",B147&gt;40,"C2")</f>
        <v>A2</v>
      </c>
      <c r="D147">
        <v>77</v>
      </c>
      <c r="E147" t="str" cm="1">
        <f t="array" ref="E147">_xlfn.IFS(Table1[[#This Row],[Previous Marks]]&gt;90,"A1",Table1[[#This Row],[Previous Marks]]&gt;80,"A2",Table1[[#This Row],[Previous Marks]]&gt;70,"B1",Table1[[#This Row],[Previous Marks]]&gt;60,"B2",Table1[[#This Row],[Previous Marks]]&gt;50,"C1",Table1[[#This Row],[Previous Marks]]&gt;40,"C2")</f>
        <v>B1</v>
      </c>
      <c r="F147">
        <v>88</v>
      </c>
    </row>
    <row r="148" spans="2:6" x14ac:dyDescent="0.3">
      <c r="B148">
        <v>88</v>
      </c>
      <c r="C148" t="str" cm="1">
        <f t="array" ref="C148">_xlfn.IFS(B148&gt;90,"A1",B148&gt;80,"A2",B148&gt;70,"B1",B148&gt;60,"B2",B148&gt;50,"C1",B148&gt;40,"C2")</f>
        <v>A2</v>
      </c>
      <c r="D148">
        <v>70</v>
      </c>
      <c r="E148" t="str" cm="1">
        <f t="array" ref="E148">_xlfn.IFS(Table1[[#This Row],[Previous Marks]]&gt;90,"A1",Table1[[#This Row],[Previous Marks]]&gt;80,"A2",Table1[[#This Row],[Previous Marks]]&gt;70,"B1",Table1[[#This Row],[Previous Marks]]&gt;60,"B2",Table1[[#This Row],[Previous Marks]]&gt;50,"C1",Table1[[#This Row],[Previous Marks]]&gt;40,"C2")</f>
        <v>B2</v>
      </c>
      <c r="F148">
        <v>85</v>
      </c>
    </row>
    <row r="149" spans="2:6" x14ac:dyDescent="0.3">
      <c r="B149">
        <v>87</v>
      </c>
      <c r="C149" t="str" cm="1">
        <f t="array" ref="C149">_xlfn.IFS(B149&gt;90,"A1",B149&gt;80,"A2",B149&gt;70,"B1",B149&gt;60,"B2",B149&gt;50,"C1",B149&gt;40,"C2")</f>
        <v>A2</v>
      </c>
      <c r="D149">
        <v>85</v>
      </c>
      <c r="E149" t="str" cm="1">
        <f t="array" ref="E149">_xlfn.IFS(Table1[[#This Row],[Previous Marks]]&gt;90,"A1",Table1[[#This Row],[Previous Marks]]&gt;80,"A2",Table1[[#This Row],[Previous Marks]]&gt;70,"B1",Table1[[#This Row],[Previous Marks]]&gt;60,"B2",Table1[[#This Row],[Previous Marks]]&gt;50,"C1",Table1[[#This Row],[Previous Marks]]&gt;40,"C2")</f>
        <v>A2</v>
      </c>
      <c r="F149">
        <v>85</v>
      </c>
    </row>
    <row r="150" spans="2:6" x14ac:dyDescent="0.3">
      <c r="B150">
        <v>90</v>
      </c>
      <c r="C150" t="str" cm="1">
        <f t="array" ref="C150">_xlfn.IFS(B150&gt;90,"A1",B150&gt;80,"A2",B150&gt;70,"B1",B150&gt;60,"B2",B150&gt;50,"C1",B150&gt;40,"C2")</f>
        <v>A2</v>
      </c>
      <c r="D150">
        <v>70</v>
      </c>
      <c r="E150" t="str" cm="1">
        <f t="array" ref="E150">_xlfn.IFS(Table1[[#This Row],[Previous Marks]]&gt;90,"A1",Table1[[#This Row],[Previous Marks]]&gt;80,"A2",Table1[[#This Row],[Previous Marks]]&gt;70,"B1",Table1[[#This Row],[Previous Marks]]&gt;60,"B2",Table1[[#This Row],[Previous Marks]]&gt;50,"C1",Table1[[#This Row],[Previous Marks]]&gt;40,"C2")</f>
        <v>B2</v>
      </c>
      <c r="F150">
        <v>85</v>
      </c>
    </row>
    <row r="151" spans="2:6" x14ac:dyDescent="0.3">
      <c r="B151">
        <v>87</v>
      </c>
      <c r="C151" t="str" cm="1">
        <f t="array" ref="C151">_xlfn.IFS(B151&gt;90,"A1",B151&gt;80,"A2",B151&gt;70,"B1",B151&gt;60,"B2",B151&gt;50,"C1",B151&gt;40,"C2")</f>
        <v>A2</v>
      </c>
      <c r="D151">
        <v>88</v>
      </c>
      <c r="E151" t="str" cm="1">
        <f t="array" ref="E151">_xlfn.IFS(Table1[[#This Row],[Previous Marks]]&gt;90,"A1",Table1[[#This Row],[Previous Marks]]&gt;80,"A2",Table1[[#This Row],[Previous Marks]]&gt;70,"B1",Table1[[#This Row],[Previous Marks]]&gt;60,"B2",Table1[[#This Row],[Previous Marks]]&gt;50,"C1",Table1[[#This Row],[Previous Marks]]&gt;40,"C2")</f>
        <v>A2</v>
      </c>
      <c r="F151">
        <v>91</v>
      </c>
    </row>
    <row r="152" spans="2:6" x14ac:dyDescent="0.3">
      <c r="B152">
        <v>85</v>
      </c>
      <c r="C152" t="str" cm="1">
        <f t="array" ref="C152">_xlfn.IFS(B152&gt;90,"A1",B152&gt;80,"A2",B152&gt;70,"B1",B152&gt;60,"B2",B152&gt;50,"C1",B152&gt;40,"C2")</f>
        <v>A2</v>
      </c>
      <c r="D152">
        <v>86</v>
      </c>
      <c r="E152" t="str" cm="1">
        <f t="array" ref="E152">_xlfn.IFS(Table1[[#This Row],[Previous Marks]]&gt;90,"A1",Table1[[#This Row],[Previous Marks]]&gt;80,"A2",Table1[[#This Row],[Previous Marks]]&gt;70,"B1",Table1[[#This Row],[Previous Marks]]&gt;60,"B2",Table1[[#This Row],[Previous Marks]]&gt;50,"C1",Table1[[#This Row],[Previous Marks]]&gt;40,"C2")</f>
        <v>A2</v>
      </c>
      <c r="F152">
        <v>95</v>
      </c>
    </row>
    <row r="153" spans="2:6" x14ac:dyDescent="0.3">
      <c r="B153">
        <v>72</v>
      </c>
      <c r="C153" t="str" cm="1">
        <f t="array" ref="C153">_xlfn.IFS(B153&gt;90,"A1",B153&gt;80,"A2",B153&gt;70,"B1",B153&gt;60,"B2",B153&gt;50,"C1",B153&gt;40,"C2")</f>
        <v>B1</v>
      </c>
      <c r="D153">
        <v>60</v>
      </c>
      <c r="E153" t="str" cm="1">
        <f t="array" ref="E153">_xlfn.IFS(Table1[[#This Row],[Previous Marks]]&gt;90,"A1",Table1[[#This Row],[Previous Marks]]&gt;80,"A2",Table1[[#This Row],[Previous Marks]]&gt;70,"B1",Table1[[#This Row],[Previous Marks]]&gt;60,"B2",Table1[[#This Row],[Previous Marks]]&gt;50,"C1",Table1[[#This Row],[Previous Marks]]&gt;40,"C2")</f>
        <v>C1</v>
      </c>
      <c r="F153">
        <v>88</v>
      </c>
    </row>
    <row r="154" spans="2:6" x14ac:dyDescent="0.3">
      <c r="B154">
        <v>90</v>
      </c>
      <c r="C154" t="str" cm="1">
        <f t="array" ref="C154">_xlfn.IFS(B154&gt;90,"A1",B154&gt;80,"A2",B154&gt;70,"B1",B154&gt;60,"B2",B154&gt;50,"C1",B154&gt;40,"C2")</f>
        <v>A2</v>
      </c>
      <c r="D154">
        <v>82</v>
      </c>
      <c r="E154" t="str" cm="1">
        <f t="array" ref="E154">_xlfn.IFS(Table1[[#This Row],[Previous Marks]]&gt;90,"A1",Table1[[#This Row],[Previous Marks]]&gt;80,"A2",Table1[[#This Row],[Previous Marks]]&gt;70,"B1",Table1[[#This Row],[Previous Marks]]&gt;60,"B2",Table1[[#This Row],[Previous Marks]]&gt;50,"C1",Table1[[#This Row],[Previous Marks]]&gt;40,"C2")</f>
        <v>A2</v>
      </c>
      <c r="F154">
        <v>85</v>
      </c>
    </row>
    <row r="155" spans="2:6" x14ac:dyDescent="0.3">
      <c r="B155">
        <v>72</v>
      </c>
      <c r="C155" t="str" cm="1">
        <f t="array" ref="C155">_xlfn.IFS(B155&gt;90,"A1",B155&gt;80,"A2",B155&gt;70,"B1",B155&gt;60,"B2",B155&gt;50,"C1",B155&gt;40,"C2")</f>
        <v>B1</v>
      </c>
      <c r="D155">
        <v>82</v>
      </c>
      <c r="E155" t="str" cm="1">
        <f t="array" ref="E155">_xlfn.IFS(Table1[[#This Row],[Previous Marks]]&gt;90,"A1",Table1[[#This Row],[Previous Marks]]&gt;80,"A2",Table1[[#This Row],[Previous Marks]]&gt;70,"B1",Table1[[#This Row],[Previous Marks]]&gt;60,"B2",Table1[[#This Row],[Previous Marks]]&gt;50,"C1",Table1[[#This Row],[Previous Marks]]&gt;40,"C2")</f>
        <v>A2</v>
      </c>
      <c r="F155">
        <v>78</v>
      </c>
    </row>
    <row r="156" spans="2:6" x14ac:dyDescent="0.3">
      <c r="B156">
        <v>88</v>
      </c>
      <c r="C156" t="str" cm="1">
        <f t="array" ref="C156">_xlfn.IFS(B156&gt;90,"A1",B156&gt;80,"A2",B156&gt;70,"B1",B156&gt;60,"B2",B156&gt;50,"C1",B156&gt;40,"C2")</f>
        <v>A2</v>
      </c>
      <c r="D156">
        <v>65</v>
      </c>
      <c r="E156" t="str" cm="1">
        <f t="array" ref="E156">_xlfn.IFS(Table1[[#This Row],[Previous Marks]]&gt;90,"A1",Table1[[#This Row],[Previous Marks]]&gt;80,"A2",Table1[[#This Row],[Previous Marks]]&gt;70,"B1",Table1[[#This Row],[Previous Marks]]&gt;60,"B2",Table1[[#This Row],[Previous Marks]]&gt;50,"C1",Table1[[#This Row],[Previous Marks]]&gt;40,"C2")</f>
        <v>B2</v>
      </c>
      <c r="F156">
        <v>91</v>
      </c>
    </row>
    <row r="157" spans="2:6" x14ac:dyDescent="0.3">
      <c r="B157">
        <v>78</v>
      </c>
      <c r="C157" t="str" cm="1">
        <f t="array" ref="C157">_xlfn.IFS(B157&gt;90,"A1",B157&gt;80,"A2",B157&gt;70,"B1",B157&gt;60,"B2",B157&gt;50,"C1",B157&gt;40,"C2")</f>
        <v>B1</v>
      </c>
      <c r="D157">
        <v>77</v>
      </c>
      <c r="E157" t="str" cm="1">
        <f t="array" ref="E157">_xlfn.IFS(Table1[[#This Row],[Previous Marks]]&gt;90,"A1",Table1[[#This Row],[Previous Marks]]&gt;80,"A2",Table1[[#This Row],[Previous Marks]]&gt;70,"B1",Table1[[#This Row],[Previous Marks]]&gt;60,"B2",Table1[[#This Row],[Previous Marks]]&gt;50,"C1",Table1[[#This Row],[Previous Marks]]&gt;40,"C2")</f>
        <v>B1</v>
      </c>
      <c r="F157">
        <v>95</v>
      </c>
    </row>
    <row r="158" spans="2:6" x14ac:dyDescent="0.3">
      <c r="B158">
        <v>80.030208333333334</v>
      </c>
      <c r="C158" t="str" cm="1">
        <f t="array" ref="C158">_xlfn.IFS(B158&gt;90,"A1",B158&gt;80,"A2",B158&gt;70,"B1",B158&gt;60,"B2",B158&gt;50,"C1",B158&gt;40,"C2")</f>
        <v>A2</v>
      </c>
      <c r="D158">
        <v>77.598759048603924</v>
      </c>
      <c r="E158" t="str" cm="1">
        <f t="array" ref="E158">_xlfn.IFS(Table1[[#This Row],[Previous Marks]]&gt;90,"A1",Table1[[#This Row],[Previous Marks]]&gt;80,"A2",Table1[[#This Row],[Previous Marks]]&gt;70,"B1",Table1[[#This Row],[Previous Marks]]&gt;60,"B2",Table1[[#This Row],[Previous Marks]]&gt;50,"C1",Table1[[#This Row],[Previous Marks]]&gt;40,"C2")</f>
        <v>B1</v>
      </c>
      <c r="F158">
        <v>95</v>
      </c>
    </row>
    <row r="159" spans="2:6" x14ac:dyDescent="0.3">
      <c r="B159">
        <v>87</v>
      </c>
      <c r="C159" t="str" cm="1">
        <f t="array" ref="C159">_xlfn.IFS(B159&gt;90,"A1",B159&gt;80,"A2",B159&gt;70,"B1",B159&gt;60,"B2",B159&gt;50,"C1",B159&gt;40,"C2")</f>
        <v>A2</v>
      </c>
      <c r="D159">
        <v>77</v>
      </c>
      <c r="E159" t="str" cm="1">
        <f t="array" ref="E159">_xlfn.IFS(Table1[[#This Row],[Previous Marks]]&gt;90,"A1",Table1[[#This Row],[Previous Marks]]&gt;80,"A2",Table1[[#This Row],[Previous Marks]]&gt;70,"B1",Table1[[#This Row],[Previous Marks]]&gt;60,"B2",Table1[[#This Row],[Previous Marks]]&gt;50,"C1",Table1[[#This Row],[Previous Marks]]&gt;40,"C2")</f>
        <v>B1</v>
      </c>
      <c r="F159">
        <v>85.510416666666671</v>
      </c>
    </row>
    <row r="160" spans="2:6" x14ac:dyDescent="0.3">
      <c r="B160">
        <v>62</v>
      </c>
      <c r="C160" t="str" cm="1">
        <f t="array" ref="C160">_xlfn.IFS(B160&gt;90,"A1",B160&gt;80,"A2",B160&gt;70,"B1",B160&gt;60,"B2",B160&gt;50,"C1",B160&gt;40,"C2")</f>
        <v>B2</v>
      </c>
      <c r="D160">
        <v>77</v>
      </c>
      <c r="E160" t="str" cm="1">
        <f t="array" ref="E160">_xlfn.IFS(Table1[[#This Row],[Previous Marks]]&gt;90,"A1",Table1[[#This Row],[Previous Marks]]&gt;80,"A2",Table1[[#This Row],[Previous Marks]]&gt;70,"B1",Table1[[#This Row],[Previous Marks]]&gt;60,"B2",Table1[[#This Row],[Previous Marks]]&gt;50,"C1",Table1[[#This Row],[Previous Marks]]&gt;40,"C2")</f>
        <v>B1</v>
      </c>
      <c r="F160">
        <v>78</v>
      </c>
    </row>
    <row r="161" spans="2:6" x14ac:dyDescent="0.3">
      <c r="B161">
        <v>92</v>
      </c>
      <c r="C161" t="str" cm="1">
        <f t="array" ref="C161">_xlfn.IFS(B161&gt;90,"A1",B161&gt;80,"A2",B161&gt;70,"B1",B161&gt;60,"B2",B161&gt;50,"C1",B161&gt;40,"C2")</f>
        <v>A1</v>
      </c>
      <c r="D161">
        <v>60</v>
      </c>
      <c r="E161" t="str" cm="1">
        <f t="array" ref="E161">_xlfn.IFS(Table1[[#This Row],[Previous Marks]]&gt;90,"A1",Table1[[#This Row],[Previous Marks]]&gt;80,"A2",Table1[[#This Row],[Previous Marks]]&gt;70,"B1",Table1[[#This Row],[Previous Marks]]&gt;60,"B2",Table1[[#This Row],[Previous Marks]]&gt;50,"C1",Table1[[#This Row],[Previous Marks]]&gt;40,"C2")</f>
        <v>C1</v>
      </c>
      <c r="F161">
        <v>70</v>
      </c>
    </row>
    <row r="162" spans="2:6" x14ac:dyDescent="0.3">
      <c r="B162">
        <v>80</v>
      </c>
      <c r="C162" t="str" cm="1">
        <f t="array" ref="C162">_xlfn.IFS(B162&gt;90,"A1",B162&gt;80,"A2",B162&gt;70,"B1",B162&gt;60,"B2",B162&gt;50,"C1",B162&gt;40,"C2")</f>
        <v>B1</v>
      </c>
      <c r="D162">
        <v>88</v>
      </c>
      <c r="E162" t="str" cm="1">
        <f t="array" ref="E162">_xlfn.IFS(Table1[[#This Row],[Previous Marks]]&gt;90,"A1",Table1[[#This Row],[Previous Marks]]&gt;80,"A2",Table1[[#This Row],[Previous Marks]]&gt;70,"B1",Table1[[#This Row],[Previous Marks]]&gt;60,"B2",Table1[[#This Row],[Previous Marks]]&gt;50,"C1",Table1[[#This Row],[Previous Marks]]&gt;40,"C2")</f>
        <v>A2</v>
      </c>
      <c r="F162">
        <v>95</v>
      </c>
    </row>
    <row r="163" spans="2:6" x14ac:dyDescent="0.3">
      <c r="B163">
        <v>92</v>
      </c>
      <c r="C163" t="str" cm="1">
        <f t="array" ref="C163">_xlfn.IFS(B163&gt;90,"A1",B163&gt;80,"A2",B163&gt;70,"B1",B163&gt;60,"B2",B163&gt;50,"C1",B163&gt;40,"C2")</f>
        <v>A1</v>
      </c>
      <c r="D163">
        <v>85</v>
      </c>
      <c r="E163" t="str" cm="1">
        <f t="array" ref="E163">_xlfn.IFS(Table1[[#This Row],[Previous Marks]]&gt;90,"A1",Table1[[#This Row],[Previous Marks]]&gt;80,"A2",Table1[[#This Row],[Previous Marks]]&gt;70,"B1",Table1[[#This Row],[Previous Marks]]&gt;60,"B2",Table1[[#This Row],[Previous Marks]]&gt;50,"C1",Table1[[#This Row],[Previous Marks]]&gt;40,"C2")</f>
        <v>A2</v>
      </c>
      <c r="F163">
        <v>91</v>
      </c>
    </row>
    <row r="164" spans="2:6" x14ac:dyDescent="0.3">
      <c r="B164">
        <v>80.030208333333334</v>
      </c>
      <c r="C164" t="str" cm="1">
        <f t="array" ref="C164">_xlfn.IFS(B164&gt;90,"A1",B164&gt;80,"A2",B164&gt;70,"B1",B164&gt;60,"B2",B164&gt;50,"C1",B164&gt;40,"C2")</f>
        <v>A2</v>
      </c>
      <c r="D164">
        <v>85</v>
      </c>
      <c r="E164" t="str" cm="1">
        <f t="array" ref="E164">_xlfn.IFS(Table1[[#This Row],[Previous Marks]]&gt;90,"A1",Table1[[#This Row],[Previous Marks]]&gt;80,"A2",Table1[[#This Row],[Previous Marks]]&gt;70,"B1",Table1[[#This Row],[Previous Marks]]&gt;60,"B2",Table1[[#This Row],[Previous Marks]]&gt;50,"C1",Table1[[#This Row],[Previous Marks]]&gt;40,"C2")</f>
        <v>A2</v>
      </c>
      <c r="F164">
        <v>92</v>
      </c>
    </row>
    <row r="165" spans="2:6" x14ac:dyDescent="0.3">
      <c r="B165">
        <v>72</v>
      </c>
      <c r="C165" t="str" cm="1">
        <f t="array" ref="C165">_xlfn.IFS(B165&gt;90,"A1",B165&gt;80,"A2",B165&gt;70,"B1",B165&gt;60,"B2",B165&gt;50,"C1",B165&gt;40,"C2")</f>
        <v>B1</v>
      </c>
      <c r="D165">
        <v>70</v>
      </c>
      <c r="E165" t="str" cm="1">
        <f t="array" ref="E165">_xlfn.IFS(Table1[[#This Row],[Previous Marks]]&gt;90,"A1",Table1[[#This Row],[Previous Marks]]&gt;80,"A2",Table1[[#This Row],[Previous Marks]]&gt;70,"B1",Table1[[#This Row],[Previous Marks]]&gt;60,"B2",Table1[[#This Row],[Previous Marks]]&gt;50,"C1",Table1[[#This Row],[Previous Marks]]&gt;40,"C2")</f>
        <v>B2</v>
      </c>
      <c r="F165">
        <v>85</v>
      </c>
    </row>
    <row r="166" spans="2:6" x14ac:dyDescent="0.3">
      <c r="B166">
        <v>62</v>
      </c>
      <c r="C166" t="str" cm="1">
        <f t="array" ref="C166">_xlfn.IFS(B166&gt;90,"A1",B166&gt;80,"A2",B166&gt;70,"B1",B166&gt;60,"B2",B166&gt;50,"C1",B166&gt;40,"C2")</f>
        <v>B2</v>
      </c>
      <c r="D166">
        <v>88</v>
      </c>
      <c r="E166" t="str" cm="1">
        <f t="array" ref="E166">_xlfn.IFS(Table1[[#This Row],[Previous Marks]]&gt;90,"A1",Table1[[#This Row],[Previous Marks]]&gt;80,"A2",Table1[[#This Row],[Previous Marks]]&gt;70,"B1",Table1[[#This Row],[Previous Marks]]&gt;60,"B2",Table1[[#This Row],[Previous Marks]]&gt;50,"C1",Table1[[#This Row],[Previous Marks]]&gt;40,"C2")</f>
        <v>A2</v>
      </c>
      <c r="F166">
        <v>85</v>
      </c>
    </row>
    <row r="167" spans="2:6" x14ac:dyDescent="0.3">
      <c r="B167">
        <v>72</v>
      </c>
      <c r="C167" t="str" cm="1">
        <f t="array" ref="C167">_xlfn.IFS(B167&gt;90,"A1",B167&gt;80,"A2",B167&gt;70,"B1",B167&gt;60,"B2",B167&gt;50,"C1",B167&gt;40,"C2")</f>
        <v>B1</v>
      </c>
      <c r="D167">
        <v>70</v>
      </c>
      <c r="E167" t="str" cm="1">
        <f t="array" ref="E167">_xlfn.IFS(Table1[[#This Row],[Previous Marks]]&gt;90,"A1",Table1[[#This Row],[Previous Marks]]&gt;80,"A2",Table1[[#This Row],[Previous Marks]]&gt;70,"B1",Table1[[#This Row],[Previous Marks]]&gt;60,"B2",Table1[[#This Row],[Previous Marks]]&gt;50,"C1",Table1[[#This Row],[Previous Marks]]&gt;40,"C2")</f>
        <v>B2</v>
      </c>
      <c r="F167">
        <v>90</v>
      </c>
    </row>
    <row r="168" spans="2:6" x14ac:dyDescent="0.3">
      <c r="B168">
        <v>92</v>
      </c>
      <c r="C168" t="str" cm="1">
        <f t="array" ref="C168">_xlfn.IFS(B168&gt;90,"A1",B168&gt;80,"A2",B168&gt;70,"B1",B168&gt;60,"B2",B168&gt;50,"C1",B168&gt;40,"C2")</f>
        <v>A1</v>
      </c>
      <c r="D168">
        <v>88</v>
      </c>
      <c r="E168" t="str" cm="1">
        <f t="array" ref="E168">_xlfn.IFS(Table1[[#This Row],[Previous Marks]]&gt;90,"A1",Table1[[#This Row],[Previous Marks]]&gt;80,"A2",Table1[[#This Row],[Previous Marks]]&gt;70,"B1",Table1[[#This Row],[Previous Marks]]&gt;60,"B2",Table1[[#This Row],[Previous Marks]]&gt;50,"C1",Table1[[#This Row],[Previous Marks]]&gt;40,"C2")</f>
        <v>A2</v>
      </c>
      <c r="F168">
        <v>88</v>
      </c>
    </row>
    <row r="169" spans="2:6" x14ac:dyDescent="0.3">
      <c r="B169">
        <v>68</v>
      </c>
      <c r="C169" t="str" cm="1">
        <f t="array" ref="C169">_xlfn.IFS(B169&gt;90,"A1",B169&gt;80,"A2",B169&gt;70,"B1",B169&gt;60,"B2",B169&gt;50,"C1",B169&gt;40,"C2")</f>
        <v>B2</v>
      </c>
      <c r="D169">
        <v>70</v>
      </c>
      <c r="E169" t="str" cm="1">
        <f t="array" ref="E169">_xlfn.IFS(Table1[[#This Row],[Previous Marks]]&gt;90,"A1",Table1[[#This Row],[Previous Marks]]&gt;80,"A2",Table1[[#This Row],[Previous Marks]]&gt;70,"B1",Table1[[#This Row],[Previous Marks]]&gt;60,"B2",Table1[[#This Row],[Previous Marks]]&gt;50,"C1",Table1[[#This Row],[Previous Marks]]&gt;40,"C2")</f>
        <v>B2</v>
      </c>
      <c r="F169">
        <v>85</v>
      </c>
    </row>
    <row r="170" spans="2:6" x14ac:dyDescent="0.3">
      <c r="B170">
        <v>92</v>
      </c>
      <c r="C170" t="str" cm="1">
        <f t="array" ref="C170">_xlfn.IFS(B170&gt;90,"A1",B170&gt;80,"A2",B170&gt;70,"B1",B170&gt;60,"B2",B170&gt;50,"C1",B170&gt;40,"C2")</f>
        <v>A1</v>
      </c>
      <c r="D170">
        <v>77</v>
      </c>
      <c r="E170" t="str" cm="1">
        <f t="array" ref="E170">_xlfn.IFS(Table1[[#This Row],[Previous Marks]]&gt;90,"A1",Table1[[#This Row],[Previous Marks]]&gt;80,"A2",Table1[[#This Row],[Previous Marks]]&gt;70,"B1",Table1[[#This Row],[Previous Marks]]&gt;60,"B2",Table1[[#This Row],[Previous Marks]]&gt;50,"C1",Table1[[#This Row],[Previous Marks]]&gt;40,"C2")</f>
        <v>B1</v>
      </c>
      <c r="F170">
        <v>78</v>
      </c>
    </row>
    <row r="171" spans="2:6" x14ac:dyDescent="0.3">
      <c r="B171">
        <v>80</v>
      </c>
      <c r="C171" t="str" cm="1">
        <f t="array" ref="C171">_xlfn.IFS(B171&gt;90,"A1",B171&gt;80,"A2",B171&gt;70,"B1",B171&gt;60,"B2",B171&gt;50,"C1",B171&gt;40,"C2")</f>
        <v>B1</v>
      </c>
      <c r="D171">
        <v>70</v>
      </c>
      <c r="E171" t="str" cm="1">
        <f t="array" ref="E171">_xlfn.IFS(Table1[[#This Row],[Previous Marks]]&gt;90,"A1",Table1[[#This Row],[Previous Marks]]&gt;80,"A2",Table1[[#This Row],[Previous Marks]]&gt;70,"B1",Table1[[#This Row],[Previous Marks]]&gt;60,"B2",Table1[[#This Row],[Previous Marks]]&gt;50,"C1",Table1[[#This Row],[Previous Marks]]&gt;40,"C2")</f>
        <v>B2</v>
      </c>
      <c r="F171">
        <v>82</v>
      </c>
    </row>
    <row r="172" spans="2:6" x14ac:dyDescent="0.3">
      <c r="B172">
        <v>62</v>
      </c>
      <c r="C172" t="str" cm="1">
        <f t="array" ref="C172">_xlfn.IFS(B172&gt;90,"A1",B172&gt;80,"A2",B172&gt;70,"B1",B172&gt;60,"B2",B172&gt;50,"C1",B172&gt;40,"C2")</f>
        <v>B2</v>
      </c>
      <c r="D172">
        <v>85</v>
      </c>
      <c r="E172" t="str" cm="1">
        <f t="array" ref="E172">_xlfn.IFS(Table1[[#This Row],[Previous Marks]]&gt;90,"A1",Table1[[#This Row],[Previous Marks]]&gt;80,"A2",Table1[[#This Row],[Previous Marks]]&gt;70,"B1",Table1[[#This Row],[Previous Marks]]&gt;60,"B2",Table1[[#This Row],[Previous Marks]]&gt;50,"C1",Table1[[#This Row],[Previous Marks]]&gt;40,"C2")</f>
        <v>A2</v>
      </c>
      <c r="F172">
        <v>95</v>
      </c>
    </row>
    <row r="173" spans="2:6" x14ac:dyDescent="0.3">
      <c r="B173">
        <v>62</v>
      </c>
      <c r="C173" t="str" cm="1">
        <f t="array" ref="C173">_xlfn.IFS(B173&gt;90,"A1",B173&gt;80,"A2",B173&gt;70,"B1",B173&gt;60,"B2",B173&gt;50,"C1",B173&gt;40,"C2")</f>
        <v>B2</v>
      </c>
      <c r="D173">
        <v>70</v>
      </c>
      <c r="E173" t="str" cm="1">
        <f t="array" ref="E173">_xlfn.IFS(Table1[[#This Row],[Previous Marks]]&gt;90,"A1",Table1[[#This Row],[Previous Marks]]&gt;80,"A2",Table1[[#This Row],[Previous Marks]]&gt;70,"B1",Table1[[#This Row],[Previous Marks]]&gt;60,"B2",Table1[[#This Row],[Previous Marks]]&gt;50,"C1",Table1[[#This Row],[Previous Marks]]&gt;40,"C2")</f>
        <v>B2</v>
      </c>
      <c r="F173">
        <v>85</v>
      </c>
    </row>
    <row r="174" spans="2:6" x14ac:dyDescent="0.3">
      <c r="B174">
        <v>85</v>
      </c>
      <c r="C174" t="str" cm="1">
        <f t="array" ref="C174">_xlfn.IFS(B174&gt;90,"A1",B174&gt;80,"A2",B174&gt;70,"B1",B174&gt;60,"B2",B174&gt;50,"C1",B174&gt;40,"C2")</f>
        <v>A2</v>
      </c>
      <c r="D174">
        <v>85</v>
      </c>
      <c r="E174" t="str" cm="1">
        <f t="array" ref="E174">_xlfn.IFS(Table1[[#This Row],[Previous Marks]]&gt;90,"A1",Table1[[#This Row],[Previous Marks]]&gt;80,"A2",Table1[[#This Row],[Previous Marks]]&gt;70,"B1",Table1[[#This Row],[Previous Marks]]&gt;60,"B2",Table1[[#This Row],[Previous Marks]]&gt;50,"C1",Table1[[#This Row],[Previous Marks]]&gt;40,"C2")</f>
        <v>A2</v>
      </c>
      <c r="F174">
        <v>95</v>
      </c>
    </row>
    <row r="175" spans="2:6" x14ac:dyDescent="0.3">
      <c r="B175">
        <v>62</v>
      </c>
      <c r="C175" t="str" cm="1">
        <f t="array" ref="C175">_xlfn.IFS(B175&gt;90,"A1",B175&gt;80,"A2",B175&gt;70,"B1",B175&gt;60,"B2",B175&gt;50,"C1",B175&gt;40,"C2")</f>
        <v>B2</v>
      </c>
      <c r="D175">
        <v>78</v>
      </c>
      <c r="E175" t="str" cm="1">
        <f t="array" ref="E175">_xlfn.IFS(Table1[[#This Row],[Previous Marks]]&gt;90,"A1",Table1[[#This Row],[Previous Marks]]&gt;80,"A2",Table1[[#This Row],[Previous Marks]]&gt;70,"B1",Table1[[#This Row],[Previous Marks]]&gt;60,"B2",Table1[[#This Row],[Previous Marks]]&gt;50,"C1",Table1[[#This Row],[Previous Marks]]&gt;40,"C2")</f>
        <v>B1</v>
      </c>
      <c r="F175">
        <v>95</v>
      </c>
    </row>
    <row r="176" spans="2:6" x14ac:dyDescent="0.3">
      <c r="B176">
        <v>88</v>
      </c>
      <c r="C176" t="str" cm="1">
        <f t="array" ref="C176">_xlfn.IFS(B176&gt;90,"A1",B176&gt;80,"A2",B176&gt;70,"B1",B176&gt;60,"B2",B176&gt;50,"C1",B176&gt;40,"C2")</f>
        <v>A2</v>
      </c>
      <c r="D176">
        <v>65</v>
      </c>
      <c r="E176" t="str" cm="1">
        <f t="array" ref="E176">_xlfn.IFS(Table1[[#This Row],[Previous Marks]]&gt;90,"A1",Table1[[#This Row],[Previous Marks]]&gt;80,"A2",Table1[[#This Row],[Previous Marks]]&gt;70,"B1",Table1[[#This Row],[Previous Marks]]&gt;60,"B2",Table1[[#This Row],[Previous Marks]]&gt;50,"C1",Table1[[#This Row],[Previous Marks]]&gt;40,"C2")</f>
        <v>B2</v>
      </c>
      <c r="F176">
        <v>85.510416666666671</v>
      </c>
    </row>
    <row r="177" spans="2:6" x14ac:dyDescent="0.3">
      <c r="B177">
        <v>80</v>
      </c>
      <c r="C177" t="str" cm="1">
        <f t="array" ref="C177">_xlfn.IFS(B177&gt;90,"A1",B177&gt;80,"A2",B177&gt;70,"B1",B177&gt;60,"B2",B177&gt;50,"C1",B177&gt;40,"C2")</f>
        <v>B1</v>
      </c>
      <c r="D177">
        <v>88</v>
      </c>
      <c r="E177" t="str" cm="1">
        <f t="array" ref="E177">_xlfn.IFS(Table1[[#This Row],[Previous Marks]]&gt;90,"A1",Table1[[#This Row],[Previous Marks]]&gt;80,"A2",Table1[[#This Row],[Previous Marks]]&gt;70,"B1",Table1[[#This Row],[Previous Marks]]&gt;60,"B2",Table1[[#This Row],[Previous Marks]]&gt;50,"C1",Table1[[#This Row],[Previous Marks]]&gt;40,"C2")</f>
        <v>A2</v>
      </c>
      <c r="F177">
        <v>92</v>
      </c>
    </row>
    <row r="178" spans="2:6" x14ac:dyDescent="0.3">
      <c r="B178">
        <v>90</v>
      </c>
      <c r="C178" t="str" cm="1">
        <f t="array" ref="C178">_xlfn.IFS(B178&gt;90,"A1",B178&gt;80,"A2",B178&gt;70,"B1",B178&gt;60,"B2",B178&gt;50,"C1",B178&gt;40,"C2")</f>
        <v>A2</v>
      </c>
      <c r="D178">
        <v>86</v>
      </c>
      <c r="E178" t="str" cm="1">
        <f t="array" ref="E178">_xlfn.IFS(Table1[[#This Row],[Previous Marks]]&gt;90,"A1",Table1[[#This Row],[Previous Marks]]&gt;80,"A2",Table1[[#This Row],[Previous Marks]]&gt;70,"B1",Table1[[#This Row],[Previous Marks]]&gt;60,"B2",Table1[[#This Row],[Previous Marks]]&gt;50,"C1",Table1[[#This Row],[Previous Marks]]&gt;40,"C2")</f>
        <v>A2</v>
      </c>
      <c r="F178">
        <v>85</v>
      </c>
    </row>
    <row r="179" spans="2:6" x14ac:dyDescent="0.3">
      <c r="B179">
        <v>72</v>
      </c>
      <c r="C179" t="str" cm="1">
        <f t="array" ref="C179">_xlfn.IFS(B179&gt;90,"A1",B179&gt;80,"A2",B179&gt;70,"B1",B179&gt;60,"B2",B179&gt;50,"C1",B179&gt;40,"C2")</f>
        <v>B1</v>
      </c>
      <c r="D179">
        <v>77</v>
      </c>
      <c r="E179" t="str" cm="1">
        <f t="array" ref="E179">_xlfn.IFS(Table1[[#This Row],[Previous Marks]]&gt;90,"A1",Table1[[#This Row],[Previous Marks]]&gt;80,"A2",Table1[[#This Row],[Previous Marks]]&gt;70,"B1",Table1[[#This Row],[Previous Marks]]&gt;60,"B2",Table1[[#This Row],[Previous Marks]]&gt;50,"C1",Table1[[#This Row],[Previous Marks]]&gt;40,"C2")</f>
        <v>B1</v>
      </c>
      <c r="F179">
        <v>85</v>
      </c>
    </row>
    <row r="180" spans="2:6" x14ac:dyDescent="0.3">
      <c r="B180">
        <v>68</v>
      </c>
      <c r="C180" t="str" cm="1">
        <f t="array" ref="C180">_xlfn.IFS(B180&gt;90,"A1",B180&gt;80,"A2",B180&gt;70,"B1",B180&gt;60,"B2",B180&gt;50,"C1",B180&gt;40,"C2")</f>
        <v>B2</v>
      </c>
      <c r="D180">
        <v>77</v>
      </c>
      <c r="E180" t="str" cm="1">
        <f t="array" ref="E180">_xlfn.IFS(Table1[[#This Row],[Previous Marks]]&gt;90,"A1",Table1[[#This Row],[Previous Marks]]&gt;80,"A2",Table1[[#This Row],[Previous Marks]]&gt;70,"B1",Table1[[#This Row],[Previous Marks]]&gt;60,"B2",Table1[[#This Row],[Previous Marks]]&gt;50,"C1",Table1[[#This Row],[Previous Marks]]&gt;40,"C2")</f>
        <v>B1</v>
      </c>
      <c r="F180">
        <v>91</v>
      </c>
    </row>
    <row r="181" spans="2:6" x14ac:dyDescent="0.3">
      <c r="B181">
        <v>85</v>
      </c>
      <c r="C181" t="str" cm="1">
        <f t="array" ref="C181">_xlfn.IFS(B181&gt;90,"A1",B181&gt;80,"A2",B181&gt;70,"B1",B181&gt;60,"B2",B181&gt;50,"C1",B181&gt;40,"C2")</f>
        <v>A2</v>
      </c>
      <c r="D181">
        <v>85</v>
      </c>
      <c r="E181" t="str" cm="1">
        <f t="array" ref="E181">_xlfn.IFS(Table1[[#This Row],[Previous Marks]]&gt;90,"A1",Table1[[#This Row],[Previous Marks]]&gt;80,"A2",Table1[[#This Row],[Previous Marks]]&gt;70,"B1",Table1[[#This Row],[Previous Marks]]&gt;60,"B2",Table1[[#This Row],[Previous Marks]]&gt;50,"C1",Table1[[#This Row],[Previous Marks]]&gt;40,"C2")</f>
        <v>A2</v>
      </c>
      <c r="F181">
        <v>95</v>
      </c>
    </row>
    <row r="182" spans="2:6" x14ac:dyDescent="0.3">
      <c r="B182">
        <v>80</v>
      </c>
      <c r="C182" t="str" cm="1">
        <f t="array" ref="C182">_xlfn.IFS(B182&gt;90,"A1",B182&gt;80,"A2",B182&gt;70,"B1",B182&gt;60,"B2",B182&gt;50,"C1",B182&gt;40,"C2")</f>
        <v>B1</v>
      </c>
      <c r="D182">
        <v>65</v>
      </c>
      <c r="E182" t="str" cm="1">
        <f t="array" ref="E182">_xlfn.IFS(Table1[[#This Row],[Previous Marks]]&gt;90,"A1",Table1[[#This Row],[Previous Marks]]&gt;80,"A2",Table1[[#This Row],[Previous Marks]]&gt;70,"B1",Table1[[#This Row],[Previous Marks]]&gt;60,"B2",Table1[[#This Row],[Previous Marks]]&gt;50,"C1",Table1[[#This Row],[Previous Marks]]&gt;40,"C2")</f>
        <v>B2</v>
      </c>
      <c r="F182">
        <v>90</v>
      </c>
    </row>
    <row r="183" spans="2:6" x14ac:dyDescent="0.3">
      <c r="B183">
        <v>78</v>
      </c>
      <c r="C183" t="str" cm="1">
        <f t="array" ref="C183">_xlfn.IFS(B183&gt;90,"A1",B183&gt;80,"A2",B183&gt;70,"B1",B183&gt;60,"B2",B183&gt;50,"C1",B183&gt;40,"C2")</f>
        <v>B1</v>
      </c>
      <c r="D183">
        <v>85</v>
      </c>
      <c r="E183" t="str" cm="1">
        <f t="array" ref="E183">_xlfn.IFS(Table1[[#This Row],[Previous Marks]]&gt;90,"A1",Table1[[#This Row],[Previous Marks]]&gt;80,"A2",Table1[[#This Row],[Previous Marks]]&gt;70,"B1",Table1[[#This Row],[Previous Marks]]&gt;60,"B2",Table1[[#This Row],[Previous Marks]]&gt;50,"C1",Table1[[#This Row],[Previous Marks]]&gt;40,"C2")</f>
        <v>A2</v>
      </c>
      <c r="F183">
        <v>91</v>
      </c>
    </row>
    <row r="184" spans="2:6" x14ac:dyDescent="0.3">
      <c r="B184">
        <v>72</v>
      </c>
      <c r="C184" t="str" cm="1">
        <f t="array" ref="C184">_xlfn.IFS(B184&gt;90,"A1",B184&gt;80,"A2",B184&gt;70,"B1",B184&gt;60,"B2",B184&gt;50,"C1",B184&gt;40,"C2")</f>
        <v>B1</v>
      </c>
      <c r="D184">
        <v>77</v>
      </c>
      <c r="E184" t="str" cm="1">
        <f t="array" ref="E184">_xlfn.IFS(Table1[[#This Row],[Previous Marks]]&gt;90,"A1",Table1[[#This Row],[Previous Marks]]&gt;80,"A2",Table1[[#This Row],[Previous Marks]]&gt;70,"B1",Table1[[#This Row],[Previous Marks]]&gt;60,"B2",Table1[[#This Row],[Previous Marks]]&gt;50,"C1",Table1[[#This Row],[Previous Marks]]&gt;40,"C2")</f>
        <v>B1</v>
      </c>
      <c r="F184">
        <v>95</v>
      </c>
    </row>
    <row r="185" spans="2:6" x14ac:dyDescent="0.3">
      <c r="B185">
        <v>85</v>
      </c>
      <c r="C185" t="str" cm="1">
        <f t="array" ref="C185">_xlfn.IFS(B185&gt;90,"A1",B185&gt;80,"A2",B185&gt;70,"B1",B185&gt;60,"B2",B185&gt;50,"C1",B185&gt;40,"C2")</f>
        <v>A2</v>
      </c>
      <c r="D185">
        <v>85</v>
      </c>
      <c r="E185" t="str" cm="1">
        <f t="array" ref="E185">_xlfn.IFS(Table1[[#This Row],[Previous Marks]]&gt;90,"A1",Table1[[#This Row],[Previous Marks]]&gt;80,"A2",Table1[[#This Row],[Previous Marks]]&gt;70,"B1",Table1[[#This Row],[Previous Marks]]&gt;60,"B2",Table1[[#This Row],[Previous Marks]]&gt;50,"C1",Table1[[#This Row],[Previous Marks]]&gt;40,"C2")</f>
        <v>A2</v>
      </c>
      <c r="F185">
        <v>82</v>
      </c>
    </row>
    <row r="186" spans="2:6" x14ac:dyDescent="0.3">
      <c r="B186">
        <v>68</v>
      </c>
      <c r="C186" t="str" cm="1">
        <f t="array" ref="C186">_xlfn.IFS(B186&gt;90,"A1",B186&gt;80,"A2",B186&gt;70,"B1",B186&gt;60,"B2",B186&gt;50,"C1",B186&gt;40,"C2")</f>
        <v>B2</v>
      </c>
      <c r="D186">
        <v>90</v>
      </c>
      <c r="E186" t="str" cm="1">
        <f t="array" ref="E186">_xlfn.IFS(Table1[[#This Row],[Previous Marks]]&gt;90,"A1",Table1[[#This Row],[Previous Marks]]&gt;80,"A2",Table1[[#This Row],[Previous Marks]]&gt;70,"B1",Table1[[#This Row],[Previous Marks]]&gt;60,"B2",Table1[[#This Row],[Previous Marks]]&gt;50,"C1",Table1[[#This Row],[Previous Marks]]&gt;40,"C2")</f>
        <v>A2</v>
      </c>
      <c r="F186">
        <v>90</v>
      </c>
    </row>
    <row r="187" spans="2:6" x14ac:dyDescent="0.3">
      <c r="B187">
        <v>88</v>
      </c>
      <c r="C187" t="str" cm="1">
        <f t="array" ref="C187">_xlfn.IFS(B187&gt;90,"A1",B187&gt;80,"A2",B187&gt;70,"B1",B187&gt;60,"B2",B187&gt;50,"C1",B187&gt;40,"C2")</f>
        <v>A2</v>
      </c>
      <c r="D187">
        <v>65</v>
      </c>
      <c r="E187" t="str" cm="1">
        <f t="array" ref="E187">_xlfn.IFS(Table1[[#This Row],[Previous Marks]]&gt;90,"A1",Table1[[#This Row],[Previous Marks]]&gt;80,"A2",Table1[[#This Row],[Previous Marks]]&gt;70,"B1",Table1[[#This Row],[Previous Marks]]&gt;60,"B2",Table1[[#This Row],[Previous Marks]]&gt;50,"C1",Table1[[#This Row],[Previous Marks]]&gt;40,"C2")</f>
        <v>B2</v>
      </c>
      <c r="F187">
        <v>91</v>
      </c>
    </row>
    <row r="188" spans="2:6" x14ac:dyDescent="0.3">
      <c r="B188">
        <v>92</v>
      </c>
      <c r="C188" t="str" cm="1">
        <f t="array" ref="C188">_xlfn.IFS(B188&gt;90,"A1",B188&gt;80,"A2",B188&gt;70,"B1",B188&gt;60,"B2",B188&gt;50,"C1",B188&gt;40,"C2")</f>
        <v>A1</v>
      </c>
      <c r="D188">
        <v>86</v>
      </c>
      <c r="E188" t="str" cm="1">
        <f t="array" ref="E188">_xlfn.IFS(Table1[[#This Row],[Previous Marks]]&gt;90,"A1",Table1[[#This Row],[Previous Marks]]&gt;80,"A2",Table1[[#This Row],[Previous Marks]]&gt;70,"B1",Table1[[#This Row],[Previous Marks]]&gt;60,"B2",Table1[[#This Row],[Previous Marks]]&gt;50,"C1",Table1[[#This Row],[Previous Marks]]&gt;40,"C2")</f>
        <v>A2</v>
      </c>
      <c r="F188">
        <v>90</v>
      </c>
    </row>
    <row r="189" spans="2:6" x14ac:dyDescent="0.3">
      <c r="B189">
        <v>78</v>
      </c>
      <c r="C189" t="str" cm="1">
        <f t="array" ref="C189">_xlfn.IFS(B189&gt;90,"A1",B189&gt;80,"A2",B189&gt;70,"B1",B189&gt;60,"B2",B189&gt;50,"C1",B189&gt;40,"C2")</f>
        <v>B1</v>
      </c>
      <c r="D189">
        <v>90</v>
      </c>
      <c r="E189" t="str" cm="1">
        <f t="array" ref="E189">_xlfn.IFS(Table1[[#This Row],[Previous Marks]]&gt;90,"A1",Table1[[#This Row],[Previous Marks]]&gt;80,"A2",Table1[[#This Row],[Previous Marks]]&gt;70,"B1",Table1[[#This Row],[Previous Marks]]&gt;60,"B2",Table1[[#This Row],[Previous Marks]]&gt;50,"C1",Table1[[#This Row],[Previous Marks]]&gt;40,"C2")</f>
        <v>A2</v>
      </c>
      <c r="F189">
        <v>88</v>
      </c>
    </row>
    <row r="190" spans="2:6" x14ac:dyDescent="0.3">
      <c r="B190">
        <v>68</v>
      </c>
      <c r="C190" t="str" cm="1">
        <f t="array" ref="C190">_xlfn.IFS(B190&gt;90,"A1",B190&gt;80,"A2",B190&gt;70,"B1",B190&gt;60,"B2",B190&gt;50,"C1",B190&gt;40,"C2")</f>
        <v>B2</v>
      </c>
      <c r="D190">
        <v>90</v>
      </c>
      <c r="E190" t="str" cm="1">
        <f t="array" ref="E190">_xlfn.IFS(Table1[[#This Row],[Previous Marks]]&gt;90,"A1",Table1[[#This Row],[Previous Marks]]&gt;80,"A2",Table1[[#This Row],[Previous Marks]]&gt;70,"B1",Table1[[#This Row],[Previous Marks]]&gt;60,"B2",Table1[[#This Row],[Previous Marks]]&gt;50,"C1",Table1[[#This Row],[Previous Marks]]&gt;40,"C2")</f>
        <v>A2</v>
      </c>
      <c r="F190">
        <v>85</v>
      </c>
    </row>
    <row r="191" spans="2:6" x14ac:dyDescent="0.3">
      <c r="B191">
        <v>90</v>
      </c>
      <c r="C191" t="str" cm="1">
        <f t="array" ref="C191">_xlfn.IFS(B191&gt;90,"A1",B191&gt;80,"A2",B191&gt;70,"B1",B191&gt;60,"B2",B191&gt;50,"C1",B191&gt;40,"C2")</f>
        <v>A2</v>
      </c>
      <c r="D191">
        <v>70</v>
      </c>
      <c r="E191" t="str" cm="1">
        <f t="array" ref="E191">_xlfn.IFS(Table1[[#This Row],[Previous Marks]]&gt;90,"A1",Table1[[#This Row],[Previous Marks]]&gt;80,"A2",Table1[[#This Row],[Previous Marks]]&gt;70,"B1",Table1[[#This Row],[Previous Marks]]&gt;60,"B2",Table1[[#This Row],[Previous Marks]]&gt;50,"C1",Table1[[#This Row],[Previous Marks]]&gt;40,"C2")</f>
        <v>B2</v>
      </c>
      <c r="F191">
        <v>78</v>
      </c>
    </row>
    <row r="192" spans="2:6" x14ac:dyDescent="0.3">
      <c r="B192">
        <v>88</v>
      </c>
      <c r="C192" t="str" cm="1">
        <f t="array" ref="C192">_xlfn.IFS(B192&gt;90,"A1",B192&gt;80,"A2",B192&gt;70,"B1",B192&gt;60,"B2",B192&gt;50,"C1",B192&gt;40,"C2")</f>
        <v>A2</v>
      </c>
      <c r="D192">
        <v>78</v>
      </c>
      <c r="E192" t="str" cm="1">
        <f t="array" ref="E192">_xlfn.IFS(Table1[[#This Row],[Previous Marks]]&gt;90,"A1",Table1[[#This Row],[Previous Marks]]&gt;80,"A2",Table1[[#This Row],[Previous Marks]]&gt;70,"B1",Table1[[#This Row],[Previous Marks]]&gt;60,"B2",Table1[[#This Row],[Previous Marks]]&gt;50,"C1",Table1[[#This Row],[Previous Marks]]&gt;40,"C2")</f>
        <v>B1</v>
      </c>
      <c r="F192">
        <v>78</v>
      </c>
    </row>
    <row r="193" spans="2:6" x14ac:dyDescent="0.3">
      <c r="B193">
        <v>85</v>
      </c>
      <c r="C193" t="str" cm="1">
        <f t="array" ref="C193">_xlfn.IFS(B193&gt;90,"A1",B193&gt;80,"A2",B193&gt;70,"B1",B193&gt;60,"B2",B193&gt;50,"C1",B193&gt;40,"C2")</f>
        <v>A2</v>
      </c>
      <c r="D193">
        <v>77.598759048603924</v>
      </c>
      <c r="E193" t="str" cm="1">
        <f t="array" ref="E193">_xlfn.IFS(Table1[[#This Row],[Previous Marks]]&gt;90,"A1",Table1[[#This Row],[Previous Marks]]&gt;80,"A2",Table1[[#This Row],[Previous Marks]]&gt;70,"B1",Table1[[#This Row],[Previous Marks]]&gt;60,"B2",Table1[[#This Row],[Previous Marks]]&gt;50,"C1",Table1[[#This Row],[Previous Marks]]&gt;40,"C2")</f>
        <v>B1</v>
      </c>
      <c r="F193">
        <v>78</v>
      </c>
    </row>
    <row r="194" spans="2:6" x14ac:dyDescent="0.3">
      <c r="B194">
        <v>80</v>
      </c>
      <c r="C194" t="str" cm="1">
        <f t="array" ref="C194">_xlfn.IFS(B194&gt;90,"A1",B194&gt;80,"A2",B194&gt;70,"B1",B194&gt;60,"B2",B194&gt;50,"C1",B194&gt;40,"C2")</f>
        <v>B1</v>
      </c>
      <c r="D194">
        <v>86</v>
      </c>
      <c r="E194" t="str" cm="1">
        <f t="array" ref="E194">_xlfn.IFS(Table1[[#This Row],[Previous Marks]]&gt;90,"A1",Table1[[#This Row],[Previous Marks]]&gt;80,"A2",Table1[[#This Row],[Previous Marks]]&gt;70,"B1",Table1[[#This Row],[Previous Marks]]&gt;60,"B2",Table1[[#This Row],[Previous Marks]]&gt;50,"C1",Table1[[#This Row],[Previous Marks]]&gt;40,"C2")</f>
        <v>A2</v>
      </c>
      <c r="F194">
        <v>92</v>
      </c>
    </row>
    <row r="195" spans="2:6" x14ac:dyDescent="0.3">
      <c r="B195">
        <v>90</v>
      </c>
      <c r="C195" t="str" cm="1">
        <f t="array" ref="C195">_xlfn.IFS(B195&gt;90,"A1",B195&gt;80,"A2",B195&gt;70,"B1",B195&gt;60,"B2",B195&gt;50,"C1",B195&gt;40,"C2")</f>
        <v>A2</v>
      </c>
      <c r="D195">
        <v>65</v>
      </c>
      <c r="E195" t="str" cm="1">
        <f t="array" ref="E195">_xlfn.IFS(Table1[[#This Row],[Previous Marks]]&gt;90,"A1",Table1[[#This Row],[Previous Marks]]&gt;80,"A2",Table1[[#This Row],[Previous Marks]]&gt;70,"B1",Table1[[#This Row],[Previous Marks]]&gt;60,"B2",Table1[[#This Row],[Previous Marks]]&gt;50,"C1",Table1[[#This Row],[Previous Marks]]&gt;40,"C2")</f>
        <v>B2</v>
      </c>
      <c r="F195">
        <v>90</v>
      </c>
    </row>
    <row r="196" spans="2:6" x14ac:dyDescent="0.3">
      <c r="B196">
        <v>85</v>
      </c>
      <c r="C196" t="str" cm="1">
        <f t="array" ref="C196">_xlfn.IFS(B196&gt;90,"A1",B196&gt;80,"A2",B196&gt;70,"B1",B196&gt;60,"B2",B196&gt;50,"C1",B196&gt;40,"C2")</f>
        <v>A2</v>
      </c>
      <c r="D196">
        <v>90</v>
      </c>
      <c r="E196" t="str" cm="1">
        <f t="array" ref="E196">_xlfn.IFS(Table1[[#This Row],[Previous Marks]]&gt;90,"A1",Table1[[#This Row],[Previous Marks]]&gt;80,"A2",Table1[[#This Row],[Previous Marks]]&gt;70,"B1",Table1[[#This Row],[Previous Marks]]&gt;60,"B2",Table1[[#This Row],[Previous Marks]]&gt;50,"C1",Table1[[#This Row],[Previous Marks]]&gt;40,"C2")</f>
        <v>A2</v>
      </c>
      <c r="F196">
        <v>91</v>
      </c>
    </row>
    <row r="197" spans="2:6" x14ac:dyDescent="0.3">
      <c r="B197">
        <v>72</v>
      </c>
      <c r="C197" t="str" cm="1">
        <f t="array" ref="C197">_xlfn.IFS(B197&gt;90,"A1",B197&gt;80,"A2",B197&gt;70,"B1",B197&gt;60,"B2",B197&gt;50,"C1",B197&gt;40,"C2")</f>
        <v>B1</v>
      </c>
      <c r="D197">
        <v>60</v>
      </c>
      <c r="E197" t="str" cm="1">
        <f t="array" ref="E197">_xlfn.IFS(Table1[[#This Row],[Previous Marks]]&gt;90,"A1",Table1[[#This Row],[Previous Marks]]&gt;80,"A2",Table1[[#This Row],[Previous Marks]]&gt;70,"B1",Table1[[#This Row],[Previous Marks]]&gt;60,"B2",Table1[[#This Row],[Previous Marks]]&gt;50,"C1",Table1[[#This Row],[Previous Marks]]&gt;40,"C2")</f>
        <v>C1</v>
      </c>
      <c r="F197">
        <v>78</v>
      </c>
    </row>
    <row r="198" spans="2:6" x14ac:dyDescent="0.3">
      <c r="B198">
        <v>90</v>
      </c>
      <c r="C198" t="str" cm="1">
        <f t="array" ref="C198">_xlfn.IFS(B198&gt;90,"A1",B198&gt;80,"A2",B198&gt;70,"B1",B198&gt;60,"B2",B198&gt;50,"C1",B198&gt;40,"C2")</f>
        <v>A2</v>
      </c>
      <c r="D198">
        <v>78</v>
      </c>
      <c r="E198" t="str" cm="1">
        <f t="array" ref="E198">_xlfn.IFS(Table1[[#This Row],[Previous Marks]]&gt;90,"A1",Table1[[#This Row],[Previous Marks]]&gt;80,"A2",Table1[[#This Row],[Previous Marks]]&gt;70,"B1",Table1[[#This Row],[Previous Marks]]&gt;60,"B2",Table1[[#This Row],[Previous Marks]]&gt;50,"C1",Table1[[#This Row],[Previous Marks]]&gt;40,"C2")</f>
        <v>B1</v>
      </c>
      <c r="F198">
        <v>82</v>
      </c>
    </row>
    <row r="199" spans="2:6" x14ac:dyDescent="0.3">
      <c r="B199">
        <v>80.030208333333334</v>
      </c>
      <c r="C199" t="str" cm="1">
        <f t="array" ref="C199">_xlfn.IFS(B199&gt;90,"A1",B199&gt;80,"A2",B199&gt;70,"B1",B199&gt;60,"B2",B199&gt;50,"C1",B199&gt;40,"C2")</f>
        <v>A2</v>
      </c>
      <c r="D199">
        <v>88</v>
      </c>
      <c r="E199" t="str" cm="1">
        <f t="array" ref="E199">_xlfn.IFS(Table1[[#This Row],[Previous Marks]]&gt;90,"A1",Table1[[#This Row],[Previous Marks]]&gt;80,"A2",Table1[[#This Row],[Previous Marks]]&gt;70,"B1",Table1[[#This Row],[Previous Marks]]&gt;60,"B2",Table1[[#This Row],[Previous Marks]]&gt;50,"C1",Table1[[#This Row],[Previous Marks]]&gt;40,"C2")</f>
        <v>A2</v>
      </c>
      <c r="F199">
        <v>95</v>
      </c>
    </row>
    <row r="200" spans="2:6" x14ac:dyDescent="0.3">
      <c r="B200">
        <v>90</v>
      </c>
      <c r="C200" t="str" cm="1">
        <f t="array" ref="C200">_xlfn.IFS(B200&gt;90,"A1",B200&gt;80,"A2",B200&gt;70,"B1",B200&gt;60,"B2",B200&gt;50,"C1",B200&gt;40,"C2")</f>
        <v>A2</v>
      </c>
      <c r="D200">
        <v>77.598759048603924</v>
      </c>
      <c r="E200" t="str" cm="1">
        <f t="array" ref="E200">_xlfn.IFS(Table1[[#This Row],[Previous Marks]]&gt;90,"A1",Table1[[#This Row],[Previous Marks]]&gt;80,"A2",Table1[[#This Row],[Previous Marks]]&gt;70,"B1",Table1[[#This Row],[Previous Marks]]&gt;60,"B2",Table1[[#This Row],[Previous Marks]]&gt;50,"C1",Table1[[#This Row],[Previous Marks]]&gt;40,"C2")</f>
        <v>B1</v>
      </c>
      <c r="F200">
        <v>91</v>
      </c>
    </row>
    <row r="201" spans="2:6" x14ac:dyDescent="0.3">
      <c r="B201">
        <v>80</v>
      </c>
      <c r="C201" t="str" cm="1">
        <f t="array" ref="C201">_xlfn.IFS(B201&gt;90,"A1",B201&gt;80,"A2",B201&gt;70,"B1",B201&gt;60,"B2",B201&gt;50,"C1",B201&gt;40,"C2")</f>
        <v>B1</v>
      </c>
      <c r="D201">
        <v>86</v>
      </c>
      <c r="E201" t="str" cm="1">
        <f t="array" ref="E201">_xlfn.IFS(Table1[[#This Row],[Previous Marks]]&gt;90,"A1",Table1[[#This Row],[Previous Marks]]&gt;80,"A2",Table1[[#This Row],[Previous Marks]]&gt;70,"B1",Table1[[#This Row],[Previous Marks]]&gt;60,"B2",Table1[[#This Row],[Previous Marks]]&gt;50,"C1",Table1[[#This Row],[Previous Marks]]&gt;40,"C2")</f>
        <v>A2</v>
      </c>
      <c r="F201">
        <v>88</v>
      </c>
    </row>
    <row r="202" spans="2:6" x14ac:dyDescent="0.3">
      <c r="B202">
        <v>78</v>
      </c>
      <c r="C202" t="str" cm="1">
        <f t="array" ref="C202">_xlfn.IFS(B202&gt;90,"A1",B202&gt;80,"A2",B202&gt;70,"B1",B202&gt;60,"B2",B202&gt;50,"C1",B202&gt;40,"C2")</f>
        <v>B1</v>
      </c>
      <c r="D202">
        <v>85</v>
      </c>
      <c r="E202" t="str" cm="1">
        <f t="array" ref="E202">_xlfn.IFS(Table1[[#This Row],[Previous Marks]]&gt;90,"A1",Table1[[#This Row],[Previous Marks]]&gt;80,"A2",Table1[[#This Row],[Previous Marks]]&gt;70,"B1",Table1[[#This Row],[Previous Marks]]&gt;60,"B2",Table1[[#This Row],[Previous Marks]]&gt;50,"C1",Table1[[#This Row],[Previous Marks]]&gt;40,"C2")</f>
        <v>A2</v>
      </c>
      <c r="F202">
        <v>85</v>
      </c>
    </row>
    <row r="203" spans="2:6" x14ac:dyDescent="0.3">
      <c r="B203">
        <v>68</v>
      </c>
      <c r="C203" t="str" cm="1">
        <f t="array" ref="C203">_xlfn.IFS(B203&gt;90,"A1",B203&gt;80,"A2",B203&gt;70,"B1",B203&gt;60,"B2",B203&gt;50,"C1",B203&gt;40,"C2")</f>
        <v>B2</v>
      </c>
      <c r="D203">
        <v>77</v>
      </c>
      <c r="E203" t="str" cm="1">
        <f t="array" ref="E203">_xlfn.IFS(Table1[[#This Row],[Previous Marks]]&gt;90,"A1",Table1[[#This Row],[Previous Marks]]&gt;80,"A2",Table1[[#This Row],[Previous Marks]]&gt;70,"B1",Table1[[#This Row],[Previous Marks]]&gt;60,"B2",Table1[[#This Row],[Previous Marks]]&gt;50,"C1",Table1[[#This Row],[Previous Marks]]&gt;40,"C2")</f>
        <v>B1</v>
      </c>
      <c r="F203">
        <v>82</v>
      </c>
    </row>
    <row r="204" spans="2:6" x14ac:dyDescent="0.3">
      <c r="B204">
        <v>72</v>
      </c>
      <c r="C204" t="str" cm="1">
        <f t="array" ref="C204">_xlfn.IFS(B204&gt;90,"A1",B204&gt;80,"A2",B204&gt;70,"B1",B204&gt;60,"B2",B204&gt;50,"C1",B204&gt;40,"C2")</f>
        <v>B1</v>
      </c>
      <c r="D204">
        <v>77</v>
      </c>
      <c r="E204" t="str" cm="1">
        <f t="array" ref="E204">_xlfn.IFS(Table1[[#This Row],[Previous Marks]]&gt;90,"A1",Table1[[#This Row],[Previous Marks]]&gt;80,"A2",Table1[[#This Row],[Previous Marks]]&gt;70,"B1",Table1[[#This Row],[Previous Marks]]&gt;60,"B2",Table1[[#This Row],[Previous Marks]]&gt;50,"C1",Table1[[#This Row],[Previous Marks]]&gt;40,"C2")</f>
        <v>B1</v>
      </c>
      <c r="F204">
        <v>95</v>
      </c>
    </row>
    <row r="205" spans="2:6" x14ac:dyDescent="0.3">
      <c r="B205">
        <v>85</v>
      </c>
      <c r="C205" t="str" cm="1">
        <f t="array" ref="C205">_xlfn.IFS(B205&gt;90,"A1",B205&gt;80,"A2",B205&gt;70,"B1",B205&gt;60,"B2",B205&gt;50,"C1",B205&gt;40,"C2")</f>
        <v>A2</v>
      </c>
      <c r="D205">
        <v>70</v>
      </c>
      <c r="E205" t="str" cm="1">
        <f t="array" ref="E205">_xlfn.IFS(Table1[[#This Row],[Previous Marks]]&gt;90,"A1",Table1[[#This Row],[Previous Marks]]&gt;80,"A2",Table1[[#This Row],[Previous Marks]]&gt;70,"B1",Table1[[#This Row],[Previous Marks]]&gt;60,"B2",Table1[[#This Row],[Previous Marks]]&gt;50,"C1",Table1[[#This Row],[Previous Marks]]&gt;40,"C2")</f>
        <v>B2</v>
      </c>
      <c r="F205">
        <v>92</v>
      </c>
    </row>
    <row r="206" spans="2:6" x14ac:dyDescent="0.3">
      <c r="B206">
        <v>87</v>
      </c>
      <c r="C206" t="str" cm="1">
        <f t="array" ref="C206">_xlfn.IFS(B206&gt;90,"A1",B206&gt;80,"A2",B206&gt;70,"B1",B206&gt;60,"B2",B206&gt;50,"C1",B206&gt;40,"C2")</f>
        <v>A2</v>
      </c>
      <c r="D206">
        <v>70</v>
      </c>
      <c r="E206" t="str" cm="1">
        <f t="array" ref="E206">_xlfn.IFS(Table1[[#This Row],[Previous Marks]]&gt;90,"A1",Table1[[#This Row],[Previous Marks]]&gt;80,"A2",Table1[[#This Row],[Previous Marks]]&gt;70,"B1",Table1[[#This Row],[Previous Marks]]&gt;60,"B2",Table1[[#This Row],[Previous Marks]]&gt;50,"C1",Table1[[#This Row],[Previous Marks]]&gt;40,"C2")</f>
        <v>B2</v>
      </c>
      <c r="F206">
        <v>85</v>
      </c>
    </row>
    <row r="207" spans="2:6" x14ac:dyDescent="0.3">
      <c r="B207">
        <v>87</v>
      </c>
      <c r="C207" t="str" cm="1">
        <f t="array" ref="C207">_xlfn.IFS(B207&gt;90,"A1",B207&gt;80,"A2",B207&gt;70,"B1",B207&gt;60,"B2",B207&gt;50,"C1",B207&gt;40,"C2")</f>
        <v>A2</v>
      </c>
      <c r="D207">
        <v>78</v>
      </c>
      <c r="E207" t="str" cm="1">
        <f t="array" ref="E207">_xlfn.IFS(Table1[[#This Row],[Previous Marks]]&gt;90,"A1",Table1[[#This Row],[Previous Marks]]&gt;80,"A2",Table1[[#This Row],[Previous Marks]]&gt;70,"B1",Table1[[#This Row],[Previous Marks]]&gt;60,"B2",Table1[[#This Row],[Previous Marks]]&gt;50,"C1",Table1[[#This Row],[Previous Marks]]&gt;40,"C2")</f>
        <v>B1</v>
      </c>
      <c r="F207">
        <v>78</v>
      </c>
    </row>
    <row r="208" spans="2:6" x14ac:dyDescent="0.3">
      <c r="B208">
        <v>85</v>
      </c>
      <c r="C208" t="str" cm="1">
        <f t="array" ref="C208">_xlfn.IFS(B208&gt;90,"A1",B208&gt;80,"A2",B208&gt;70,"B1",B208&gt;60,"B2",B208&gt;50,"C1",B208&gt;40,"C2")</f>
        <v>A2</v>
      </c>
      <c r="D208">
        <v>82</v>
      </c>
      <c r="E208" t="str" cm="1">
        <f t="array" ref="E208">_xlfn.IFS(Table1[[#This Row],[Previous Marks]]&gt;90,"A1",Table1[[#This Row],[Previous Marks]]&gt;80,"A2",Table1[[#This Row],[Previous Marks]]&gt;70,"B1",Table1[[#This Row],[Previous Marks]]&gt;60,"B2",Table1[[#This Row],[Previous Marks]]&gt;50,"C1",Table1[[#This Row],[Previous Marks]]&gt;40,"C2")</f>
        <v>A2</v>
      </c>
      <c r="F208">
        <v>92</v>
      </c>
    </row>
    <row r="209" spans="2:6" x14ac:dyDescent="0.3">
      <c r="B209">
        <v>62</v>
      </c>
      <c r="C209" t="str" cm="1">
        <f t="array" ref="C209">_xlfn.IFS(B209&gt;90,"A1",B209&gt;80,"A2",B209&gt;70,"B1",B209&gt;60,"B2",B209&gt;50,"C1",B209&gt;40,"C2")</f>
        <v>B2</v>
      </c>
      <c r="D209">
        <v>90</v>
      </c>
      <c r="E209" t="str" cm="1">
        <f t="array" ref="E209">_xlfn.IFS(Table1[[#This Row],[Previous Marks]]&gt;90,"A1",Table1[[#This Row],[Previous Marks]]&gt;80,"A2",Table1[[#This Row],[Previous Marks]]&gt;70,"B1",Table1[[#This Row],[Previous Marks]]&gt;60,"B2",Table1[[#This Row],[Previous Marks]]&gt;50,"C1",Table1[[#This Row],[Previous Marks]]&gt;40,"C2")</f>
        <v>A2</v>
      </c>
      <c r="F209">
        <v>82</v>
      </c>
    </row>
    <row r="210" spans="2:6" x14ac:dyDescent="0.3">
      <c r="B210">
        <v>92</v>
      </c>
      <c r="C210" t="str" cm="1">
        <f t="array" ref="C210">_xlfn.IFS(B210&gt;90,"A1",B210&gt;80,"A2",B210&gt;70,"B1",B210&gt;60,"B2",B210&gt;50,"C1",B210&gt;40,"C2")</f>
        <v>A1</v>
      </c>
      <c r="D210">
        <v>60</v>
      </c>
      <c r="E210" t="str" cm="1">
        <f t="array" ref="E210">_xlfn.IFS(Table1[[#This Row],[Previous Marks]]&gt;90,"A1",Table1[[#This Row],[Previous Marks]]&gt;80,"A2",Table1[[#This Row],[Previous Marks]]&gt;70,"B1",Table1[[#This Row],[Previous Marks]]&gt;60,"B2",Table1[[#This Row],[Previous Marks]]&gt;50,"C1",Table1[[#This Row],[Previous Marks]]&gt;40,"C2")</f>
        <v>C1</v>
      </c>
      <c r="F210">
        <v>82</v>
      </c>
    </row>
    <row r="211" spans="2:6" x14ac:dyDescent="0.3">
      <c r="B211">
        <v>80</v>
      </c>
      <c r="C211" t="str" cm="1">
        <f t="array" ref="C211">_xlfn.IFS(B211&gt;90,"A1",B211&gt;80,"A2",B211&gt;70,"B1",B211&gt;60,"B2",B211&gt;50,"C1",B211&gt;40,"C2")</f>
        <v>B1</v>
      </c>
      <c r="D211">
        <v>90</v>
      </c>
      <c r="E211" t="str" cm="1">
        <f t="array" ref="E211">_xlfn.IFS(Table1[[#This Row],[Previous Marks]]&gt;90,"A1",Table1[[#This Row],[Previous Marks]]&gt;80,"A2",Table1[[#This Row],[Previous Marks]]&gt;70,"B1",Table1[[#This Row],[Previous Marks]]&gt;60,"B2",Table1[[#This Row],[Previous Marks]]&gt;50,"C1",Table1[[#This Row],[Previous Marks]]&gt;40,"C2")</f>
        <v>A2</v>
      </c>
      <c r="F211">
        <v>90</v>
      </c>
    </row>
    <row r="212" spans="2:6" x14ac:dyDescent="0.3">
      <c r="B212">
        <v>80</v>
      </c>
      <c r="C212" t="str" cm="1">
        <f t="array" ref="C212">_xlfn.IFS(B212&gt;90,"A1",B212&gt;80,"A2",B212&gt;70,"B1",B212&gt;60,"B2",B212&gt;50,"C1",B212&gt;40,"C2")</f>
        <v>B1</v>
      </c>
      <c r="D212">
        <v>65</v>
      </c>
      <c r="E212" t="str" cm="1">
        <f t="array" ref="E212">_xlfn.IFS(Table1[[#This Row],[Previous Marks]]&gt;90,"A1",Table1[[#This Row],[Previous Marks]]&gt;80,"A2",Table1[[#This Row],[Previous Marks]]&gt;70,"B1",Table1[[#This Row],[Previous Marks]]&gt;60,"B2",Table1[[#This Row],[Previous Marks]]&gt;50,"C1",Table1[[#This Row],[Previous Marks]]&gt;40,"C2")</f>
        <v>B2</v>
      </c>
      <c r="F212">
        <v>70</v>
      </c>
    </row>
    <row r="213" spans="2:6" x14ac:dyDescent="0.3">
      <c r="B213">
        <v>72</v>
      </c>
      <c r="C213" t="str" cm="1">
        <f t="array" ref="C213">_xlfn.IFS(B213&gt;90,"A1",B213&gt;80,"A2",B213&gt;70,"B1",B213&gt;60,"B2",B213&gt;50,"C1",B213&gt;40,"C2")</f>
        <v>B1</v>
      </c>
      <c r="D213">
        <v>70</v>
      </c>
      <c r="E213" t="str" cm="1">
        <f t="array" ref="E213">_xlfn.IFS(Table1[[#This Row],[Previous Marks]]&gt;90,"A1",Table1[[#This Row],[Previous Marks]]&gt;80,"A2",Table1[[#This Row],[Previous Marks]]&gt;70,"B1",Table1[[#This Row],[Previous Marks]]&gt;60,"B2",Table1[[#This Row],[Previous Marks]]&gt;50,"C1",Table1[[#This Row],[Previous Marks]]&gt;40,"C2")</f>
        <v>B2</v>
      </c>
      <c r="F213">
        <v>85</v>
      </c>
    </row>
    <row r="214" spans="2:6" x14ac:dyDescent="0.3">
      <c r="B214">
        <v>90</v>
      </c>
      <c r="C214" t="str" cm="1">
        <f t="array" ref="C214">_xlfn.IFS(B214&gt;90,"A1",B214&gt;80,"A2",B214&gt;70,"B1",B214&gt;60,"B2",B214&gt;50,"C1",B214&gt;40,"C2")</f>
        <v>A2</v>
      </c>
      <c r="D214">
        <v>65</v>
      </c>
      <c r="E214" t="str" cm="1">
        <f t="array" ref="E214">_xlfn.IFS(Table1[[#This Row],[Previous Marks]]&gt;90,"A1",Table1[[#This Row],[Previous Marks]]&gt;80,"A2",Table1[[#This Row],[Previous Marks]]&gt;70,"B1",Table1[[#This Row],[Previous Marks]]&gt;60,"B2",Table1[[#This Row],[Previous Marks]]&gt;50,"C1",Table1[[#This Row],[Previous Marks]]&gt;40,"C2")</f>
        <v>B2</v>
      </c>
      <c r="F214">
        <v>85</v>
      </c>
    </row>
    <row r="215" spans="2:6" x14ac:dyDescent="0.3">
      <c r="B215">
        <v>87</v>
      </c>
      <c r="C215" t="str" cm="1">
        <f t="array" ref="C215">_xlfn.IFS(B215&gt;90,"A1",B215&gt;80,"A2",B215&gt;70,"B1",B215&gt;60,"B2",B215&gt;50,"C1",B215&gt;40,"C2")</f>
        <v>A2</v>
      </c>
      <c r="D215">
        <v>88</v>
      </c>
      <c r="E215" t="str" cm="1">
        <f t="array" ref="E215">_xlfn.IFS(Table1[[#This Row],[Previous Marks]]&gt;90,"A1",Table1[[#This Row],[Previous Marks]]&gt;80,"A2",Table1[[#This Row],[Previous Marks]]&gt;70,"B1",Table1[[#This Row],[Previous Marks]]&gt;60,"B2",Table1[[#This Row],[Previous Marks]]&gt;50,"C1",Table1[[#This Row],[Previous Marks]]&gt;40,"C2")</f>
        <v>A2</v>
      </c>
      <c r="F215">
        <v>70</v>
      </c>
    </row>
    <row r="216" spans="2:6" x14ac:dyDescent="0.3">
      <c r="B216">
        <v>85</v>
      </c>
      <c r="C216" t="str" cm="1">
        <f t="array" ref="C216">_xlfn.IFS(B216&gt;90,"A1",B216&gt;80,"A2",B216&gt;70,"B1",B216&gt;60,"B2",B216&gt;50,"C1",B216&gt;40,"C2")</f>
        <v>A2</v>
      </c>
      <c r="D216">
        <v>60</v>
      </c>
      <c r="E216" t="str" cm="1">
        <f t="array" ref="E216">_xlfn.IFS(Table1[[#This Row],[Previous Marks]]&gt;90,"A1",Table1[[#This Row],[Previous Marks]]&gt;80,"A2",Table1[[#This Row],[Previous Marks]]&gt;70,"B1",Table1[[#This Row],[Previous Marks]]&gt;60,"B2",Table1[[#This Row],[Previous Marks]]&gt;50,"C1",Table1[[#This Row],[Previous Marks]]&gt;40,"C2")</f>
        <v>C1</v>
      </c>
      <c r="F216">
        <v>85</v>
      </c>
    </row>
    <row r="217" spans="2:6" x14ac:dyDescent="0.3">
      <c r="B217">
        <v>68</v>
      </c>
      <c r="C217" t="str" cm="1">
        <f t="array" ref="C217">_xlfn.IFS(B217&gt;90,"A1",B217&gt;80,"A2",B217&gt;70,"B1",B217&gt;60,"B2",B217&gt;50,"C1",B217&gt;40,"C2")</f>
        <v>B2</v>
      </c>
      <c r="D217">
        <v>85</v>
      </c>
      <c r="E217" t="str" cm="1">
        <f t="array" ref="E217">_xlfn.IFS(Table1[[#This Row],[Previous Marks]]&gt;90,"A1",Table1[[#This Row],[Previous Marks]]&gt;80,"A2",Table1[[#This Row],[Previous Marks]]&gt;70,"B1",Table1[[#This Row],[Previous Marks]]&gt;60,"B2",Table1[[#This Row],[Previous Marks]]&gt;50,"C1",Table1[[#This Row],[Previous Marks]]&gt;40,"C2")</f>
        <v>A2</v>
      </c>
      <c r="F217">
        <v>92</v>
      </c>
    </row>
    <row r="218" spans="2:6" x14ac:dyDescent="0.3">
      <c r="B218">
        <v>78</v>
      </c>
      <c r="C218" t="str" cm="1">
        <f t="array" ref="C218">_xlfn.IFS(B218&gt;90,"A1",B218&gt;80,"A2",B218&gt;70,"B1",B218&gt;60,"B2",B218&gt;50,"C1",B218&gt;40,"C2")</f>
        <v>B1</v>
      </c>
      <c r="D218">
        <v>90</v>
      </c>
      <c r="E218" t="str" cm="1">
        <f t="array" ref="E218">_xlfn.IFS(Table1[[#This Row],[Previous Marks]]&gt;90,"A1",Table1[[#This Row],[Previous Marks]]&gt;80,"A2",Table1[[#This Row],[Previous Marks]]&gt;70,"B1",Table1[[#This Row],[Previous Marks]]&gt;60,"B2",Table1[[#This Row],[Previous Marks]]&gt;50,"C1",Table1[[#This Row],[Previous Marks]]&gt;40,"C2")</f>
        <v>A2</v>
      </c>
      <c r="F218">
        <v>95</v>
      </c>
    </row>
    <row r="219" spans="2:6" x14ac:dyDescent="0.3">
      <c r="B219">
        <v>72</v>
      </c>
      <c r="C219" t="str" cm="1">
        <f t="array" ref="C219">_xlfn.IFS(B219&gt;90,"A1",B219&gt;80,"A2",B219&gt;70,"B1",B219&gt;60,"B2",B219&gt;50,"C1",B219&gt;40,"C2")</f>
        <v>B1</v>
      </c>
      <c r="D219">
        <v>90</v>
      </c>
      <c r="E219" t="str" cm="1">
        <f t="array" ref="E219">_xlfn.IFS(Table1[[#This Row],[Previous Marks]]&gt;90,"A1",Table1[[#This Row],[Previous Marks]]&gt;80,"A2",Table1[[#This Row],[Previous Marks]]&gt;70,"B1",Table1[[#This Row],[Previous Marks]]&gt;60,"B2",Table1[[#This Row],[Previous Marks]]&gt;50,"C1",Table1[[#This Row],[Previous Marks]]&gt;40,"C2")</f>
        <v>A2</v>
      </c>
      <c r="F219">
        <v>82</v>
      </c>
    </row>
    <row r="220" spans="2:6" x14ac:dyDescent="0.3">
      <c r="B220">
        <v>72</v>
      </c>
      <c r="C220" t="str" cm="1">
        <f t="array" ref="C220">_xlfn.IFS(B220&gt;90,"A1",B220&gt;80,"A2",B220&gt;70,"B1",B220&gt;60,"B2",B220&gt;50,"C1",B220&gt;40,"C2")</f>
        <v>B1</v>
      </c>
      <c r="D220">
        <v>70</v>
      </c>
      <c r="E220" t="str" cm="1">
        <f t="array" ref="E220">_xlfn.IFS(Table1[[#This Row],[Previous Marks]]&gt;90,"A1",Table1[[#This Row],[Previous Marks]]&gt;80,"A2",Table1[[#This Row],[Previous Marks]]&gt;70,"B1",Table1[[#This Row],[Previous Marks]]&gt;60,"B2",Table1[[#This Row],[Previous Marks]]&gt;50,"C1",Table1[[#This Row],[Previous Marks]]&gt;40,"C2")</f>
        <v>B2</v>
      </c>
      <c r="F220">
        <v>85</v>
      </c>
    </row>
    <row r="221" spans="2:6" x14ac:dyDescent="0.3">
      <c r="B221">
        <v>80</v>
      </c>
      <c r="C221" t="str" cm="1">
        <f t="array" ref="C221">_xlfn.IFS(B221&gt;90,"A1",B221&gt;80,"A2",B221&gt;70,"B1",B221&gt;60,"B2",B221&gt;50,"C1",B221&gt;40,"C2")</f>
        <v>B1</v>
      </c>
      <c r="D221">
        <v>85</v>
      </c>
      <c r="E221" t="str" cm="1">
        <f t="array" ref="E221">_xlfn.IFS(Table1[[#This Row],[Previous Marks]]&gt;90,"A1",Table1[[#This Row],[Previous Marks]]&gt;80,"A2",Table1[[#This Row],[Previous Marks]]&gt;70,"B1",Table1[[#This Row],[Previous Marks]]&gt;60,"B2",Table1[[#This Row],[Previous Marks]]&gt;50,"C1",Table1[[#This Row],[Previous Marks]]&gt;40,"C2")</f>
        <v>A2</v>
      </c>
      <c r="F221">
        <v>91</v>
      </c>
    </row>
    <row r="222" spans="2:6" x14ac:dyDescent="0.3">
      <c r="B222">
        <v>85</v>
      </c>
      <c r="C222" t="str" cm="1">
        <f t="array" ref="C222">_xlfn.IFS(B222&gt;90,"A1",B222&gt;80,"A2",B222&gt;70,"B1",B222&gt;60,"B2",B222&gt;50,"C1",B222&gt;40,"C2")</f>
        <v>A2</v>
      </c>
      <c r="D222">
        <v>82</v>
      </c>
      <c r="E222" t="str" cm="1">
        <f t="array" ref="E222">_xlfn.IFS(Table1[[#This Row],[Previous Marks]]&gt;90,"A1",Table1[[#This Row],[Previous Marks]]&gt;80,"A2",Table1[[#This Row],[Previous Marks]]&gt;70,"B1",Table1[[#This Row],[Previous Marks]]&gt;60,"B2",Table1[[#This Row],[Previous Marks]]&gt;50,"C1",Table1[[#This Row],[Previous Marks]]&gt;40,"C2")</f>
        <v>A2</v>
      </c>
      <c r="F222">
        <v>82</v>
      </c>
    </row>
    <row r="223" spans="2:6" x14ac:dyDescent="0.3">
      <c r="B223">
        <v>80.030208333333334</v>
      </c>
      <c r="C223" t="str" cm="1">
        <f t="array" ref="C223">_xlfn.IFS(B223&gt;90,"A1",B223&gt;80,"A2",B223&gt;70,"B1",B223&gt;60,"B2",B223&gt;50,"C1",B223&gt;40,"C2")</f>
        <v>A2</v>
      </c>
      <c r="D223">
        <v>85</v>
      </c>
      <c r="E223" t="str" cm="1">
        <f t="array" ref="E223">_xlfn.IFS(Table1[[#This Row],[Previous Marks]]&gt;90,"A1",Table1[[#This Row],[Previous Marks]]&gt;80,"A2",Table1[[#This Row],[Previous Marks]]&gt;70,"B1",Table1[[#This Row],[Previous Marks]]&gt;60,"B2",Table1[[#This Row],[Previous Marks]]&gt;50,"C1",Table1[[#This Row],[Previous Marks]]&gt;40,"C2")</f>
        <v>A2</v>
      </c>
      <c r="F223">
        <v>70</v>
      </c>
    </row>
    <row r="224" spans="2:6" x14ac:dyDescent="0.3">
      <c r="B224">
        <v>80.030208333333334</v>
      </c>
      <c r="C224" t="str" cm="1">
        <f t="array" ref="C224">_xlfn.IFS(B224&gt;90,"A1",B224&gt;80,"A2",B224&gt;70,"B1",B224&gt;60,"B2",B224&gt;50,"C1",B224&gt;40,"C2")</f>
        <v>A2</v>
      </c>
      <c r="D224">
        <v>60</v>
      </c>
      <c r="E224" t="str" cm="1">
        <f t="array" ref="E224">_xlfn.IFS(Table1[[#This Row],[Previous Marks]]&gt;90,"A1",Table1[[#This Row],[Previous Marks]]&gt;80,"A2",Table1[[#This Row],[Previous Marks]]&gt;70,"B1",Table1[[#This Row],[Previous Marks]]&gt;60,"B2",Table1[[#This Row],[Previous Marks]]&gt;50,"C1",Table1[[#This Row],[Previous Marks]]&gt;40,"C2")</f>
        <v>C1</v>
      </c>
      <c r="F224">
        <v>78</v>
      </c>
    </row>
    <row r="225" spans="2:6" x14ac:dyDescent="0.3">
      <c r="B225">
        <v>72</v>
      </c>
      <c r="C225" t="str" cm="1">
        <f t="array" ref="C225">_xlfn.IFS(B225&gt;90,"A1",B225&gt;80,"A2",B225&gt;70,"B1",B225&gt;60,"B2",B225&gt;50,"C1",B225&gt;40,"C2")</f>
        <v>B1</v>
      </c>
      <c r="D225">
        <v>65</v>
      </c>
      <c r="E225" t="str" cm="1">
        <f t="array" ref="E225">_xlfn.IFS(Table1[[#This Row],[Previous Marks]]&gt;90,"A1",Table1[[#This Row],[Previous Marks]]&gt;80,"A2",Table1[[#This Row],[Previous Marks]]&gt;70,"B1",Table1[[#This Row],[Previous Marks]]&gt;60,"B2",Table1[[#This Row],[Previous Marks]]&gt;50,"C1",Table1[[#This Row],[Previous Marks]]&gt;40,"C2")</f>
        <v>B2</v>
      </c>
      <c r="F225">
        <v>95</v>
      </c>
    </row>
    <row r="226" spans="2:6" x14ac:dyDescent="0.3">
      <c r="B226">
        <v>92</v>
      </c>
      <c r="C226" t="str" cm="1">
        <f t="array" ref="C226">_xlfn.IFS(B226&gt;90,"A1",B226&gt;80,"A2",B226&gt;70,"B1",B226&gt;60,"B2",B226&gt;50,"C1",B226&gt;40,"C2")</f>
        <v>A1</v>
      </c>
      <c r="D226">
        <v>60</v>
      </c>
      <c r="E226" t="str" cm="1">
        <f t="array" ref="E226">_xlfn.IFS(Table1[[#This Row],[Previous Marks]]&gt;90,"A1",Table1[[#This Row],[Previous Marks]]&gt;80,"A2",Table1[[#This Row],[Previous Marks]]&gt;70,"B1",Table1[[#This Row],[Previous Marks]]&gt;60,"B2",Table1[[#This Row],[Previous Marks]]&gt;50,"C1",Table1[[#This Row],[Previous Marks]]&gt;40,"C2")</f>
        <v>C1</v>
      </c>
      <c r="F226">
        <v>85</v>
      </c>
    </row>
    <row r="227" spans="2:6" x14ac:dyDescent="0.3">
      <c r="B227">
        <v>80.030208333333334</v>
      </c>
      <c r="C227" t="str" cm="1">
        <f t="array" ref="C227">_xlfn.IFS(B227&gt;90,"A1",B227&gt;80,"A2",B227&gt;70,"B1",B227&gt;60,"B2",B227&gt;50,"C1",B227&gt;40,"C2")</f>
        <v>A2</v>
      </c>
      <c r="D227">
        <v>60</v>
      </c>
      <c r="E227" t="str" cm="1">
        <f t="array" ref="E227">_xlfn.IFS(Table1[[#This Row],[Previous Marks]]&gt;90,"A1",Table1[[#This Row],[Previous Marks]]&gt;80,"A2",Table1[[#This Row],[Previous Marks]]&gt;70,"B1",Table1[[#This Row],[Previous Marks]]&gt;60,"B2",Table1[[#This Row],[Previous Marks]]&gt;50,"C1",Table1[[#This Row],[Previous Marks]]&gt;40,"C2")</f>
        <v>C1</v>
      </c>
      <c r="F227">
        <v>90</v>
      </c>
    </row>
    <row r="228" spans="2:6" x14ac:dyDescent="0.3">
      <c r="B228">
        <v>72</v>
      </c>
      <c r="C228" t="str" cm="1">
        <f t="array" ref="C228">_xlfn.IFS(B228&gt;90,"A1",B228&gt;80,"A2",B228&gt;70,"B1",B228&gt;60,"B2",B228&gt;50,"C1",B228&gt;40,"C2")</f>
        <v>B1</v>
      </c>
      <c r="D228">
        <v>60</v>
      </c>
      <c r="E228" t="str" cm="1">
        <f t="array" ref="E228">_xlfn.IFS(Table1[[#This Row],[Previous Marks]]&gt;90,"A1",Table1[[#This Row],[Previous Marks]]&gt;80,"A2",Table1[[#This Row],[Previous Marks]]&gt;70,"B1",Table1[[#This Row],[Previous Marks]]&gt;60,"B2",Table1[[#This Row],[Previous Marks]]&gt;50,"C1",Table1[[#This Row],[Previous Marks]]&gt;40,"C2")</f>
        <v>C1</v>
      </c>
      <c r="F228">
        <v>92</v>
      </c>
    </row>
    <row r="229" spans="2:6" x14ac:dyDescent="0.3">
      <c r="B229">
        <v>90</v>
      </c>
      <c r="C229" t="str" cm="1">
        <f t="array" ref="C229">_xlfn.IFS(B229&gt;90,"A1",B229&gt;80,"A2",B229&gt;70,"B1",B229&gt;60,"B2",B229&gt;50,"C1",B229&gt;40,"C2")</f>
        <v>A2</v>
      </c>
      <c r="D229">
        <v>77.598759048603924</v>
      </c>
      <c r="E229" t="str" cm="1">
        <f t="array" ref="E229">_xlfn.IFS(Table1[[#This Row],[Previous Marks]]&gt;90,"A1",Table1[[#This Row],[Previous Marks]]&gt;80,"A2",Table1[[#This Row],[Previous Marks]]&gt;70,"B1",Table1[[#This Row],[Previous Marks]]&gt;60,"B2",Table1[[#This Row],[Previous Marks]]&gt;50,"C1",Table1[[#This Row],[Previous Marks]]&gt;40,"C2")</f>
        <v>B1</v>
      </c>
      <c r="F229">
        <v>92</v>
      </c>
    </row>
    <row r="230" spans="2:6" x14ac:dyDescent="0.3">
      <c r="B230">
        <v>68</v>
      </c>
      <c r="C230" t="str" cm="1">
        <f t="array" ref="C230">_xlfn.IFS(B230&gt;90,"A1",B230&gt;80,"A2",B230&gt;70,"B1",B230&gt;60,"B2",B230&gt;50,"C1",B230&gt;40,"C2")</f>
        <v>B2</v>
      </c>
      <c r="D230">
        <v>70</v>
      </c>
      <c r="E230" t="str" cm="1">
        <f t="array" ref="E230">_xlfn.IFS(Table1[[#This Row],[Previous Marks]]&gt;90,"A1",Table1[[#This Row],[Previous Marks]]&gt;80,"A2",Table1[[#This Row],[Previous Marks]]&gt;70,"B1",Table1[[#This Row],[Previous Marks]]&gt;60,"B2",Table1[[#This Row],[Previous Marks]]&gt;50,"C1",Table1[[#This Row],[Previous Marks]]&gt;40,"C2")</f>
        <v>B2</v>
      </c>
      <c r="F230">
        <v>88</v>
      </c>
    </row>
    <row r="231" spans="2:6" x14ac:dyDescent="0.3">
      <c r="B231">
        <v>68</v>
      </c>
      <c r="C231" t="str" cm="1">
        <f t="array" ref="C231">_xlfn.IFS(B231&gt;90,"A1",B231&gt;80,"A2",B231&gt;70,"B1",B231&gt;60,"B2",B231&gt;50,"C1",B231&gt;40,"C2")</f>
        <v>B2</v>
      </c>
      <c r="D231">
        <v>88</v>
      </c>
      <c r="E231" t="str" cm="1">
        <f t="array" ref="E231">_xlfn.IFS(Table1[[#This Row],[Previous Marks]]&gt;90,"A1",Table1[[#This Row],[Previous Marks]]&gt;80,"A2",Table1[[#This Row],[Previous Marks]]&gt;70,"B1",Table1[[#This Row],[Previous Marks]]&gt;60,"B2",Table1[[#This Row],[Previous Marks]]&gt;50,"C1",Table1[[#This Row],[Previous Marks]]&gt;40,"C2")</f>
        <v>A2</v>
      </c>
      <c r="F231">
        <v>85.510416666666671</v>
      </c>
    </row>
    <row r="232" spans="2:6" x14ac:dyDescent="0.3">
      <c r="B232">
        <v>62</v>
      </c>
      <c r="C232" t="str" cm="1">
        <f t="array" ref="C232">_xlfn.IFS(B232&gt;90,"A1",B232&gt;80,"A2",B232&gt;70,"B1",B232&gt;60,"B2",B232&gt;50,"C1",B232&gt;40,"C2")</f>
        <v>B2</v>
      </c>
      <c r="D232">
        <v>77</v>
      </c>
      <c r="E232" t="str" cm="1">
        <f t="array" ref="E232">_xlfn.IFS(Table1[[#This Row],[Previous Marks]]&gt;90,"A1",Table1[[#This Row],[Previous Marks]]&gt;80,"A2",Table1[[#This Row],[Previous Marks]]&gt;70,"B1",Table1[[#This Row],[Previous Marks]]&gt;60,"B2",Table1[[#This Row],[Previous Marks]]&gt;50,"C1",Table1[[#This Row],[Previous Marks]]&gt;40,"C2")</f>
        <v>B1</v>
      </c>
      <c r="F232">
        <v>88</v>
      </c>
    </row>
    <row r="233" spans="2:6" x14ac:dyDescent="0.3">
      <c r="B233">
        <v>90</v>
      </c>
      <c r="C233" t="str" cm="1">
        <f t="array" ref="C233">_xlfn.IFS(B233&gt;90,"A1",B233&gt;80,"A2",B233&gt;70,"B1",B233&gt;60,"B2",B233&gt;50,"C1",B233&gt;40,"C2")</f>
        <v>A2</v>
      </c>
      <c r="D233">
        <v>88</v>
      </c>
      <c r="E233" t="str" cm="1">
        <f t="array" ref="E233">_xlfn.IFS(Table1[[#This Row],[Previous Marks]]&gt;90,"A1",Table1[[#This Row],[Previous Marks]]&gt;80,"A2",Table1[[#This Row],[Previous Marks]]&gt;70,"B1",Table1[[#This Row],[Previous Marks]]&gt;60,"B2",Table1[[#This Row],[Previous Marks]]&gt;50,"C1",Table1[[#This Row],[Previous Marks]]&gt;40,"C2")</f>
        <v>A2</v>
      </c>
      <c r="F233">
        <v>88</v>
      </c>
    </row>
    <row r="234" spans="2:6" x14ac:dyDescent="0.3">
      <c r="B234">
        <v>92</v>
      </c>
      <c r="C234" t="str" cm="1">
        <f t="array" ref="C234">_xlfn.IFS(B234&gt;90,"A1",B234&gt;80,"A2",B234&gt;70,"B1",B234&gt;60,"B2",B234&gt;50,"C1",B234&gt;40,"C2")</f>
        <v>A1</v>
      </c>
      <c r="D234">
        <v>86</v>
      </c>
      <c r="E234" t="str" cm="1">
        <f t="array" ref="E234">_xlfn.IFS(Table1[[#This Row],[Previous Marks]]&gt;90,"A1",Table1[[#This Row],[Previous Marks]]&gt;80,"A2",Table1[[#This Row],[Previous Marks]]&gt;70,"B1",Table1[[#This Row],[Previous Marks]]&gt;60,"B2",Table1[[#This Row],[Previous Marks]]&gt;50,"C1",Table1[[#This Row],[Previous Marks]]&gt;40,"C2")</f>
        <v>A2</v>
      </c>
      <c r="F234">
        <v>70</v>
      </c>
    </row>
    <row r="235" spans="2:6" x14ac:dyDescent="0.3">
      <c r="B235">
        <v>87</v>
      </c>
      <c r="C235" t="str" cm="1">
        <f t="array" ref="C235">_xlfn.IFS(B235&gt;90,"A1",B235&gt;80,"A2",B235&gt;70,"B1",B235&gt;60,"B2",B235&gt;50,"C1",B235&gt;40,"C2")</f>
        <v>A2</v>
      </c>
      <c r="D235">
        <v>78</v>
      </c>
      <c r="E235" t="str" cm="1">
        <f t="array" ref="E235">_xlfn.IFS(Table1[[#This Row],[Previous Marks]]&gt;90,"A1",Table1[[#This Row],[Previous Marks]]&gt;80,"A2",Table1[[#This Row],[Previous Marks]]&gt;70,"B1",Table1[[#This Row],[Previous Marks]]&gt;60,"B2",Table1[[#This Row],[Previous Marks]]&gt;50,"C1",Table1[[#This Row],[Previous Marks]]&gt;40,"C2")</f>
        <v>B1</v>
      </c>
      <c r="F235">
        <v>95</v>
      </c>
    </row>
    <row r="236" spans="2:6" x14ac:dyDescent="0.3">
      <c r="B236">
        <v>62</v>
      </c>
      <c r="C236" t="str" cm="1">
        <f t="array" ref="C236">_xlfn.IFS(B236&gt;90,"A1",B236&gt;80,"A2",B236&gt;70,"B1",B236&gt;60,"B2",B236&gt;50,"C1",B236&gt;40,"C2")</f>
        <v>B2</v>
      </c>
      <c r="D236">
        <v>70</v>
      </c>
      <c r="E236" t="str" cm="1">
        <f t="array" ref="E236">_xlfn.IFS(Table1[[#This Row],[Previous Marks]]&gt;90,"A1",Table1[[#This Row],[Previous Marks]]&gt;80,"A2",Table1[[#This Row],[Previous Marks]]&gt;70,"B1",Table1[[#This Row],[Previous Marks]]&gt;60,"B2",Table1[[#This Row],[Previous Marks]]&gt;50,"C1",Table1[[#This Row],[Previous Marks]]&gt;40,"C2")</f>
        <v>B2</v>
      </c>
      <c r="F236">
        <v>70</v>
      </c>
    </row>
    <row r="237" spans="2:6" x14ac:dyDescent="0.3">
      <c r="B237">
        <v>78</v>
      </c>
      <c r="C237" t="str" cm="1">
        <f t="array" ref="C237">_xlfn.IFS(B237&gt;90,"A1",B237&gt;80,"A2",B237&gt;70,"B1",B237&gt;60,"B2",B237&gt;50,"C1",B237&gt;40,"C2")</f>
        <v>B1</v>
      </c>
      <c r="D237">
        <v>77</v>
      </c>
      <c r="E237" t="str" cm="1">
        <f t="array" ref="E237">_xlfn.IFS(Table1[[#This Row],[Previous Marks]]&gt;90,"A1",Table1[[#This Row],[Previous Marks]]&gt;80,"A2",Table1[[#This Row],[Previous Marks]]&gt;70,"B1",Table1[[#This Row],[Previous Marks]]&gt;60,"B2",Table1[[#This Row],[Previous Marks]]&gt;50,"C1",Table1[[#This Row],[Previous Marks]]&gt;40,"C2")</f>
        <v>B1</v>
      </c>
      <c r="F237">
        <v>95</v>
      </c>
    </row>
    <row r="238" spans="2:6" x14ac:dyDescent="0.3">
      <c r="B238">
        <v>68</v>
      </c>
      <c r="C238" t="str" cm="1">
        <f t="array" ref="C238">_xlfn.IFS(B238&gt;90,"A1",B238&gt;80,"A2",B238&gt;70,"B1",B238&gt;60,"B2",B238&gt;50,"C1",B238&gt;40,"C2")</f>
        <v>B2</v>
      </c>
      <c r="D238">
        <v>86</v>
      </c>
      <c r="E238" t="str" cm="1">
        <f t="array" ref="E238">_xlfn.IFS(Table1[[#This Row],[Previous Marks]]&gt;90,"A1",Table1[[#This Row],[Previous Marks]]&gt;80,"A2",Table1[[#This Row],[Previous Marks]]&gt;70,"B1",Table1[[#This Row],[Previous Marks]]&gt;60,"B2",Table1[[#This Row],[Previous Marks]]&gt;50,"C1",Table1[[#This Row],[Previous Marks]]&gt;40,"C2")</f>
        <v>A2</v>
      </c>
      <c r="F238">
        <v>70</v>
      </c>
    </row>
    <row r="239" spans="2:6" x14ac:dyDescent="0.3">
      <c r="B239">
        <v>92</v>
      </c>
      <c r="C239" t="str" cm="1">
        <f t="array" ref="C239">_xlfn.IFS(B239&gt;90,"A1",B239&gt;80,"A2",B239&gt;70,"B1",B239&gt;60,"B2",B239&gt;50,"C1",B239&gt;40,"C2")</f>
        <v>A1</v>
      </c>
      <c r="D239">
        <v>90</v>
      </c>
      <c r="E239" t="str" cm="1">
        <f t="array" ref="E239">_xlfn.IFS(Table1[[#This Row],[Previous Marks]]&gt;90,"A1",Table1[[#This Row],[Previous Marks]]&gt;80,"A2",Table1[[#This Row],[Previous Marks]]&gt;70,"B1",Table1[[#This Row],[Previous Marks]]&gt;60,"B2",Table1[[#This Row],[Previous Marks]]&gt;50,"C1",Table1[[#This Row],[Previous Marks]]&gt;40,"C2")</f>
        <v>A2</v>
      </c>
      <c r="F239">
        <v>92</v>
      </c>
    </row>
    <row r="240" spans="2:6" x14ac:dyDescent="0.3">
      <c r="B240">
        <v>68</v>
      </c>
      <c r="C240" t="str" cm="1">
        <f t="array" ref="C240">_xlfn.IFS(B240&gt;90,"A1",B240&gt;80,"A2",B240&gt;70,"B1",B240&gt;60,"B2",B240&gt;50,"C1",B240&gt;40,"C2")</f>
        <v>B2</v>
      </c>
      <c r="D240">
        <v>65</v>
      </c>
      <c r="E240" t="str" cm="1">
        <f t="array" ref="E240">_xlfn.IFS(Table1[[#This Row],[Previous Marks]]&gt;90,"A1",Table1[[#This Row],[Previous Marks]]&gt;80,"A2",Table1[[#This Row],[Previous Marks]]&gt;70,"B1",Table1[[#This Row],[Previous Marks]]&gt;60,"B2",Table1[[#This Row],[Previous Marks]]&gt;50,"C1",Table1[[#This Row],[Previous Marks]]&gt;40,"C2")</f>
        <v>B2</v>
      </c>
      <c r="F240">
        <v>85</v>
      </c>
    </row>
    <row r="241" spans="2:6" x14ac:dyDescent="0.3">
      <c r="B241">
        <v>62</v>
      </c>
      <c r="C241" t="str" cm="1">
        <f t="array" ref="C241">_xlfn.IFS(B241&gt;90,"A1",B241&gt;80,"A2",B241&gt;70,"B1",B241&gt;60,"B2",B241&gt;50,"C1",B241&gt;40,"C2")</f>
        <v>B2</v>
      </c>
      <c r="D241">
        <v>85</v>
      </c>
      <c r="E241" t="str" cm="1">
        <f t="array" ref="E241">_xlfn.IFS(Table1[[#This Row],[Previous Marks]]&gt;90,"A1",Table1[[#This Row],[Previous Marks]]&gt;80,"A2",Table1[[#This Row],[Previous Marks]]&gt;70,"B1",Table1[[#This Row],[Previous Marks]]&gt;60,"B2",Table1[[#This Row],[Previous Marks]]&gt;50,"C1",Table1[[#This Row],[Previous Marks]]&gt;40,"C2")</f>
        <v>A2</v>
      </c>
      <c r="F241">
        <v>82</v>
      </c>
    </row>
    <row r="242" spans="2:6" x14ac:dyDescent="0.3">
      <c r="B242">
        <v>80</v>
      </c>
      <c r="C242" t="str" cm="1">
        <f t="array" ref="C242">_xlfn.IFS(B242&gt;90,"A1",B242&gt;80,"A2",B242&gt;70,"B1",B242&gt;60,"B2",B242&gt;50,"C1",B242&gt;40,"C2")</f>
        <v>B1</v>
      </c>
      <c r="D242">
        <v>70</v>
      </c>
      <c r="E242" t="str" cm="1">
        <f t="array" ref="E242">_xlfn.IFS(Table1[[#This Row],[Previous Marks]]&gt;90,"A1",Table1[[#This Row],[Previous Marks]]&gt;80,"A2",Table1[[#This Row],[Previous Marks]]&gt;70,"B1",Table1[[#This Row],[Previous Marks]]&gt;60,"B2",Table1[[#This Row],[Previous Marks]]&gt;50,"C1",Table1[[#This Row],[Previous Marks]]&gt;40,"C2")</f>
        <v>B2</v>
      </c>
      <c r="F242">
        <v>85</v>
      </c>
    </row>
    <row r="243" spans="2:6" x14ac:dyDescent="0.3">
      <c r="B243">
        <v>80</v>
      </c>
      <c r="C243" t="str" cm="1">
        <f t="array" ref="C243">_xlfn.IFS(B243&gt;90,"A1",B243&gt;80,"A2",B243&gt;70,"B1",B243&gt;60,"B2",B243&gt;50,"C1",B243&gt;40,"C2")</f>
        <v>B1</v>
      </c>
      <c r="D243">
        <v>70</v>
      </c>
      <c r="E243" t="str" cm="1">
        <f t="array" ref="E243">_xlfn.IFS(Table1[[#This Row],[Previous Marks]]&gt;90,"A1",Table1[[#This Row],[Previous Marks]]&gt;80,"A2",Table1[[#This Row],[Previous Marks]]&gt;70,"B1",Table1[[#This Row],[Previous Marks]]&gt;60,"B2",Table1[[#This Row],[Previous Marks]]&gt;50,"C1",Table1[[#This Row],[Previous Marks]]&gt;40,"C2")</f>
        <v>B2</v>
      </c>
      <c r="F243">
        <v>85</v>
      </c>
    </row>
    <row r="244" spans="2:6" x14ac:dyDescent="0.3">
      <c r="B244">
        <v>92</v>
      </c>
      <c r="C244" t="str" cm="1">
        <f t="array" ref="C244">_xlfn.IFS(B244&gt;90,"A1",B244&gt;80,"A2",B244&gt;70,"B1",B244&gt;60,"B2",B244&gt;50,"C1",B244&gt;40,"C2")</f>
        <v>A1</v>
      </c>
      <c r="D244">
        <v>85</v>
      </c>
      <c r="E244" t="str" cm="1">
        <f t="array" ref="E244">_xlfn.IFS(Table1[[#This Row],[Previous Marks]]&gt;90,"A1",Table1[[#This Row],[Previous Marks]]&gt;80,"A2",Table1[[#This Row],[Previous Marks]]&gt;70,"B1",Table1[[#This Row],[Previous Marks]]&gt;60,"B2",Table1[[#This Row],[Previous Marks]]&gt;50,"C1",Table1[[#This Row],[Previous Marks]]&gt;40,"C2")</f>
        <v>A2</v>
      </c>
      <c r="F244">
        <v>78</v>
      </c>
    </row>
    <row r="245" spans="2:6" x14ac:dyDescent="0.3">
      <c r="B245">
        <v>88</v>
      </c>
      <c r="C245" t="str" cm="1">
        <f t="array" ref="C245">_xlfn.IFS(B245&gt;90,"A1",B245&gt;80,"A2",B245&gt;70,"B1",B245&gt;60,"B2",B245&gt;50,"C1",B245&gt;40,"C2")</f>
        <v>A2</v>
      </c>
      <c r="D245">
        <v>88</v>
      </c>
      <c r="E245" t="str" cm="1">
        <f t="array" ref="E245">_xlfn.IFS(Table1[[#This Row],[Previous Marks]]&gt;90,"A1",Table1[[#This Row],[Previous Marks]]&gt;80,"A2",Table1[[#This Row],[Previous Marks]]&gt;70,"B1",Table1[[#This Row],[Previous Marks]]&gt;60,"B2",Table1[[#This Row],[Previous Marks]]&gt;50,"C1",Table1[[#This Row],[Previous Marks]]&gt;40,"C2")</f>
        <v>A2</v>
      </c>
      <c r="F245">
        <v>70</v>
      </c>
    </row>
    <row r="246" spans="2:6" x14ac:dyDescent="0.3">
      <c r="B246">
        <v>72</v>
      </c>
      <c r="C246" t="str" cm="1">
        <f t="array" ref="C246">_xlfn.IFS(B246&gt;90,"A1",B246&gt;80,"A2",B246&gt;70,"B1",B246&gt;60,"B2",B246&gt;50,"C1",B246&gt;40,"C2")</f>
        <v>B1</v>
      </c>
      <c r="D246">
        <v>60</v>
      </c>
      <c r="E246" t="str" cm="1">
        <f t="array" ref="E246">_xlfn.IFS(Table1[[#This Row],[Previous Marks]]&gt;90,"A1",Table1[[#This Row],[Previous Marks]]&gt;80,"A2",Table1[[#This Row],[Previous Marks]]&gt;70,"B1",Table1[[#This Row],[Previous Marks]]&gt;60,"B2",Table1[[#This Row],[Previous Marks]]&gt;50,"C1",Table1[[#This Row],[Previous Marks]]&gt;40,"C2")</f>
        <v>C1</v>
      </c>
      <c r="F246">
        <v>85</v>
      </c>
    </row>
    <row r="247" spans="2:6" x14ac:dyDescent="0.3">
      <c r="B247">
        <v>72</v>
      </c>
      <c r="C247" t="str" cm="1">
        <f t="array" ref="C247">_xlfn.IFS(B247&gt;90,"A1",B247&gt;80,"A2",B247&gt;70,"B1",B247&gt;60,"B2",B247&gt;50,"C1",B247&gt;40,"C2")</f>
        <v>B1</v>
      </c>
      <c r="D247">
        <v>77.598759048603924</v>
      </c>
      <c r="E247" t="str" cm="1">
        <f t="array" ref="E247">_xlfn.IFS(Table1[[#This Row],[Previous Marks]]&gt;90,"A1",Table1[[#This Row],[Previous Marks]]&gt;80,"A2",Table1[[#This Row],[Previous Marks]]&gt;70,"B1",Table1[[#This Row],[Previous Marks]]&gt;60,"B2",Table1[[#This Row],[Previous Marks]]&gt;50,"C1",Table1[[#This Row],[Previous Marks]]&gt;40,"C2")</f>
        <v>B1</v>
      </c>
      <c r="F247">
        <v>85</v>
      </c>
    </row>
    <row r="248" spans="2:6" x14ac:dyDescent="0.3">
      <c r="B248">
        <v>80</v>
      </c>
      <c r="C248" t="str" cm="1">
        <f t="array" ref="C248">_xlfn.IFS(B248&gt;90,"A1",B248&gt;80,"A2",B248&gt;70,"B1",B248&gt;60,"B2",B248&gt;50,"C1",B248&gt;40,"C2")</f>
        <v>B1</v>
      </c>
      <c r="D248">
        <v>82</v>
      </c>
      <c r="E248" t="str" cm="1">
        <f t="array" ref="E248">_xlfn.IFS(Table1[[#This Row],[Previous Marks]]&gt;90,"A1",Table1[[#This Row],[Previous Marks]]&gt;80,"A2",Table1[[#This Row],[Previous Marks]]&gt;70,"B1",Table1[[#This Row],[Previous Marks]]&gt;60,"B2",Table1[[#This Row],[Previous Marks]]&gt;50,"C1",Table1[[#This Row],[Previous Marks]]&gt;40,"C2")</f>
        <v>A2</v>
      </c>
      <c r="F248">
        <v>85</v>
      </c>
    </row>
    <row r="249" spans="2:6" x14ac:dyDescent="0.3">
      <c r="B249">
        <v>92</v>
      </c>
      <c r="C249" t="str" cm="1">
        <f t="array" ref="C249">_xlfn.IFS(B249&gt;90,"A1",B249&gt;80,"A2",B249&gt;70,"B1",B249&gt;60,"B2",B249&gt;50,"C1",B249&gt;40,"C2")</f>
        <v>A1</v>
      </c>
      <c r="D249">
        <v>82</v>
      </c>
      <c r="E249" t="str" cm="1">
        <f t="array" ref="E249">_xlfn.IFS(Table1[[#This Row],[Previous Marks]]&gt;90,"A1",Table1[[#This Row],[Previous Marks]]&gt;80,"A2",Table1[[#This Row],[Previous Marks]]&gt;70,"B1",Table1[[#This Row],[Previous Marks]]&gt;60,"B2",Table1[[#This Row],[Previous Marks]]&gt;50,"C1",Table1[[#This Row],[Previous Marks]]&gt;40,"C2")</f>
        <v>A2</v>
      </c>
      <c r="F249">
        <v>85.510416666666671</v>
      </c>
    </row>
    <row r="250" spans="2:6" x14ac:dyDescent="0.3">
      <c r="B250">
        <v>62</v>
      </c>
      <c r="C250" t="str" cm="1">
        <f t="array" ref="C250">_xlfn.IFS(B250&gt;90,"A1",B250&gt;80,"A2",B250&gt;70,"B1",B250&gt;60,"B2",B250&gt;50,"C1",B250&gt;40,"C2")</f>
        <v>B2</v>
      </c>
      <c r="D250">
        <v>88</v>
      </c>
      <c r="E250" t="str" cm="1">
        <f t="array" ref="E250">_xlfn.IFS(Table1[[#This Row],[Previous Marks]]&gt;90,"A1",Table1[[#This Row],[Previous Marks]]&gt;80,"A2",Table1[[#This Row],[Previous Marks]]&gt;70,"B1",Table1[[#This Row],[Previous Marks]]&gt;60,"B2",Table1[[#This Row],[Previous Marks]]&gt;50,"C1",Table1[[#This Row],[Previous Marks]]&gt;40,"C2")</f>
        <v>A2</v>
      </c>
      <c r="F250">
        <v>90</v>
      </c>
    </row>
    <row r="251" spans="2:6" x14ac:dyDescent="0.3">
      <c r="B251">
        <v>90</v>
      </c>
      <c r="C251" t="str" cm="1">
        <f t="array" ref="C251">_xlfn.IFS(B251&gt;90,"A1",B251&gt;80,"A2",B251&gt;70,"B1",B251&gt;60,"B2",B251&gt;50,"C1",B251&gt;40,"C2")</f>
        <v>A2</v>
      </c>
      <c r="D251">
        <v>77</v>
      </c>
      <c r="E251" t="str" cm="1">
        <f t="array" ref="E251">_xlfn.IFS(Table1[[#This Row],[Previous Marks]]&gt;90,"A1",Table1[[#This Row],[Previous Marks]]&gt;80,"A2",Table1[[#This Row],[Previous Marks]]&gt;70,"B1",Table1[[#This Row],[Previous Marks]]&gt;60,"B2",Table1[[#This Row],[Previous Marks]]&gt;50,"C1",Table1[[#This Row],[Previous Marks]]&gt;40,"C2")</f>
        <v>B1</v>
      </c>
      <c r="F251">
        <v>85</v>
      </c>
    </row>
    <row r="252" spans="2:6" x14ac:dyDescent="0.3">
      <c r="B252">
        <v>87</v>
      </c>
      <c r="C252" t="str" cm="1">
        <f t="array" ref="C252">_xlfn.IFS(B252&gt;90,"A1",B252&gt;80,"A2",B252&gt;70,"B1",B252&gt;60,"B2",B252&gt;50,"C1",B252&gt;40,"C2")</f>
        <v>A2</v>
      </c>
      <c r="D252">
        <v>82</v>
      </c>
      <c r="E252" t="str" cm="1">
        <f t="array" ref="E252">_xlfn.IFS(Table1[[#This Row],[Previous Marks]]&gt;90,"A1",Table1[[#This Row],[Previous Marks]]&gt;80,"A2",Table1[[#This Row],[Previous Marks]]&gt;70,"B1",Table1[[#This Row],[Previous Marks]]&gt;60,"B2",Table1[[#This Row],[Previous Marks]]&gt;50,"C1",Table1[[#This Row],[Previous Marks]]&gt;40,"C2")</f>
        <v>A2</v>
      </c>
      <c r="F252">
        <v>90</v>
      </c>
    </row>
    <row r="253" spans="2:6" x14ac:dyDescent="0.3">
      <c r="B253">
        <v>85</v>
      </c>
      <c r="C253" t="str" cm="1">
        <f t="array" ref="C253">_xlfn.IFS(B253&gt;90,"A1",B253&gt;80,"A2",B253&gt;70,"B1",B253&gt;60,"B2",B253&gt;50,"C1",B253&gt;40,"C2")</f>
        <v>A2</v>
      </c>
      <c r="D253">
        <v>77.598759048603924</v>
      </c>
      <c r="E253" t="str" cm="1">
        <f t="array" ref="E253">_xlfn.IFS(Table1[[#This Row],[Previous Marks]]&gt;90,"A1",Table1[[#This Row],[Previous Marks]]&gt;80,"A2",Table1[[#This Row],[Previous Marks]]&gt;70,"B1",Table1[[#This Row],[Previous Marks]]&gt;60,"B2",Table1[[#This Row],[Previous Marks]]&gt;50,"C1",Table1[[#This Row],[Previous Marks]]&gt;40,"C2")</f>
        <v>B1</v>
      </c>
      <c r="F253">
        <v>95</v>
      </c>
    </row>
    <row r="254" spans="2:6" x14ac:dyDescent="0.3">
      <c r="B254">
        <v>72</v>
      </c>
      <c r="C254" t="str" cm="1">
        <f t="array" ref="C254">_xlfn.IFS(B254&gt;90,"A1",B254&gt;80,"A2",B254&gt;70,"B1",B254&gt;60,"B2",B254&gt;50,"C1",B254&gt;40,"C2")</f>
        <v>B1</v>
      </c>
      <c r="D254">
        <v>60</v>
      </c>
      <c r="E254" t="str" cm="1">
        <f t="array" ref="E254">_xlfn.IFS(Table1[[#This Row],[Previous Marks]]&gt;90,"A1",Table1[[#This Row],[Previous Marks]]&gt;80,"A2",Table1[[#This Row],[Previous Marks]]&gt;70,"B1",Table1[[#This Row],[Previous Marks]]&gt;60,"B2",Table1[[#This Row],[Previous Marks]]&gt;50,"C1",Table1[[#This Row],[Previous Marks]]&gt;40,"C2")</f>
        <v>C1</v>
      </c>
      <c r="F254">
        <v>90</v>
      </c>
    </row>
    <row r="255" spans="2:6" x14ac:dyDescent="0.3">
      <c r="B255">
        <v>62</v>
      </c>
      <c r="C255" t="str" cm="1">
        <f t="array" ref="C255">_xlfn.IFS(B255&gt;90,"A1",B255&gt;80,"A2",B255&gt;70,"B1",B255&gt;60,"B2",B255&gt;50,"C1",B255&gt;40,"C2")</f>
        <v>B2</v>
      </c>
      <c r="D255">
        <v>86</v>
      </c>
      <c r="E255" t="str" cm="1">
        <f t="array" ref="E255">_xlfn.IFS(Table1[[#This Row],[Previous Marks]]&gt;90,"A1",Table1[[#This Row],[Previous Marks]]&gt;80,"A2",Table1[[#This Row],[Previous Marks]]&gt;70,"B1",Table1[[#This Row],[Previous Marks]]&gt;60,"B2",Table1[[#This Row],[Previous Marks]]&gt;50,"C1",Table1[[#This Row],[Previous Marks]]&gt;40,"C2")</f>
        <v>A2</v>
      </c>
      <c r="F255">
        <v>82</v>
      </c>
    </row>
    <row r="256" spans="2:6" x14ac:dyDescent="0.3">
      <c r="B256">
        <v>68</v>
      </c>
      <c r="C256" t="str" cm="1">
        <f t="array" ref="C256">_xlfn.IFS(B256&gt;90,"A1",B256&gt;80,"A2",B256&gt;70,"B1",B256&gt;60,"B2",B256&gt;50,"C1",B256&gt;40,"C2")</f>
        <v>B2</v>
      </c>
      <c r="D256">
        <v>65</v>
      </c>
      <c r="E256" t="str" cm="1">
        <f t="array" ref="E256">_xlfn.IFS(Table1[[#This Row],[Previous Marks]]&gt;90,"A1",Table1[[#This Row],[Previous Marks]]&gt;80,"A2",Table1[[#This Row],[Previous Marks]]&gt;70,"B1",Table1[[#This Row],[Previous Marks]]&gt;60,"B2",Table1[[#This Row],[Previous Marks]]&gt;50,"C1",Table1[[#This Row],[Previous Marks]]&gt;40,"C2")</f>
        <v>B2</v>
      </c>
      <c r="F256">
        <v>91</v>
      </c>
    </row>
    <row r="257" spans="2:6" x14ac:dyDescent="0.3">
      <c r="B257">
        <v>78</v>
      </c>
      <c r="C257" t="str" cm="1">
        <f t="array" ref="C257">_xlfn.IFS(B257&gt;90,"A1",B257&gt;80,"A2",B257&gt;70,"B1",B257&gt;60,"B2",B257&gt;50,"C1",B257&gt;40,"C2")</f>
        <v>B1</v>
      </c>
      <c r="D257">
        <v>82</v>
      </c>
      <c r="E257" t="str" cm="1">
        <f t="array" ref="E257">_xlfn.IFS(Table1[[#This Row],[Previous Marks]]&gt;90,"A1",Table1[[#This Row],[Previous Marks]]&gt;80,"A2",Table1[[#This Row],[Previous Marks]]&gt;70,"B1",Table1[[#This Row],[Previous Marks]]&gt;60,"B2",Table1[[#This Row],[Previous Marks]]&gt;50,"C1",Table1[[#This Row],[Previous Marks]]&gt;40,"C2")</f>
        <v>A2</v>
      </c>
      <c r="F257">
        <v>78</v>
      </c>
    </row>
    <row r="258" spans="2:6" x14ac:dyDescent="0.3">
      <c r="B258">
        <v>68</v>
      </c>
      <c r="C258" t="str" cm="1">
        <f t="array" ref="C258">_xlfn.IFS(B258&gt;90,"A1",B258&gt;80,"A2",B258&gt;70,"B1",B258&gt;60,"B2",B258&gt;50,"C1",B258&gt;40,"C2")</f>
        <v>B2</v>
      </c>
      <c r="D258">
        <v>90</v>
      </c>
      <c r="E258" t="str" cm="1">
        <f t="array" ref="E258">_xlfn.IFS(Table1[[#This Row],[Previous Marks]]&gt;90,"A1",Table1[[#This Row],[Previous Marks]]&gt;80,"A2",Table1[[#This Row],[Previous Marks]]&gt;70,"B1",Table1[[#This Row],[Previous Marks]]&gt;60,"B2",Table1[[#This Row],[Previous Marks]]&gt;50,"C1",Table1[[#This Row],[Previous Marks]]&gt;40,"C2")</f>
        <v>A2</v>
      </c>
      <c r="F258">
        <v>91</v>
      </c>
    </row>
    <row r="259" spans="2:6" x14ac:dyDescent="0.3">
      <c r="B259">
        <v>85</v>
      </c>
      <c r="C259" t="str" cm="1">
        <f t="array" ref="C259">_xlfn.IFS(B259&gt;90,"A1",B259&gt;80,"A2",B259&gt;70,"B1",B259&gt;60,"B2",B259&gt;50,"C1",B259&gt;40,"C2")</f>
        <v>A2</v>
      </c>
      <c r="D259">
        <v>60</v>
      </c>
      <c r="E259" t="str" cm="1">
        <f t="array" ref="E259">_xlfn.IFS(Table1[[#This Row],[Previous Marks]]&gt;90,"A1",Table1[[#This Row],[Previous Marks]]&gt;80,"A2",Table1[[#This Row],[Previous Marks]]&gt;70,"B1",Table1[[#This Row],[Previous Marks]]&gt;60,"B2",Table1[[#This Row],[Previous Marks]]&gt;50,"C1",Table1[[#This Row],[Previous Marks]]&gt;40,"C2")</f>
        <v>C1</v>
      </c>
      <c r="F259">
        <v>85</v>
      </c>
    </row>
    <row r="260" spans="2:6" x14ac:dyDescent="0.3">
      <c r="B260">
        <v>78</v>
      </c>
      <c r="C260" t="str" cm="1">
        <f t="array" ref="C260">_xlfn.IFS(B260&gt;90,"A1",B260&gt;80,"A2",B260&gt;70,"B1",B260&gt;60,"B2",B260&gt;50,"C1",B260&gt;40,"C2")</f>
        <v>B1</v>
      </c>
      <c r="D260">
        <v>88</v>
      </c>
      <c r="E260" t="str" cm="1">
        <f t="array" ref="E260">_xlfn.IFS(Table1[[#This Row],[Previous Marks]]&gt;90,"A1",Table1[[#This Row],[Previous Marks]]&gt;80,"A2",Table1[[#This Row],[Previous Marks]]&gt;70,"B1",Table1[[#This Row],[Previous Marks]]&gt;60,"B2",Table1[[#This Row],[Previous Marks]]&gt;50,"C1",Table1[[#This Row],[Previous Marks]]&gt;40,"C2")</f>
        <v>A2</v>
      </c>
      <c r="F260">
        <v>78</v>
      </c>
    </row>
    <row r="261" spans="2:6" x14ac:dyDescent="0.3">
      <c r="B261">
        <v>92</v>
      </c>
      <c r="C261" t="str" cm="1">
        <f t="array" ref="C261">_xlfn.IFS(B261&gt;90,"A1",B261&gt;80,"A2",B261&gt;70,"B1",B261&gt;60,"B2",B261&gt;50,"C1",B261&gt;40,"C2")</f>
        <v>A1</v>
      </c>
      <c r="D261">
        <v>88</v>
      </c>
      <c r="E261" t="str" cm="1">
        <f t="array" ref="E261">_xlfn.IFS(Table1[[#This Row],[Previous Marks]]&gt;90,"A1",Table1[[#This Row],[Previous Marks]]&gt;80,"A2",Table1[[#This Row],[Previous Marks]]&gt;70,"B1",Table1[[#This Row],[Previous Marks]]&gt;60,"B2",Table1[[#This Row],[Previous Marks]]&gt;50,"C1",Table1[[#This Row],[Previous Marks]]&gt;40,"C2")</f>
        <v>A2</v>
      </c>
      <c r="F261">
        <v>88</v>
      </c>
    </row>
    <row r="262" spans="2:6" x14ac:dyDescent="0.3">
      <c r="B262">
        <v>80.030208333333334</v>
      </c>
      <c r="C262" t="str" cm="1">
        <f t="array" ref="C262">_xlfn.IFS(B262&gt;90,"A1",B262&gt;80,"A2",B262&gt;70,"B1",B262&gt;60,"B2",B262&gt;50,"C1",B262&gt;40,"C2")</f>
        <v>A2</v>
      </c>
      <c r="D262">
        <v>82</v>
      </c>
      <c r="E262" t="str" cm="1">
        <f t="array" ref="E262">_xlfn.IFS(Table1[[#This Row],[Previous Marks]]&gt;90,"A1",Table1[[#This Row],[Previous Marks]]&gt;80,"A2",Table1[[#This Row],[Previous Marks]]&gt;70,"B1",Table1[[#This Row],[Previous Marks]]&gt;60,"B2",Table1[[#This Row],[Previous Marks]]&gt;50,"C1",Table1[[#This Row],[Previous Marks]]&gt;40,"C2")</f>
        <v>A2</v>
      </c>
      <c r="F262">
        <v>92</v>
      </c>
    </row>
    <row r="263" spans="2:6" x14ac:dyDescent="0.3">
      <c r="B263">
        <v>78</v>
      </c>
      <c r="C263" t="str" cm="1">
        <f t="array" ref="C263">_xlfn.IFS(B263&gt;90,"A1",B263&gt;80,"A2",B263&gt;70,"B1",B263&gt;60,"B2",B263&gt;50,"C1",B263&gt;40,"C2")</f>
        <v>B1</v>
      </c>
      <c r="D263">
        <v>85</v>
      </c>
      <c r="E263" t="str" cm="1">
        <f t="array" ref="E263">_xlfn.IFS(Table1[[#This Row],[Previous Marks]]&gt;90,"A1",Table1[[#This Row],[Previous Marks]]&gt;80,"A2",Table1[[#This Row],[Previous Marks]]&gt;70,"B1",Table1[[#This Row],[Previous Marks]]&gt;60,"B2",Table1[[#This Row],[Previous Marks]]&gt;50,"C1",Table1[[#This Row],[Previous Marks]]&gt;40,"C2")</f>
        <v>A2</v>
      </c>
      <c r="F263">
        <v>70</v>
      </c>
    </row>
    <row r="264" spans="2:6" x14ac:dyDescent="0.3">
      <c r="B264">
        <v>92</v>
      </c>
      <c r="C264" t="str" cm="1">
        <f t="array" ref="C264">_xlfn.IFS(B264&gt;90,"A1",B264&gt;80,"A2",B264&gt;70,"B1",B264&gt;60,"B2",B264&gt;50,"C1",B264&gt;40,"C2")</f>
        <v>A1</v>
      </c>
      <c r="D264">
        <v>86</v>
      </c>
      <c r="E264" t="str" cm="1">
        <f t="array" ref="E264">_xlfn.IFS(Table1[[#This Row],[Previous Marks]]&gt;90,"A1",Table1[[#This Row],[Previous Marks]]&gt;80,"A2",Table1[[#This Row],[Previous Marks]]&gt;70,"B1",Table1[[#This Row],[Previous Marks]]&gt;60,"B2",Table1[[#This Row],[Previous Marks]]&gt;50,"C1",Table1[[#This Row],[Previous Marks]]&gt;40,"C2")</f>
        <v>A2</v>
      </c>
      <c r="F264">
        <v>95</v>
      </c>
    </row>
    <row r="265" spans="2:6" x14ac:dyDescent="0.3">
      <c r="B265">
        <v>85</v>
      </c>
      <c r="C265" t="str" cm="1">
        <f t="array" ref="C265">_xlfn.IFS(B265&gt;90,"A1",B265&gt;80,"A2",B265&gt;70,"B1",B265&gt;60,"B2",B265&gt;50,"C1",B265&gt;40,"C2")</f>
        <v>A2</v>
      </c>
      <c r="D265">
        <v>85</v>
      </c>
      <c r="E265" t="str" cm="1">
        <f t="array" ref="E265">_xlfn.IFS(Table1[[#This Row],[Previous Marks]]&gt;90,"A1",Table1[[#This Row],[Previous Marks]]&gt;80,"A2",Table1[[#This Row],[Previous Marks]]&gt;70,"B1",Table1[[#This Row],[Previous Marks]]&gt;60,"B2",Table1[[#This Row],[Previous Marks]]&gt;50,"C1",Table1[[#This Row],[Previous Marks]]&gt;40,"C2")</f>
        <v>A2</v>
      </c>
      <c r="F265">
        <v>95</v>
      </c>
    </row>
    <row r="266" spans="2:6" x14ac:dyDescent="0.3">
      <c r="B266">
        <v>90</v>
      </c>
      <c r="C266" t="str" cm="1">
        <f t="array" ref="C266">_xlfn.IFS(B266&gt;90,"A1",B266&gt;80,"A2",B266&gt;70,"B1",B266&gt;60,"B2",B266&gt;50,"C1",B266&gt;40,"C2")</f>
        <v>A2</v>
      </c>
      <c r="D266">
        <v>86</v>
      </c>
      <c r="E266" t="str" cm="1">
        <f t="array" ref="E266">_xlfn.IFS(Table1[[#This Row],[Previous Marks]]&gt;90,"A1",Table1[[#This Row],[Previous Marks]]&gt;80,"A2",Table1[[#This Row],[Previous Marks]]&gt;70,"B1",Table1[[#This Row],[Previous Marks]]&gt;60,"B2",Table1[[#This Row],[Previous Marks]]&gt;50,"C1",Table1[[#This Row],[Previous Marks]]&gt;40,"C2")</f>
        <v>A2</v>
      </c>
      <c r="F266">
        <v>70</v>
      </c>
    </row>
    <row r="267" spans="2:6" x14ac:dyDescent="0.3">
      <c r="B267">
        <v>90</v>
      </c>
      <c r="C267" t="str" cm="1">
        <f t="array" ref="C267">_xlfn.IFS(B267&gt;90,"A1",B267&gt;80,"A2",B267&gt;70,"B1",B267&gt;60,"B2",B267&gt;50,"C1",B267&gt;40,"C2")</f>
        <v>A2</v>
      </c>
      <c r="D267">
        <v>65</v>
      </c>
      <c r="E267" t="str" cm="1">
        <f t="array" ref="E267">_xlfn.IFS(Table1[[#This Row],[Previous Marks]]&gt;90,"A1",Table1[[#This Row],[Previous Marks]]&gt;80,"A2",Table1[[#This Row],[Previous Marks]]&gt;70,"B1",Table1[[#This Row],[Previous Marks]]&gt;60,"B2",Table1[[#This Row],[Previous Marks]]&gt;50,"C1",Table1[[#This Row],[Previous Marks]]&gt;40,"C2")</f>
        <v>B2</v>
      </c>
      <c r="F267">
        <v>90</v>
      </c>
    </row>
    <row r="268" spans="2:6" x14ac:dyDescent="0.3">
      <c r="B268">
        <v>85</v>
      </c>
      <c r="C268" t="str" cm="1">
        <f t="array" ref="C268">_xlfn.IFS(B268&gt;90,"A1",B268&gt;80,"A2",B268&gt;70,"B1",B268&gt;60,"B2",B268&gt;50,"C1",B268&gt;40,"C2")</f>
        <v>A2</v>
      </c>
      <c r="D268">
        <v>77</v>
      </c>
      <c r="E268" t="str" cm="1">
        <f t="array" ref="E268">_xlfn.IFS(Table1[[#This Row],[Previous Marks]]&gt;90,"A1",Table1[[#This Row],[Previous Marks]]&gt;80,"A2",Table1[[#This Row],[Previous Marks]]&gt;70,"B1",Table1[[#This Row],[Previous Marks]]&gt;60,"B2",Table1[[#This Row],[Previous Marks]]&gt;50,"C1",Table1[[#This Row],[Previous Marks]]&gt;40,"C2")</f>
        <v>B1</v>
      </c>
      <c r="F268">
        <v>90</v>
      </c>
    </row>
    <row r="269" spans="2:6" x14ac:dyDescent="0.3">
      <c r="B269">
        <v>72</v>
      </c>
      <c r="C269" t="str" cm="1">
        <f t="array" ref="C269">_xlfn.IFS(B269&gt;90,"A1",B269&gt;80,"A2",B269&gt;70,"B1",B269&gt;60,"B2",B269&gt;50,"C1",B269&gt;40,"C2")</f>
        <v>B1</v>
      </c>
      <c r="D269">
        <v>90</v>
      </c>
      <c r="E269" t="str" cm="1">
        <f t="array" ref="E269">_xlfn.IFS(Table1[[#This Row],[Previous Marks]]&gt;90,"A1",Table1[[#This Row],[Previous Marks]]&gt;80,"A2",Table1[[#This Row],[Previous Marks]]&gt;70,"B1",Table1[[#This Row],[Previous Marks]]&gt;60,"B2",Table1[[#This Row],[Previous Marks]]&gt;50,"C1",Table1[[#This Row],[Previous Marks]]&gt;40,"C2")</f>
        <v>A2</v>
      </c>
      <c r="F269">
        <v>90</v>
      </c>
    </row>
    <row r="270" spans="2:6" x14ac:dyDescent="0.3">
      <c r="B270">
        <v>80</v>
      </c>
      <c r="C270" t="str" cm="1">
        <f t="array" ref="C270">_xlfn.IFS(B270&gt;90,"A1",B270&gt;80,"A2",B270&gt;70,"B1",B270&gt;60,"B2",B270&gt;50,"C1",B270&gt;40,"C2")</f>
        <v>B1</v>
      </c>
      <c r="D270">
        <v>65</v>
      </c>
      <c r="E270" t="str" cm="1">
        <f t="array" ref="E270">_xlfn.IFS(Table1[[#This Row],[Previous Marks]]&gt;90,"A1",Table1[[#This Row],[Previous Marks]]&gt;80,"A2",Table1[[#This Row],[Previous Marks]]&gt;70,"B1",Table1[[#This Row],[Previous Marks]]&gt;60,"B2",Table1[[#This Row],[Previous Marks]]&gt;50,"C1",Table1[[#This Row],[Previous Marks]]&gt;40,"C2")</f>
        <v>B2</v>
      </c>
      <c r="F270">
        <v>70</v>
      </c>
    </row>
    <row r="271" spans="2:6" x14ac:dyDescent="0.3">
      <c r="B271">
        <v>87</v>
      </c>
      <c r="C271" t="str" cm="1">
        <f t="array" ref="C271">_xlfn.IFS(B271&gt;90,"A1",B271&gt;80,"A2",B271&gt;70,"B1",B271&gt;60,"B2",B271&gt;50,"C1",B271&gt;40,"C2")</f>
        <v>A2</v>
      </c>
      <c r="D271">
        <v>90</v>
      </c>
      <c r="E271" t="str" cm="1">
        <f t="array" ref="E271">_xlfn.IFS(Table1[[#This Row],[Previous Marks]]&gt;90,"A1",Table1[[#This Row],[Previous Marks]]&gt;80,"A2",Table1[[#This Row],[Previous Marks]]&gt;70,"B1",Table1[[#This Row],[Previous Marks]]&gt;60,"B2",Table1[[#This Row],[Previous Marks]]&gt;50,"C1",Table1[[#This Row],[Previous Marks]]&gt;40,"C2")</f>
        <v>A2</v>
      </c>
      <c r="F271">
        <v>85</v>
      </c>
    </row>
    <row r="272" spans="2:6" x14ac:dyDescent="0.3">
      <c r="B272">
        <v>78</v>
      </c>
      <c r="C272" t="str" cm="1">
        <f t="array" ref="C272">_xlfn.IFS(B272&gt;90,"A1",B272&gt;80,"A2",B272&gt;70,"B1",B272&gt;60,"B2",B272&gt;50,"C1",B272&gt;40,"C2")</f>
        <v>B1</v>
      </c>
      <c r="D272">
        <v>85</v>
      </c>
      <c r="E272" t="str" cm="1">
        <f t="array" ref="E272">_xlfn.IFS(Table1[[#This Row],[Previous Marks]]&gt;90,"A1",Table1[[#This Row],[Previous Marks]]&gt;80,"A2",Table1[[#This Row],[Previous Marks]]&gt;70,"B1",Table1[[#This Row],[Previous Marks]]&gt;60,"B2",Table1[[#This Row],[Previous Marks]]&gt;50,"C1",Table1[[#This Row],[Previous Marks]]&gt;40,"C2")</f>
        <v>A2</v>
      </c>
      <c r="F272">
        <v>85.510416666666671</v>
      </c>
    </row>
    <row r="273" spans="2:6" x14ac:dyDescent="0.3">
      <c r="B273">
        <v>88</v>
      </c>
      <c r="C273" t="str" cm="1">
        <f t="array" ref="C273">_xlfn.IFS(B273&gt;90,"A1",B273&gt;80,"A2",B273&gt;70,"B1",B273&gt;60,"B2",B273&gt;50,"C1",B273&gt;40,"C2")</f>
        <v>A2</v>
      </c>
      <c r="D273">
        <v>88</v>
      </c>
      <c r="E273" t="str" cm="1">
        <f t="array" ref="E273">_xlfn.IFS(Table1[[#This Row],[Previous Marks]]&gt;90,"A1",Table1[[#This Row],[Previous Marks]]&gt;80,"A2",Table1[[#This Row],[Previous Marks]]&gt;70,"B1",Table1[[#This Row],[Previous Marks]]&gt;60,"B2",Table1[[#This Row],[Previous Marks]]&gt;50,"C1",Table1[[#This Row],[Previous Marks]]&gt;40,"C2")</f>
        <v>A2</v>
      </c>
      <c r="F273">
        <v>91</v>
      </c>
    </row>
    <row r="274" spans="2:6" x14ac:dyDescent="0.3">
      <c r="B274">
        <v>68</v>
      </c>
      <c r="C274" t="str" cm="1">
        <f t="array" ref="C274">_xlfn.IFS(B274&gt;90,"A1",B274&gt;80,"A2",B274&gt;70,"B1",B274&gt;60,"B2",B274&gt;50,"C1",B274&gt;40,"C2")</f>
        <v>B2</v>
      </c>
      <c r="D274">
        <v>90</v>
      </c>
      <c r="E274" t="str" cm="1">
        <f t="array" ref="E274">_xlfn.IFS(Table1[[#This Row],[Previous Marks]]&gt;90,"A1",Table1[[#This Row],[Previous Marks]]&gt;80,"A2",Table1[[#This Row],[Previous Marks]]&gt;70,"B1",Table1[[#This Row],[Previous Marks]]&gt;60,"B2",Table1[[#This Row],[Previous Marks]]&gt;50,"C1",Table1[[#This Row],[Previous Marks]]&gt;40,"C2")</f>
        <v>A2</v>
      </c>
      <c r="F274">
        <v>95</v>
      </c>
    </row>
    <row r="275" spans="2:6" x14ac:dyDescent="0.3">
      <c r="B275">
        <v>72</v>
      </c>
      <c r="C275" t="str" cm="1">
        <f t="array" ref="C275">_xlfn.IFS(B275&gt;90,"A1",B275&gt;80,"A2",B275&gt;70,"B1",B275&gt;60,"B2",B275&gt;50,"C1",B275&gt;40,"C2")</f>
        <v>B1</v>
      </c>
      <c r="D275">
        <v>60</v>
      </c>
      <c r="E275" t="str" cm="1">
        <f t="array" ref="E275">_xlfn.IFS(Table1[[#This Row],[Previous Marks]]&gt;90,"A1",Table1[[#This Row],[Previous Marks]]&gt;80,"A2",Table1[[#This Row],[Previous Marks]]&gt;70,"B1",Table1[[#This Row],[Previous Marks]]&gt;60,"B2",Table1[[#This Row],[Previous Marks]]&gt;50,"C1",Table1[[#This Row],[Previous Marks]]&gt;40,"C2")</f>
        <v>C1</v>
      </c>
      <c r="F275">
        <v>91</v>
      </c>
    </row>
    <row r="276" spans="2:6" x14ac:dyDescent="0.3">
      <c r="B276">
        <v>88</v>
      </c>
      <c r="C276" t="str" cm="1">
        <f t="array" ref="C276">_xlfn.IFS(B276&gt;90,"A1",B276&gt;80,"A2",B276&gt;70,"B1",B276&gt;60,"B2",B276&gt;50,"C1",B276&gt;40,"C2")</f>
        <v>A2</v>
      </c>
      <c r="D276">
        <v>65</v>
      </c>
      <c r="E276" t="str" cm="1">
        <f t="array" ref="E276">_xlfn.IFS(Table1[[#This Row],[Previous Marks]]&gt;90,"A1",Table1[[#This Row],[Previous Marks]]&gt;80,"A2",Table1[[#This Row],[Previous Marks]]&gt;70,"B1",Table1[[#This Row],[Previous Marks]]&gt;60,"B2",Table1[[#This Row],[Previous Marks]]&gt;50,"C1",Table1[[#This Row],[Previous Marks]]&gt;40,"C2")</f>
        <v>B2</v>
      </c>
      <c r="F276">
        <v>85.510416666666671</v>
      </c>
    </row>
    <row r="277" spans="2:6" x14ac:dyDescent="0.3">
      <c r="B277">
        <v>78</v>
      </c>
      <c r="C277" t="str" cm="1">
        <f t="array" ref="C277">_xlfn.IFS(B277&gt;90,"A1",B277&gt;80,"A2",B277&gt;70,"B1",B277&gt;60,"B2",B277&gt;50,"C1",B277&gt;40,"C2")</f>
        <v>B1</v>
      </c>
      <c r="D277">
        <v>70</v>
      </c>
      <c r="E277" t="str" cm="1">
        <f t="array" ref="E277">_xlfn.IFS(Table1[[#This Row],[Previous Marks]]&gt;90,"A1",Table1[[#This Row],[Previous Marks]]&gt;80,"A2",Table1[[#This Row],[Previous Marks]]&gt;70,"B1",Table1[[#This Row],[Previous Marks]]&gt;60,"B2",Table1[[#This Row],[Previous Marks]]&gt;50,"C1",Table1[[#This Row],[Previous Marks]]&gt;40,"C2")</f>
        <v>B2</v>
      </c>
      <c r="F277">
        <v>92</v>
      </c>
    </row>
    <row r="278" spans="2:6" x14ac:dyDescent="0.3">
      <c r="B278">
        <v>85</v>
      </c>
      <c r="C278" t="str" cm="1">
        <f t="array" ref="C278">_xlfn.IFS(B278&gt;90,"A1",B278&gt;80,"A2",B278&gt;70,"B1",B278&gt;60,"B2",B278&gt;50,"C1",B278&gt;40,"C2")</f>
        <v>A2</v>
      </c>
      <c r="D278">
        <v>86</v>
      </c>
      <c r="E278" t="str" cm="1">
        <f t="array" ref="E278">_xlfn.IFS(Table1[[#This Row],[Previous Marks]]&gt;90,"A1",Table1[[#This Row],[Previous Marks]]&gt;80,"A2",Table1[[#This Row],[Previous Marks]]&gt;70,"B1",Table1[[#This Row],[Previous Marks]]&gt;60,"B2",Table1[[#This Row],[Previous Marks]]&gt;50,"C1",Table1[[#This Row],[Previous Marks]]&gt;40,"C2")</f>
        <v>A2</v>
      </c>
      <c r="F278">
        <v>78</v>
      </c>
    </row>
    <row r="279" spans="2:6" x14ac:dyDescent="0.3">
      <c r="B279">
        <v>88</v>
      </c>
      <c r="C279" t="str" cm="1">
        <f t="array" ref="C279">_xlfn.IFS(B279&gt;90,"A1",B279&gt;80,"A2",B279&gt;70,"B1",B279&gt;60,"B2",B279&gt;50,"C1",B279&gt;40,"C2")</f>
        <v>A2</v>
      </c>
      <c r="D279">
        <v>70</v>
      </c>
      <c r="E279" t="str" cm="1">
        <f t="array" ref="E279">_xlfn.IFS(Table1[[#This Row],[Previous Marks]]&gt;90,"A1",Table1[[#This Row],[Previous Marks]]&gt;80,"A2",Table1[[#This Row],[Previous Marks]]&gt;70,"B1",Table1[[#This Row],[Previous Marks]]&gt;60,"B2",Table1[[#This Row],[Previous Marks]]&gt;50,"C1",Table1[[#This Row],[Previous Marks]]&gt;40,"C2")</f>
        <v>B2</v>
      </c>
      <c r="F279">
        <v>91</v>
      </c>
    </row>
    <row r="280" spans="2:6" x14ac:dyDescent="0.3">
      <c r="B280">
        <v>92</v>
      </c>
      <c r="C280" t="str" cm="1">
        <f t="array" ref="C280">_xlfn.IFS(B280&gt;90,"A1",B280&gt;80,"A2",B280&gt;70,"B1",B280&gt;60,"B2",B280&gt;50,"C1",B280&gt;40,"C2")</f>
        <v>A1</v>
      </c>
      <c r="D280">
        <v>90</v>
      </c>
      <c r="E280" t="str" cm="1">
        <f t="array" ref="E280">_xlfn.IFS(Table1[[#This Row],[Previous Marks]]&gt;90,"A1",Table1[[#This Row],[Previous Marks]]&gt;80,"A2",Table1[[#This Row],[Previous Marks]]&gt;70,"B1",Table1[[#This Row],[Previous Marks]]&gt;60,"B2",Table1[[#This Row],[Previous Marks]]&gt;50,"C1",Table1[[#This Row],[Previous Marks]]&gt;40,"C2")</f>
        <v>A2</v>
      </c>
      <c r="F280">
        <v>85</v>
      </c>
    </row>
    <row r="281" spans="2:6" x14ac:dyDescent="0.3">
      <c r="B281">
        <v>88</v>
      </c>
      <c r="C281" t="str" cm="1">
        <f t="array" ref="C281">_xlfn.IFS(B281&gt;90,"A1",B281&gt;80,"A2",B281&gt;70,"B1",B281&gt;60,"B2",B281&gt;50,"C1",B281&gt;40,"C2")</f>
        <v>A2</v>
      </c>
      <c r="D281">
        <v>85</v>
      </c>
      <c r="E281" t="str" cm="1">
        <f t="array" ref="E281">_xlfn.IFS(Table1[[#This Row],[Previous Marks]]&gt;90,"A1",Table1[[#This Row],[Previous Marks]]&gt;80,"A2",Table1[[#This Row],[Previous Marks]]&gt;70,"B1",Table1[[#This Row],[Previous Marks]]&gt;60,"B2",Table1[[#This Row],[Previous Marks]]&gt;50,"C1",Table1[[#This Row],[Previous Marks]]&gt;40,"C2")</f>
        <v>A2</v>
      </c>
      <c r="F281">
        <v>90</v>
      </c>
    </row>
    <row r="282" spans="2:6" x14ac:dyDescent="0.3">
      <c r="B282">
        <v>72</v>
      </c>
      <c r="C282" t="str" cm="1">
        <f t="array" ref="C282">_xlfn.IFS(B282&gt;90,"A1",B282&gt;80,"A2",B282&gt;70,"B1",B282&gt;60,"B2",B282&gt;50,"C1",B282&gt;40,"C2")</f>
        <v>B1</v>
      </c>
      <c r="D282">
        <v>78</v>
      </c>
      <c r="E282" t="str" cm="1">
        <f t="array" ref="E282">_xlfn.IFS(Table1[[#This Row],[Previous Marks]]&gt;90,"A1",Table1[[#This Row],[Previous Marks]]&gt;80,"A2",Table1[[#This Row],[Previous Marks]]&gt;70,"B1",Table1[[#This Row],[Previous Marks]]&gt;60,"B2",Table1[[#This Row],[Previous Marks]]&gt;50,"C1",Table1[[#This Row],[Previous Marks]]&gt;40,"C2")</f>
        <v>B1</v>
      </c>
      <c r="F282">
        <v>92</v>
      </c>
    </row>
    <row r="283" spans="2:6" x14ac:dyDescent="0.3">
      <c r="B283">
        <v>87</v>
      </c>
      <c r="C283" t="str" cm="1">
        <f t="array" ref="C283">_xlfn.IFS(B283&gt;90,"A1",B283&gt;80,"A2",B283&gt;70,"B1",B283&gt;60,"B2",B283&gt;50,"C1",B283&gt;40,"C2")</f>
        <v>A2</v>
      </c>
      <c r="D283">
        <v>82</v>
      </c>
      <c r="E283" t="str" cm="1">
        <f t="array" ref="E283">_xlfn.IFS(Table1[[#This Row],[Previous Marks]]&gt;90,"A1",Table1[[#This Row],[Previous Marks]]&gt;80,"A2",Table1[[#This Row],[Previous Marks]]&gt;70,"B1",Table1[[#This Row],[Previous Marks]]&gt;60,"B2",Table1[[#This Row],[Previous Marks]]&gt;50,"C1",Table1[[#This Row],[Previous Marks]]&gt;40,"C2")</f>
        <v>A2</v>
      </c>
      <c r="F283">
        <v>88</v>
      </c>
    </row>
    <row r="284" spans="2:6" x14ac:dyDescent="0.3">
      <c r="B284">
        <v>90</v>
      </c>
      <c r="C284" t="str" cm="1">
        <f t="array" ref="C284">_xlfn.IFS(B284&gt;90,"A1",B284&gt;80,"A2",B284&gt;70,"B1",B284&gt;60,"B2",B284&gt;50,"C1",B284&gt;40,"C2")</f>
        <v>A2</v>
      </c>
      <c r="D284">
        <v>90</v>
      </c>
      <c r="E284" t="str" cm="1">
        <f t="array" ref="E284">_xlfn.IFS(Table1[[#This Row],[Previous Marks]]&gt;90,"A1",Table1[[#This Row],[Previous Marks]]&gt;80,"A2",Table1[[#This Row],[Previous Marks]]&gt;70,"B1",Table1[[#This Row],[Previous Marks]]&gt;60,"B2",Table1[[#This Row],[Previous Marks]]&gt;50,"C1",Table1[[#This Row],[Previous Marks]]&gt;40,"C2")</f>
        <v>A2</v>
      </c>
      <c r="F284">
        <v>78</v>
      </c>
    </row>
    <row r="285" spans="2:6" x14ac:dyDescent="0.3">
      <c r="B285">
        <v>87</v>
      </c>
      <c r="C285" t="str" cm="1">
        <f t="array" ref="C285">_xlfn.IFS(B285&gt;90,"A1",B285&gt;80,"A2",B285&gt;70,"B1",B285&gt;60,"B2",B285&gt;50,"C1",B285&gt;40,"C2")</f>
        <v>A2</v>
      </c>
      <c r="D285">
        <v>60</v>
      </c>
      <c r="E285" t="str" cm="1">
        <f t="array" ref="E285">_xlfn.IFS(Table1[[#This Row],[Previous Marks]]&gt;90,"A1",Table1[[#This Row],[Previous Marks]]&gt;80,"A2",Table1[[#This Row],[Previous Marks]]&gt;70,"B1",Table1[[#This Row],[Previous Marks]]&gt;60,"B2",Table1[[#This Row],[Previous Marks]]&gt;50,"C1",Table1[[#This Row],[Previous Marks]]&gt;40,"C2")</f>
        <v>C1</v>
      </c>
      <c r="F285">
        <v>91</v>
      </c>
    </row>
    <row r="286" spans="2:6" x14ac:dyDescent="0.3">
      <c r="B286">
        <v>80</v>
      </c>
      <c r="C286" t="str" cm="1">
        <f t="array" ref="C286">_xlfn.IFS(B286&gt;90,"A1",B286&gt;80,"A2",B286&gt;70,"B1",B286&gt;60,"B2",B286&gt;50,"C1",B286&gt;40,"C2")</f>
        <v>B1</v>
      </c>
      <c r="D286">
        <v>77</v>
      </c>
      <c r="E286" t="str" cm="1">
        <f t="array" ref="E286">_xlfn.IFS(Table1[[#This Row],[Previous Marks]]&gt;90,"A1",Table1[[#This Row],[Previous Marks]]&gt;80,"A2",Table1[[#This Row],[Previous Marks]]&gt;70,"B1",Table1[[#This Row],[Previous Marks]]&gt;60,"B2",Table1[[#This Row],[Previous Marks]]&gt;50,"C1",Table1[[#This Row],[Previous Marks]]&gt;40,"C2")</f>
        <v>B1</v>
      </c>
      <c r="F286">
        <v>95</v>
      </c>
    </row>
    <row r="287" spans="2:6" x14ac:dyDescent="0.3">
      <c r="B287">
        <v>92</v>
      </c>
      <c r="C287" t="str" cm="1">
        <f t="array" ref="C287">_xlfn.IFS(B287&gt;90,"A1",B287&gt;80,"A2",B287&gt;70,"B1",B287&gt;60,"B2",B287&gt;50,"C1",B287&gt;40,"C2")</f>
        <v>A1</v>
      </c>
      <c r="D287">
        <v>60</v>
      </c>
      <c r="E287" t="str" cm="1">
        <f t="array" ref="E287">_xlfn.IFS(Table1[[#This Row],[Previous Marks]]&gt;90,"A1",Table1[[#This Row],[Previous Marks]]&gt;80,"A2",Table1[[#This Row],[Previous Marks]]&gt;70,"B1",Table1[[#This Row],[Previous Marks]]&gt;60,"B2",Table1[[#This Row],[Previous Marks]]&gt;50,"C1",Table1[[#This Row],[Previous Marks]]&gt;40,"C2")</f>
        <v>C1</v>
      </c>
      <c r="F287">
        <v>90</v>
      </c>
    </row>
    <row r="288" spans="2:6" x14ac:dyDescent="0.3">
      <c r="B288">
        <v>87</v>
      </c>
      <c r="C288" t="str" cm="1">
        <f t="array" ref="C288">_xlfn.IFS(B288&gt;90,"A1",B288&gt;80,"A2",B288&gt;70,"B1",B288&gt;60,"B2",B288&gt;50,"C1",B288&gt;40,"C2")</f>
        <v>A2</v>
      </c>
      <c r="D288">
        <v>88</v>
      </c>
      <c r="E288" t="str" cm="1">
        <f t="array" ref="E288">_xlfn.IFS(Table1[[#This Row],[Previous Marks]]&gt;90,"A1",Table1[[#This Row],[Previous Marks]]&gt;80,"A2",Table1[[#This Row],[Previous Marks]]&gt;70,"B1",Table1[[#This Row],[Previous Marks]]&gt;60,"B2",Table1[[#This Row],[Previous Marks]]&gt;50,"C1",Table1[[#This Row],[Previous Marks]]&gt;40,"C2")</f>
        <v>A2</v>
      </c>
      <c r="F288">
        <v>91</v>
      </c>
    </row>
    <row r="289" spans="2:6" x14ac:dyDescent="0.3">
      <c r="B289">
        <v>68</v>
      </c>
      <c r="C289" t="str" cm="1">
        <f t="array" ref="C289">_xlfn.IFS(B289&gt;90,"A1",B289&gt;80,"A2",B289&gt;70,"B1",B289&gt;60,"B2",B289&gt;50,"C1",B289&gt;40,"C2")</f>
        <v>B2</v>
      </c>
      <c r="D289">
        <v>78</v>
      </c>
      <c r="E289" t="str" cm="1">
        <f t="array" ref="E289">_xlfn.IFS(Table1[[#This Row],[Previous Marks]]&gt;90,"A1",Table1[[#This Row],[Previous Marks]]&gt;80,"A2",Table1[[#This Row],[Previous Marks]]&gt;70,"B1",Table1[[#This Row],[Previous Marks]]&gt;60,"B2",Table1[[#This Row],[Previous Marks]]&gt;50,"C1",Table1[[#This Row],[Previous Marks]]&gt;40,"C2")</f>
        <v>B1</v>
      </c>
      <c r="F289">
        <v>85</v>
      </c>
    </row>
    <row r="290" spans="2:6" x14ac:dyDescent="0.3">
      <c r="B290">
        <v>68</v>
      </c>
      <c r="C290" t="str" cm="1">
        <f t="array" ref="C290">_xlfn.IFS(B290&gt;90,"A1",B290&gt;80,"A2",B290&gt;70,"B1",B290&gt;60,"B2",B290&gt;50,"C1",B290&gt;40,"C2")</f>
        <v>B2</v>
      </c>
      <c r="D290">
        <v>85</v>
      </c>
      <c r="E290" t="str" cm="1">
        <f t="array" ref="E290">_xlfn.IFS(Table1[[#This Row],[Previous Marks]]&gt;90,"A1",Table1[[#This Row],[Previous Marks]]&gt;80,"A2",Table1[[#This Row],[Previous Marks]]&gt;70,"B1",Table1[[#This Row],[Previous Marks]]&gt;60,"B2",Table1[[#This Row],[Previous Marks]]&gt;50,"C1",Table1[[#This Row],[Previous Marks]]&gt;40,"C2")</f>
        <v>A2</v>
      </c>
      <c r="F290">
        <v>95</v>
      </c>
    </row>
    <row r="291" spans="2:6" x14ac:dyDescent="0.3">
      <c r="B291">
        <v>87</v>
      </c>
      <c r="C291" t="str" cm="1">
        <f t="array" ref="C291">_xlfn.IFS(B291&gt;90,"A1",B291&gt;80,"A2",B291&gt;70,"B1",B291&gt;60,"B2",B291&gt;50,"C1",B291&gt;40,"C2")</f>
        <v>A2</v>
      </c>
      <c r="D291">
        <v>78</v>
      </c>
      <c r="E291" t="str" cm="1">
        <f t="array" ref="E291">_xlfn.IFS(Table1[[#This Row],[Previous Marks]]&gt;90,"A1",Table1[[#This Row],[Previous Marks]]&gt;80,"A2",Table1[[#This Row],[Previous Marks]]&gt;70,"B1",Table1[[#This Row],[Previous Marks]]&gt;60,"B2",Table1[[#This Row],[Previous Marks]]&gt;50,"C1",Table1[[#This Row],[Previous Marks]]&gt;40,"C2")</f>
        <v>B1</v>
      </c>
      <c r="F291">
        <v>90</v>
      </c>
    </row>
    <row r="292" spans="2:6" x14ac:dyDescent="0.3">
      <c r="B292">
        <v>87</v>
      </c>
      <c r="C292" t="str" cm="1">
        <f t="array" ref="C292">_xlfn.IFS(B292&gt;90,"A1",B292&gt;80,"A2",B292&gt;70,"B1",B292&gt;60,"B2",B292&gt;50,"C1",B292&gt;40,"C2")</f>
        <v>A2</v>
      </c>
      <c r="D292">
        <v>60</v>
      </c>
      <c r="E292" t="str" cm="1">
        <f t="array" ref="E292">_xlfn.IFS(Table1[[#This Row],[Previous Marks]]&gt;90,"A1",Table1[[#This Row],[Previous Marks]]&gt;80,"A2",Table1[[#This Row],[Previous Marks]]&gt;70,"B1",Table1[[#This Row],[Previous Marks]]&gt;60,"B2",Table1[[#This Row],[Previous Marks]]&gt;50,"C1",Table1[[#This Row],[Previous Marks]]&gt;40,"C2")</f>
        <v>C1</v>
      </c>
      <c r="F292">
        <v>85.510416666666671</v>
      </c>
    </row>
    <row r="293" spans="2:6" x14ac:dyDescent="0.3">
      <c r="B293">
        <v>68</v>
      </c>
      <c r="C293" t="str" cm="1">
        <f t="array" ref="C293">_xlfn.IFS(B293&gt;90,"A1",B293&gt;80,"A2",B293&gt;70,"B1",B293&gt;60,"B2",B293&gt;50,"C1",B293&gt;40,"C2")</f>
        <v>B2</v>
      </c>
      <c r="D293">
        <v>65</v>
      </c>
      <c r="E293" t="str" cm="1">
        <f t="array" ref="E293">_xlfn.IFS(Table1[[#This Row],[Previous Marks]]&gt;90,"A1",Table1[[#This Row],[Previous Marks]]&gt;80,"A2",Table1[[#This Row],[Previous Marks]]&gt;70,"B1",Table1[[#This Row],[Previous Marks]]&gt;60,"B2",Table1[[#This Row],[Previous Marks]]&gt;50,"C1",Table1[[#This Row],[Previous Marks]]&gt;40,"C2")</f>
        <v>B2</v>
      </c>
      <c r="F293">
        <v>95</v>
      </c>
    </row>
    <row r="294" spans="2:6" x14ac:dyDescent="0.3">
      <c r="B294">
        <v>78</v>
      </c>
      <c r="C294" t="str" cm="1">
        <f t="array" ref="C294">_xlfn.IFS(B294&gt;90,"A1",B294&gt;80,"A2",B294&gt;70,"B1",B294&gt;60,"B2",B294&gt;50,"C1",B294&gt;40,"C2")</f>
        <v>B1</v>
      </c>
      <c r="D294">
        <v>65</v>
      </c>
      <c r="E294" t="str" cm="1">
        <f t="array" ref="E294">_xlfn.IFS(Table1[[#This Row],[Previous Marks]]&gt;90,"A1",Table1[[#This Row],[Previous Marks]]&gt;80,"A2",Table1[[#This Row],[Previous Marks]]&gt;70,"B1",Table1[[#This Row],[Previous Marks]]&gt;60,"B2",Table1[[#This Row],[Previous Marks]]&gt;50,"C1",Table1[[#This Row],[Previous Marks]]&gt;40,"C2")</f>
        <v>B2</v>
      </c>
      <c r="F294">
        <v>95</v>
      </c>
    </row>
    <row r="295" spans="2:6" x14ac:dyDescent="0.3">
      <c r="B295">
        <v>68</v>
      </c>
      <c r="C295" t="str" cm="1">
        <f t="array" ref="C295">_xlfn.IFS(B295&gt;90,"A1",B295&gt;80,"A2",B295&gt;70,"B1",B295&gt;60,"B2",B295&gt;50,"C1",B295&gt;40,"C2")</f>
        <v>B2</v>
      </c>
      <c r="D295">
        <v>88</v>
      </c>
      <c r="E295" t="str" cm="1">
        <f t="array" ref="E295">_xlfn.IFS(Table1[[#This Row],[Previous Marks]]&gt;90,"A1",Table1[[#This Row],[Previous Marks]]&gt;80,"A2",Table1[[#This Row],[Previous Marks]]&gt;70,"B1",Table1[[#This Row],[Previous Marks]]&gt;60,"B2",Table1[[#This Row],[Previous Marks]]&gt;50,"C1",Table1[[#This Row],[Previous Marks]]&gt;40,"C2")</f>
        <v>A2</v>
      </c>
      <c r="F295">
        <v>91</v>
      </c>
    </row>
    <row r="296" spans="2:6" x14ac:dyDescent="0.3">
      <c r="B296">
        <v>72</v>
      </c>
      <c r="C296" t="str" cm="1">
        <f t="array" ref="C296">_xlfn.IFS(B296&gt;90,"A1",B296&gt;80,"A2",B296&gt;70,"B1",B296&gt;60,"B2",B296&gt;50,"C1",B296&gt;40,"C2")</f>
        <v>B1</v>
      </c>
      <c r="D296">
        <v>90</v>
      </c>
      <c r="E296" t="str" cm="1">
        <f t="array" ref="E296">_xlfn.IFS(Table1[[#This Row],[Previous Marks]]&gt;90,"A1",Table1[[#This Row],[Previous Marks]]&gt;80,"A2",Table1[[#This Row],[Previous Marks]]&gt;70,"B1",Table1[[#This Row],[Previous Marks]]&gt;60,"B2",Table1[[#This Row],[Previous Marks]]&gt;50,"C1",Table1[[#This Row],[Previous Marks]]&gt;40,"C2")</f>
        <v>A2</v>
      </c>
      <c r="F296">
        <v>85</v>
      </c>
    </row>
    <row r="297" spans="2:6" x14ac:dyDescent="0.3">
      <c r="B297">
        <v>88</v>
      </c>
      <c r="C297" t="str" cm="1">
        <f t="array" ref="C297">_xlfn.IFS(B297&gt;90,"A1",B297&gt;80,"A2",B297&gt;70,"B1",B297&gt;60,"B2",B297&gt;50,"C1",B297&gt;40,"C2")</f>
        <v>A2</v>
      </c>
      <c r="D297">
        <v>85</v>
      </c>
      <c r="E297" t="str" cm="1">
        <f t="array" ref="E297">_xlfn.IFS(Table1[[#This Row],[Previous Marks]]&gt;90,"A1",Table1[[#This Row],[Previous Marks]]&gt;80,"A2",Table1[[#This Row],[Previous Marks]]&gt;70,"B1",Table1[[#This Row],[Previous Marks]]&gt;60,"B2",Table1[[#This Row],[Previous Marks]]&gt;50,"C1",Table1[[#This Row],[Previous Marks]]&gt;40,"C2")</f>
        <v>A2</v>
      </c>
      <c r="F297">
        <v>85</v>
      </c>
    </row>
    <row r="298" spans="2:6" x14ac:dyDescent="0.3">
      <c r="B298">
        <v>68</v>
      </c>
      <c r="C298" t="str" cm="1">
        <f t="array" ref="C298">_xlfn.IFS(B298&gt;90,"A1",B298&gt;80,"A2",B298&gt;70,"B1",B298&gt;60,"B2",B298&gt;50,"C1",B298&gt;40,"C2")</f>
        <v>B2</v>
      </c>
      <c r="D298">
        <v>60</v>
      </c>
      <c r="E298" t="str" cm="1">
        <f t="array" ref="E298">_xlfn.IFS(Table1[[#This Row],[Previous Marks]]&gt;90,"A1",Table1[[#This Row],[Previous Marks]]&gt;80,"A2",Table1[[#This Row],[Previous Marks]]&gt;70,"B1",Table1[[#This Row],[Previous Marks]]&gt;60,"B2",Table1[[#This Row],[Previous Marks]]&gt;50,"C1",Table1[[#This Row],[Previous Marks]]&gt;40,"C2")</f>
        <v>C1</v>
      </c>
      <c r="F298">
        <v>70</v>
      </c>
    </row>
    <row r="299" spans="2:6" x14ac:dyDescent="0.3">
      <c r="B299">
        <v>62</v>
      </c>
      <c r="C299" t="str" cm="1">
        <f t="array" ref="C299">_xlfn.IFS(B299&gt;90,"A1",B299&gt;80,"A2",B299&gt;70,"B1",B299&gt;60,"B2",B299&gt;50,"C1",B299&gt;40,"C2")</f>
        <v>B2</v>
      </c>
      <c r="D299">
        <v>90</v>
      </c>
      <c r="E299" t="str" cm="1">
        <f t="array" ref="E299">_xlfn.IFS(Table1[[#This Row],[Previous Marks]]&gt;90,"A1",Table1[[#This Row],[Previous Marks]]&gt;80,"A2",Table1[[#This Row],[Previous Marks]]&gt;70,"B1",Table1[[#This Row],[Previous Marks]]&gt;60,"B2",Table1[[#This Row],[Previous Marks]]&gt;50,"C1",Table1[[#This Row],[Previous Marks]]&gt;40,"C2")</f>
        <v>A2</v>
      </c>
      <c r="F299">
        <v>85</v>
      </c>
    </row>
    <row r="300" spans="2:6" x14ac:dyDescent="0.3">
      <c r="B300">
        <v>85</v>
      </c>
      <c r="C300" t="str" cm="1">
        <f t="array" ref="C300">_xlfn.IFS(B300&gt;90,"A1",B300&gt;80,"A2",B300&gt;70,"B1",B300&gt;60,"B2",B300&gt;50,"C1",B300&gt;40,"C2")</f>
        <v>A2</v>
      </c>
      <c r="D300">
        <v>70</v>
      </c>
      <c r="E300" t="str" cm="1">
        <f t="array" ref="E300">_xlfn.IFS(Table1[[#This Row],[Previous Marks]]&gt;90,"A1",Table1[[#This Row],[Previous Marks]]&gt;80,"A2",Table1[[#This Row],[Previous Marks]]&gt;70,"B1",Table1[[#This Row],[Previous Marks]]&gt;60,"B2",Table1[[#This Row],[Previous Marks]]&gt;50,"C1",Table1[[#This Row],[Previous Marks]]&gt;40,"C2")</f>
        <v>B2</v>
      </c>
      <c r="F300">
        <v>90</v>
      </c>
    </row>
    <row r="301" spans="2:6" x14ac:dyDescent="0.3">
      <c r="B301">
        <v>62</v>
      </c>
      <c r="C301" t="str" cm="1">
        <f t="array" ref="C301">_xlfn.IFS(B301&gt;90,"A1",B301&gt;80,"A2",B301&gt;70,"B1",B301&gt;60,"B2",B301&gt;50,"C1",B301&gt;40,"C2")</f>
        <v>B2</v>
      </c>
      <c r="D301">
        <v>85</v>
      </c>
      <c r="E301" t="str" cm="1">
        <f t="array" ref="E301">_xlfn.IFS(Table1[[#This Row],[Previous Marks]]&gt;90,"A1",Table1[[#This Row],[Previous Marks]]&gt;80,"A2",Table1[[#This Row],[Previous Marks]]&gt;70,"B1",Table1[[#This Row],[Previous Marks]]&gt;60,"B2",Table1[[#This Row],[Previous Marks]]&gt;50,"C1",Table1[[#This Row],[Previous Marks]]&gt;40,"C2")</f>
        <v>A2</v>
      </c>
      <c r="F301">
        <v>70</v>
      </c>
    </row>
    <row r="302" spans="2:6" x14ac:dyDescent="0.3">
      <c r="B302">
        <v>80</v>
      </c>
      <c r="C302" t="str" cm="1">
        <f t="array" ref="C302">_xlfn.IFS(B302&gt;90,"A1",B302&gt;80,"A2",B302&gt;70,"B1",B302&gt;60,"B2",B302&gt;50,"C1",B302&gt;40,"C2")</f>
        <v>B1</v>
      </c>
      <c r="D302">
        <v>77</v>
      </c>
      <c r="E302" t="str" cm="1">
        <f t="array" ref="E302">_xlfn.IFS(Table1[[#This Row],[Previous Marks]]&gt;90,"A1",Table1[[#This Row],[Previous Marks]]&gt;80,"A2",Table1[[#This Row],[Previous Marks]]&gt;70,"B1",Table1[[#This Row],[Previous Marks]]&gt;60,"B2",Table1[[#This Row],[Previous Marks]]&gt;50,"C1",Table1[[#This Row],[Previous Marks]]&gt;40,"C2")</f>
        <v>B1</v>
      </c>
      <c r="F302">
        <v>70</v>
      </c>
    </row>
    <row r="303" spans="2:6" x14ac:dyDescent="0.3">
      <c r="B303">
        <v>72</v>
      </c>
      <c r="C303" t="str" cm="1">
        <f t="array" ref="C303">_xlfn.IFS(B303&gt;90,"A1",B303&gt;80,"A2",B303&gt;70,"B1",B303&gt;60,"B2",B303&gt;50,"C1",B303&gt;40,"C2")</f>
        <v>B1</v>
      </c>
      <c r="D303">
        <v>65</v>
      </c>
      <c r="E303" t="str" cm="1">
        <f t="array" ref="E303">_xlfn.IFS(Table1[[#This Row],[Previous Marks]]&gt;90,"A1",Table1[[#This Row],[Previous Marks]]&gt;80,"A2",Table1[[#This Row],[Previous Marks]]&gt;70,"B1",Table1[[#This Row],[Previous Marks]]&gt;60,"B2",Table1[[#This Row],[Previous Marks]]&gt;50,"C1",Table1[[#This Row],[Previous Marks]]&gt;40,"C2")</f>
        <v>B2</v>
      </c>
      <c r="F303">
        <v>78</v>
      </c>
    </row>
    <row r="304" spans="2:6" x14ac:dyDescent="0.3">
      <c r="B304">
        <v>62</v>
      </c>
      <c r="C304" t="str" cm="1">
        <f t="array" ref="C304">_xlfn.IFS(B304&gt;90,"A1",B304&gt;80,"A2",B304&gt;70,"B1",B304&gt;60,"B2",B304&gt;50,"C1",B304&gt;40,"C2")</f>
        <v>B2</v>
      </c>
      <c r="D304">
        <v>85</v>
      </c>
      <c r="E304" t="str" cm="1">
        <f t="array" ref="E304">_xlfn.IFS(Table1[[#This Row],[Previous Marks]]&gt;90,"A1",Table1[[#This Row],[Previous Marks]]&gt;80,"A2",Table1[[#This Row],[Previous Marks]]&gt;70,"B1",Table1[[#This Row],[Previous Marks]]&gt;60,"B2",Table1[[#This Row],[Previous Marks]]&gt;50,"C1",Table1[[#This Row],[Previous Marks]]&gt;40,"C2")</f>
        <v>A2</v>
      </c>
      <c r="F304">
        <v>78</v>
      </c>
    </row>
    <row r="305" spans="2:6" x14ac:dyDescent="0.3">
      <c r="B305">
        <v>88</v>
      </c>
      <c r="C305" t="str" cm="1">
        <f t="array" ref="C305">_xlfn.IFS(B305&gt;90,"A1",B305&gt;80,"A2",B305&gt;70,"B1",B305&gt;60,"B2",B305&gt;50,"C1",B305&gt;40,"C2")</f>
        <v>A2</v>
      </c>
      <c r="D305">
        <v>88</v>
      </c>
      <c r="E305" t="str" cm="1">
        <f t="array" ref="E305">_xlfn.IFS(Table1[[#This Row],[Previous Marks]]&gt;90,"A1",Table1[[#This Row],[Previous Marks]]&gt;80,"A2",Table1[[#This Row],[Previous Marks]]&gt;70,"B1",Table1[[#This Row],[Previous Marks]]&gt;60,"B2",Table1[[#This Row],[Previous Marks]]&gt;50,"C1",Table1[[#This Row],[Previous Marks]]&gt;40,"C2")</f>
        <v>A2</v>
      </c>
      <c r="F305">
        <v>85</v>
      </c>
    </row>
    <row r="306" spans="2:6" x14ac:dyDescent="0.3">
      <c r="B306">
        <v>92</v>
      </c>
      <c r="C306" t="str" cm="1">
        <f t="array" ref="C306">_xlfn.IFS(B306&gt;90,"A1",B306&gt;80,"A2",B306&gt;70,"B1",B306&gt;60,"B2",B306&gt;50,"C1",B306&gt;40,"C2")</f>
        <v>A1</v>
      </c>
      <c r="D306">
        <v>77.598759048603924</v>
      </c>
      <c r="E306" t="str" cm="1">
        <f t="array" ref="E306">_xlfn.IFS(Table1[[#This Row],[Previous Marks]]&gt;90,"A1",Table1[[#This Row],[Previous Marks]]&gt;80,"A2",Table1[[#This Row],[Previous Marks]]&gt;70,"B1",Table1[[#This Row],[Previous Marks]]&gt;60,"B2",Table1[[#This Row],[Previous Marks]]&gt;50,"C1",Table1[[#This Row],[Previous Marks]]&gt;40,"C2")</f>
        <v>B1</v>
      </c>
      <c r="F306">
        <v>92</v>
      </c>
    </row>
    <row r="307" spans="2:6" x14ac:dyDescent="0.3">
      <c r="B307">
        <v>92</v>
      </c>
      <c r="C307" t="str" cm="1">
        <f t="array" ref="C307">_xlfn.IFS(B307&gt;90,"A1",B307&gt;80,"A2",B307&gt;70,"B1",B307&gt;60,"B2",B307&gt;50,"C1",B307&gt;40,"C2")</f>
        <v>A1</v>
      </c>
      <c r="D307">
        <v>60</v>
      </c>
      <c r="E307" t="str" cm="1">
        <f t="array" ref="E307">_xlfn.IFS(Table1[[#This Row],[Previous Marks]]&gt;90,"A1",Table1[[#This Row],[Previous Marks]]&gt;80,"A2",Table1[[#This Row],[Previous Marks]]&gt;70,"B1",Table1[[#This Row],[Previous Marks]]&gt;60,"B2",Table1[[#This Row],[Previous Marks]]&gt;50,"C1",Table1[[#This Row],[Previous Marks]]&gt;40,"C2")</f>
        <v>C1</v>
      </c>
      <c r="F307">
        <v>85</v>
      </c>
    </row>
    <row r="308" spans="2:6" x14ac:dyDescent="0.3">
      <c r="B308">
        <v>80</v>
      </c>
      <c r="C308" t="str" cm="1">
        <f t="array" ref="C308">_xlfn.IFS(B308&gt;90,"A1",B308&gt;80,"A2",B308&gt;70,"B1",B308&gt;60,"B2",B308&gt;50,"C1",B308&gt;40,"C2")</f>
        <v>B1</v>
      </c>
      <c r="D308">
        <v>85</v>
      </c>
      <c r="E308" t="str" cm="1">
        <f t="array" ref="E308">_xlfn.IFS(Table1[[#This Row],[Previous Marks]]&gt;90,"A1",Table1[[#This Row],[Previous Marks]]&gt;80,"A2",Table1[[#This Row],[Previous Marks]]&gt;70,"B1",Table1[[#This Row],[Previous Marks]]&gt;60,"B2",Table1[[#This Row],[Previous Marks]]&gt;50,"C1",Table1[[#This Row],[Previous Marks]]&gt;40,"C2")</f>
        <v>A2</v>
      </c>
      <c r="F308">
        <v>91</v>
      </c>
    </row>
    <row r="309" spans="2:6" x14ac:dyDescent="0.3">
      <c r="B309">
        <v>72</v>
      </c>
      <c r="C309" t="str" cm="1">
        <f t="array" ref="C309">_xlfn.IFS(B309&gt;90,"A1",B309&gt;80,"A2",B309&gt;70,"B1",B309&gt;60,"B2",B309&gt;50,"C1",B309&gt;40,"C2")</f>
        <v>B1</v>
      </c>
      <c r="D309">
        <v>82</v>
      </c>
      <c r="E309" t="str" cm="1">
        <f t="array" ref="E309">_xlfn.IFS(Table1[[#This Row],[Previous Marks]]&gt;90,"A1",Table1[[#This Row],[Previous Marks]]&gt;80,"A2",Table1[[#This Row],[Previous Marks]]&gt;70,"B1",Table1[[#This Row],[Previous Marks]]&gt;60,"B2",Table1[[#This Row],[Previous Marks]]&gt;50,"C1",Table1[[#This Row],[Previous Marks]]&gt;40,"C2")</f>
        <v>A2</v>
      </c>
      <c r="F309">
        <v>85</v>
      </c>
    </row>
    <row r="310" spans="2:6" x14ac:dyDescent="0.3">
      <c r="B310">
        <v>78</v>
      </c>
      <c r="C310" t="str" cm="1">
        <f t="array" ref="C310">_xlfn.IFS(B310&gt;90,"A1",B310&gt;80,"A2",B310&gt;70,"B1",B310&gt;60,"B2",B310&gt;50,"C1",B310&gt;40,"C2")</f>
        <v>B1</v>
      </c>
      <c r="D310">
        <v>77</v>
      </c>
      <c r="E310" t="str" cm="1">
        <f t="array" ref="E310">_xlfn.IFS(Table1[[#This Row],[Previous Marks]]&gt;90,"A1",Table1[[#This Row],[Previous Marks]]&gt;80,"A2",Table1[[#This Row],[Previous Marks]]&gt;70,"B1",Table1[[#This Row],[Previous Marks]]&gt;60,"B2",Table1[[#This Row],[Previous Marks]]&gt;50,"C1",Table1[[#This Row],[Previous Marks]]&gt;40,"C2")</f>
        <v>B1</v>
      </c>
      <c r="F310">
        <v>91</v>
      </c>
    </row>
    <row r="311" spans="2:6" x14ac:dyDescent="0.3">
      <c r="B311">
        <v>72</v>
      </c>
      <c r="C311" t="str" cm="1">
        <f t="array" ref="C311">_xlfn.IFS(B311&gt;90,"A1",B311&gt;80,"A2",B311&gt;70,"B1",B311&gt;60,"B2",B311&gt;50,"C1",B311&gt;40,"C2")</f>
        <v>B1</v>
      </c>
      <c r="D311">
        <v>60</v>
      </c>
      <c r="E311" t="str" cm="1">
        <f t="array" ref="E311">_xlfn.IFS(Table1[[#This Row],[Previous Marks]]&gt;90,"A1",Table1[[#This Row],[Previous Marks]]&gt;80,"A2",Table1[[#This Row],[Previous Marks]]&gt;70,"B1",Table1[[#This Row],[Previous Marks]]&gt;60,"B2",Table1[[#This Row],[Previous Marks]]&gt;50,"C1",Table1[[#This Row],[Previous Marks]]&gt;40,"C2")</f>
        <v>C1</v>
      </c>
      <c r="F311">
        <v>78</v>
      </c>
    </row>
    <row r="312" spans="2:6" x14ac:dyDescent="0.3">
      <c r="B312">
        <v>92</v>
      </c>
      <c r="C312" t="str" cm="1">
        <f t="array" ref="C312">_xlfn.IFS(B312&gt;90,"A1",B312&gt;80,"A2",B312&gt;70,"B1",B312&gt;60,"B2",B312&gt;50,"C1",B312&gt;40,"C2")</f>
        <v>A1</v>
      </c>
      <c r="D312">
        <v>85</v>
      </c>
      <c r="E312" t="str" cm="1">
        <f t="array" ref="E312">_xlfn.IFS(Table1[[#This Row],[Previous Marks]]&gt;90,"A1",Table1[[#This Row],[Previous Marks]]&gt;80,"A2",Table1[[#This Row],[Previous Marks]]&gt;70,"B1",Table1[[#This Row],[Previous Marks]]&gt;60,"B2",Table1[[#This Row],[Previous Marks]]&gt;50,"C1",Table1[[#This Row],[Previous Marks]]&gt;40,"C2")</f>
        <v>A2</v>
      </c>
      <c r="F312">
        <v>70</v>
      </c>
    </row>
    <row r="313" spans="2:6" x14ac:dyDescent="0.3">
      <c r="B313">
        <v>90</v>
      </c>
      <c r="C313" t="str" cm="1">
        <f t="array" ref="C313">_xlfn.IFS(B313&gt;90,"A1",B313&gt;80,"A2",B313&gt;70,"B1",B313&gt;60,"B2",B313&gt;50,"C1",B313&gt;40,"C2")</f>
        <v>A2</v>
      </c>
      <c r="D313">
        <v>70</v>
      </c>
      <c r="E313" t="str" cm="1">
        <f t="array" ref="E313">_xlfn.IFS(Table1[[#This Row],[Previous Marks]]&gt;90,"A1",Table1[[#This Row],[Previous Marks]]&gt;80,"A2",Table1[[#This Row],[Previous Marks]]&gt;70,"B1",Table1[[#This Row],[Previous Marks]]&gt;60,"B2",Table1[[#This Row],[Previous Marks]]&gt;50,"C1",Table1[[#This Row],[Previous Marks]]&gt;40,"C2")</f>
        <v>B2</v>
      </c>
      <c r="F313">
        <v>85</v>
      </c>
    </row>
    <row r="314" spans="2:6" x14ac:dyDescent="0.3">
      <c r="B314">
        <v>62</v>
      </c>
      <c r="C314" t="str" cm="1">
        <f t="array" ref="C314">_xlfn.IFS(B314&gt;90,"A1",B314&gt;80,"A2",B314&gt;70,"B1",B314&gt;60,"B2",B314&gt;50,"C1",B314&gt;40,"C2")</f>
        <v>B2</v>
      </c>
      <c r="D314">
        <v>86</v>
      </c>
      <c r="E314" t="str" cm="1">
        <f t="array" ref="E314">_xlfn.IFS(Table1[[#This Row],[Previous Marks]]&gt;90,"A1",Table1[[#This Row],[Previous Marks]]&gt;80,"A2",Table1[[#This Row],[Previous Marks]]&gt;70,"B1",Table1[[#This Row],[Previous Marks]]&gt;60,"B2",Table1[[#This Row],[Previous Marks]]&gt;50,"C1",Table1[[#This Row],[Previous Marks]]&gt;40,"C2")</f>
        <v>A2</v>
      </c>
      <c r="F314">
        <v>70</v>
      </c>
    </row>
    <row r="315" spans="2:6" x14ac:dyDescent="0.3">
      <c r="B315">
        <v>85</v>
      </c>
      <c r="C315" t="str" cm="1">
        <f t="array" ref="C315">_xlfn.IFS(B315&gt;90,"A1",B315&gt;80,"A2",B315&gt;70,"B1",B315&gt;60,"B2",B315&gt;50,"C1",B315&gt;40,"C2")</f>
        <v>A2</v>
      </c>
      <c r="D315">
        <v>88</v>
      </c>
      <c r="E315" t="str" cm="1">
        <f t="array" ref="E315">_xlfn.IFS(Table1[[#This Row],[Previous Marks]]&gt;90,"A1",Table1[[#This Row],[Previous Marks]]&gt;80,"A2",Table1[[#This Row],[Previous Marks]]&gt;70,"B1",Table1[[#This Row],[Previous Marks]]&gt;60,"B2",Table1[[#This Row],[Previous Marks]]&gt;50,"C1",Table1[[#This Row],[Previous Marks]]&gt;40,"C2")</f>
        <v>A2</v>
      </c>
      <c r="F315">
        <v>95</v>
      </c>
    </row>
    <row r="316" spans="2:6" x14ac:dyDescent="0.3">
      <c r="B316">
        <v>62</v>
      </c>
      <c r="C316" t="str" cm="1">
        <f t="array" ref="C316">_xlfn.IFS(B316&gt;90,"A1",B316&gt;80,"A2",B316&gt;70,"B1",B316&gt;60,"B2",B316&gt;50,"C1",B316&gt;40,"C2")</f>
        <v>B2</v>
      </c>
      <c r="D316">
        <v>77</v>
      </c>
      <c r="E316" t="str" cm="1">
        <f t="array" ref="E316">_xlfn.IFS(Table1[[#This Row],[Previous Marks]]&gt;90,"A1",Table1[[#This Row],[Previous Marks]]&gt;80,"A2",Table1[[#This Row],[Previous Marks]]&gt;70,"B1",Table1[[#This Row],[Previous Marks]]&gt;60,"B2",Table1[[#This Row],[Previous Marks]]&gt;50,"C1",Table1[[#This Row],[Previous Marks]]&gt;40,"C2")</f>
        <v>B1</v>
      </c>
      <c r="F316">
        <v>85.510416666666671</v>
      </c>
    </row>
    <row r="317" spans="2:6" x14ac:dyDescent="0.3">
      <c r="B317">
        <v>85</v>
      </c>
      <c r="C317" t="str" cm="1">
        <f t="array" ref="C317">_xlfn.IFS(B317&gt;90,"A1",B317&gt;80,"A2",B317&gt;70,"B1",B317&gt;60,"B2",B317&gt;50,"C1",B317&gt;40,"C2")</f>
        <v>A2</v>
      </c>
      <c r="D317">
        <v>85</v>
      </c>
      <c r="E317" t="str" cm="1">
        <f t="array" ref="E317">_xlfn.IFS(Table1[[#This Row],[Previous Marks]]&gt;90,"A1",Table1[[#This Row],[Previous Marks]]&gt;80,"A2",Table1[[#This Row],[Previous Marks]]&gt;70,"B1",Table1[[#This Row],[Previous Marks]]&gt;60,"B2",Table1[[#This Row],[Previous Marks]]&gt;50,"C1",Table1[[#This Row],[Previous Marks]]&gt;40,"C2")</f>
        <v>A2</v>
      </c>
      <c r="F317">
        <v>85</v>
      </c>
    </row>
    <row r="318" spans="2:6" x14ac:dyDescent="0.3">
      <c r="B318">
        <v>72</v>
      </c>
      <c r="C318" t="str" cm="1">
        <f t="array" ref="C318">_xlfn.IFS(B318&gt;90,"A1",B318&gt;80,"A2",B318&gt;70,"B1",B318&gt;60,"B2",B318&gt;50,"C1",B318&gt;40,"C2")</f>
        <v>B1</v>
      </c>
      <c r="D318">
        <v>90</v>
      </c>
      <c r="E318" t="str" cm="1">
        <f t="array" ref="E318">_xlfn.IFS(Table1[[#This Row],[Previous Marks]]&gt;90,"A1",Table1[[#This Row],[Previous Marks]]&gt;80,"A2",Table1[[#This Row],[Previous Marks]]&gt;70,"B1",Table1[[#This Row],[Previous Marks]]&gt;60,"B2",Table1[[#This Row],[Previous Marks]]&gt;50,"C1",Table1[[#This Row],[Previous Marks]]&gt;40,"C2")</f>
        <v>A2</v>
      </c>
      <c r="F318">
        <v>78</v>
      </c>
    </row>
    <row r="319" spans="2:6" x14ac:dyDescent="0.3">
      <c r="B319">
        <v>87</v>
      </c>
      <c r="C319" t="str" cm="1">
        <f t="array" ref="C319">_xlfn.IFS(B319&gt;90,"A1",B319&gt;80,"A2",B319&gt;70,"B1",B319&gt;60,"B2",B319&gt;50,"C1",B319&gt;40,"C2")</f>
        <v>A2</v>
      </c>
      <c r="D319">
        <v>70</v>
      </c>
      <c r="E319" t="str" cm="1">
        <f t="array" ref="E319">_xlfn.IFS(Table1[[#This Row],[Previous Marks]]&gt;90,"A1",Table1[[#This Row],[Previous Marks]]&gt;80,"A2",Table1[[#This Row],[Previous Marks]]&gt;70,"B1",Table1[[#This Row],[Previous Marks]]&gt;60,"B2",Table1[[#This Row],[Previous Marks]]&gt;50,"C1",Table1[[#This Row],[Previous Marks]]&gt;40,"C2")</f>
        <v>B2</v>
      </c>
      <c r="F319">
        <v>70</v>
      </c>
    </row>
    <row r="320" spans="2:6" x14ac:dyDescent="0.3">
      <c r="B320">
        <v>90</v>
      </c>
      <c r="C320" t="str" cm="1">
        <f t="array" ref="C320">_xlfn.IFS(B320&gt;90,"A1",B320&gt;80,"A2",B320&gt;70,"B1",B320&gt;60,"B2",B320&gt;50,"C1",B320&gt;40,"C2")</f>
        <v>A2</v>
      </c>
      <c r="D320">
        <v>65</v>
      </c>
      <c r="E320" t="str" cm="1">
        <f t="array" ref="E320">_xlfn.IFS(Table1[[#This Row],[Previous Marks]]&gt;90,"A1",Table1[[#This Row],[Previous Marks]]&gt;80,"A2",Table1[[#This Row],[Previous Marks]]&gt;70,"B1",Table1[[#This Row],[Previous Marks]]&gt;60,"B2",Table1[[#This Row],[Previous Marks]]&gt;50,"C1",Table1[[#This Row],[Previous Marks]]&gt;40,"C2")</f>
        <v>B2</v>
      </c>
      <c r="F320">
        <v>85</v>
      </c>
    </row>
    <row r="321" spans="2:6" x14ac:dyDescent="0.3">
      <c r="B321">
        <v>87</v>
      </c>
      <c r="C321" t="str" cm="1">
        <f t="array" ref="C321">_xlfn.IFS(B321&gt;90,"A1",B321&gt;80,"A2",B321&gt;70,"B1",B321&gt;60,"B2",B321&gt;50,"C1",B321&gt;40,"C2")</f>
        <v>A2</v>
      </c>
      <c r="D321">
        <v>90</v>
      </c>
      <c r="E321" t="str" cm="1">
        <f t="array" ref="E321">_xlfn.IFS(Table1[[#This Row],[Previous Marks]]&gt;90,"A1",Table1[[#This Row],[Previous Marks]]&gt;80,"A2",Table1[[#This Row],[Previous Marks]]&gt;70,"B1",Table1[[#This Row],[Previous Marks]]&gt;60,"B2",Table1[[#This Row],[Previous Marks]]&gt;50,"C1",Table1[[#This Row],[Previous Marks]]&gt;40,"C2")</f>
        <v>A2</v>
      </c>
      <c r="F321">
        <v>85</v>
      </c>
    </row>
    <row r="322" spans="2:6" x14ac:dyDescent="0.3">
      <c r="B322">
        <v>62</v>
      </c>
      <c r="C322" t="str" cm="1">
        <f t="array" ref="C322">_xlfn.IFS(B322&gt;90,"A1",B322&gt;80,"A2",B322&gt;70,"B1",B322&gt;60,"B2",B322&gt;50,"C1",B322&gt;40,"C2")</f>
        <v>B2</v>
      </c>
      <c r="D322">
        <v>86</v>
      </c>
      <c r="E322" t="str" cm="1">
        <f t="array" ref="E322">_xlfn.IFS(Table1[[#This Row],[Previous Marks]]&gt;90,"A1",Table1[[#This Row],[Previous Marks]]&gt;80,"A2",Table1[[#This Row],[Previous Marks]]&gt;70,"B1",Table1[[#This Row],[Previous Marks]]&gt;60,"B2",Table1[[#This Row],[Previous Marks]]&gt;50,"C1",Table1[[#This Row],[Previous Marks]]&gt;40,"C2")</f>
        <v>A2</v>
      </c>
      <c r="F322">
        <v>85</v>
      </c>
    </row>
    <row r="323" spans="2:6" x14ac:dyDescent="0.3">
      <c r="B323">
        <v>68</v>
      </c>
      <c r="C323" t="str" cm="1">
        <f t="array" ref="C323">_xlfn.IFS(B323&gt;90,"A1",B323&gt;80,"A2",B323&gt;70,"B1",B323&gt;60,"B2",B323&gt;50,"C1",B323&gt;40,"C2")</f>
        <v>B2</v>
      </c>
      <c r="D323">
        <v>82</v>
      </c>
      <c r="E323" t="str" cm="1">
        <f t="array" ref="E323">_xlfn.IFS(Table1[[#This Row],[Previous Marks]]&gt;90,"A1",Table1[[#This Row],[Previous Marks]]&gt;80,"A2",Table1[[#This Row],[Previous Marks]]&gt;70,"B1",Table1[[#This Row],[Previous Marks]]&gt;60,"B2",Table1[[#This Row],[Previous Marks]]&gt;50,"C1",Table1[[#This Row],[Previous Marks]]&gt;40,"C2")</f>
        <v>A2</v>
      </c>
      <c r="F323">
        <v>92</v>
      </c>
    </row>
    <row r="324" spans="2:6" x14ac:dyDescent="0.3">
      <c r="B324">
        <v>85</v>
      </c>
      <c r="C324" t="str" cm="1">
        <f t="array" ref="C324">_xlfn.IFS(B324&gt;90,"A1",B324&gt;80,"A2",B324&gt;70,"B1",B324&gt;60,"B2",B324&gt;50,"C1",B324&gt;40,"C2")</f>
        <v>A2</v>
      </c>
      <c r="D324">
        <v>77</v>
      </c>
      <c r="E324" t="str" cm="1">
        <f t="array" ref="E324">_xlfn.IFS(Table1[[#This Row],[Previous Marks]]&gt;90,"A1",Table1[[#This Row],[Previous Marks]]&gt;80,"A2",Table1[[#This Row],[Previous Marks]]&gt;70,"B1",Table1[[#This Row],[Previous Marks]]&gt;60,"B2",Table1[[#This Row],[Previous Marks]]&gt;50,"C1",Table1[[#This Row],[Previous Marks]]&gt;40,"C2")</f>
        <v>B1</v>
      </c>
      <c r="F324">
        <v>70</v>
      </c>
    </row>
    <row r="325" spans="2:6" x14ac:dyDescent="0.3">
      <c r="B325">
        <v>72</v>
      </c>
      <c r="C325" t="str" cm="1">
        <f t="array" ref="C325">_xlfn.IFS(B325&gt;90,"A1",B325&gt;80,"A2",B325&gt;70,"B1",B325&gt;60,"B2",B325&gt;50,"C1",B325&gt;40,"C2")</f>
        <v>B1</v>
      </c>
      <c r="D325">
        <v>60</v>
      </c>
      <c r="E325" t="str" cm="1">
        <f t="array" ref="E325">_xlfn.IFS(Table1[[#This Row],[Previous Marks]]&gt;90,"A1",Table1[[#This Row],[Previous Marks]]&gt;80,"A2",Table1[[#This Row],[Previous Marks]]&gt;70,"B1",Table1[[#This Row],[Previous Marks]]&gt;60,"B2",Table1[[#This Row],[Previous Marks]]&gt;50,"C1",Table1[[#This Row],[Previous Marks]]&gt;40,"C2")</f>
        <v>C1</v>
      </c>
      <c r="F325">
        <v>82</v>
      </c>
    </row>
    <row r="326" spans="2:6" x14ac:dyDescent="0.3">
      <c r="B326">
        <v>80</v>
      </c>
      <c r="C326" t="str" cm="1">
        <f t="array" ref="C326">_xlfn.IFS(B326&gt;90,"A1",B326&gt;80,"A2",B326&gt;70,"B1",B326&gt;60,"B2",B326&gt;50,"C1",B326&gt;40,"C2")</f>
        <v>B1</v>
      </c>
      <c r="D326">
        <v>88</v>
      </c>
      <c r="E326" t="str" cm="1">
        <f t="array" ref="E326">_xlfn.IFS(Table1[[#This Row],[Previous Marks]]&gt;90,"A1",Table1[[#This Row],[Previous Marks]]&gt;80,"A2",Table1[[#This Row],[Previous Marks]]&gt;70,"B1",Table1[[#This Row],[Previous Marks]]&gt;60,"B2",Table1[[#This Row],[Previous Marks]]&gt;50,"C1",Table1[[#This Row],[Previous Marks]]&gt;40,"C2")</f>
        <v>A2</v>
      </c>
      <c r="F326">
        <v>78</v>
      </c>
    </row>
    <row r="327" spans="2:6" x14ac:dyDescent="0.3">
      <c r="B327">
        <v>87</v>
      </c>
      <c r="C327" t="str" cm="1">
        <f t="array" ref="C327">_xlfn.IFS(B327&gt;90,"A1",B327&gt;80,"A2",B327&gt;70,"B1",B327&gt;60,"B2",B327&gt;50,"C1",B327&gt;40,"C2")</f>
        <v>A2</v>
      </c>
      <c r="D327">
        <v>86</v>
      </c>
      <c r="E327" t="str" cm="1">
        <f t="array" ref="E327">_xlfn.IFS(Table1[[#This Row],[Previous Marks]]&gt;90,"A1",Table1[[#This Row],[Previous Marks]]&gt;80,"A2",Table1[[#This Row],[Previous Marks]]&gt;70,"B1",Table1[[#This Row],[Previous Marks]]&gt;60,"B2",Table1[[#This Row],[Previous Marks]]&gt;50,"C1",Table1[[#This Row],[Previous Marks]]&gt;40,"C2")</f>
        <v>A2</v>
      </c>
      <c r="F327">
        <v>85.510416666666671</v>
      </c>
    </row>
    <row r="328" spans="2:6" x14ac:dyDescent="0.3">
      <c r="B328">
        <v>68</v>
      </c>
      <c r="C328" t="str" cm="1">
        <f t="array" ref="C328">_xlfn.IFS(B328&gt;90,"A1",B328&gt;80,"A2",B328&gt;70,"B1",B328&gt;60,"B2",B328&gt;50,"C1",B328&gt;40,"C2")</f>
        <v>B2</v>
      </c>
      <c r="D328">
        <v>60</v>
      </c>
      <c r="E328" t="str" cm="1">
        <f t="array" ref="E328">_xlfn.IFS(Table1[[#This Row],[Previous Marks]]&gt;90,"A1",Table1[[#This Row],[Previous Marks]]&gt;80,"A2",Table1[[#This Row],[Previous Marks]]&gt;70,"B1",Table1[[#This Row],[Previous Marks]]&gt;60,"B2",Table1[[#This Row],[Previous Marks]]&gt;50,"C1",Table1[[#This Row],[Previous Marks]]&gt;40,"C2")</f>
        <v>C1</v>
      </c>
      <c r="F328">
        <v>92</v>
      </c>
    </row>
    <row r="329" spans="2:6" x14ac:dyDescent="0.3">
      <c r="B329">
        <v>78</v>
      </c>
      <c r="C329" t="str" cm="1">
        <f t="array" ref="C329">_xlfn.IFS(B329&gt;90,"A1",B329&gt;80,"A2",B329&gt;70,"B1",B329&gt;60,"B2",B329&gt;50,"C1",B329&gt;40,"C2")</f>
        <v>B1</v>
      </c>
      <c r="D329">
        <v>65</v>
      </c>
      <c r="E329" t="str" cm="1">
        <f t="array" ref="E329">_xlfn.IFS(Table1[[#This Row],[Previous Marks]]&gt;90,"A1",Table1[[#This Row],[Previous Marks]]&gt;80,"A2",Table1[[#This Row],[Previous Marks]]&gt;70,"B1",Table1[[#This Row],[Previous Marks]]&gt;60,"B2",Table1[[#This Row],[Previous Marks]]&gt;50,"C1",Table1[[#This Row],[Previous Marks]]&gt;40,"C2")</f>
        <v>B2</v>
      </c>
      <c r="F329">
        <v>91</v>
      </c>
    </row>
    <row r="330" spans="2:6" x14ac:dyDescent="0.3">
      <c r="B330">
        <v>72</v>
      </c>
      <c r="C330" t="str" cm="1">
        <f t="array" ref="C330">_xlfn.IFS(B330&gt;90,"A1",B330&gt;80,"A2",B330&gt;70,"B1",B330&gt;60,"B2",B330&gt;50,"C1",B330&gt;40,"C2")</f>
        <v>B1</v>
      </c>
      <c r="D330">
        <v>86</v>
      </c>
      <c r="E330" t="str" cm="1">
        <f t="array" ref="E330">_xlfn.IFS(Table1[[#This Row],[Previous Marks]]&gt;90,"A1",Table1[[#This Row],[Previous Marks]]&gt;80,"A2",Table1[[#This Row],[Previous Marks]]&gt;70,"B1",Table1[[#This Row],[Previous Marks]]&gt;60,"B2",Table1[[#This Row],[Previous Marks]]&gt;50,"C1",Table1[[#This Row],[Previous Marks]]&gt;40,"C2")</f>
        <v>A2</v>
      </c>
      <c r="F330">
        <v>85</v>
      </c>
    </row>
    <row r="331" spans="2:6" x14ac:dyDescent="0.3">
      <c r="B331">
        <v>88</v>
      </c>
      <c r="C331" t="str" cm="1">
        <f t="array" ref="C331">_xlfn.IFS(B331&gt;90,"A1",B331&gt;80,"A2",B331&gt;70,"B1",B331&gt;60,"B2",B331&gt;50,"C1",B331&gt;40,"C2")</f>
        <v>A2</v>
      </c>
      <c r="D331">
        <v>78</v>
      </c>
      <c r="E331" t="str" cm="1">
        <f t="array" ref="E331">_xlfn.IFS(Table1[[#This Row],[Previous Marks]]&gt;90,"A1",Table1[[#This Row],[Previous Marks]]&gt;80,"A2",Table1[[#This Row],[Previous Marks]]&gt;70,"B1",Table1[[#This Row],[Previous Marks]]&gt;60,"B2",Table1[[#This Row],[Previous Marks]]&gt;50,"C1",Table1[[#This Row],[Previous Marks]]&gt;40,"C2")</f>
        <v>B1</v>
      </c>
      <c r="F331">
        <v>78</v>
      </c>
    </row>
    <row r="332" spans="2:6" x14ac:dyDescent="0.3">
      <c r="B332">
        <v>90</v>
      </c>
      <c r="C332" t="str" cm="1">
        <f t="array" ref="C332">_xlfn.IFS(B332&gt;90,"A1",B332&gt;80,"A2",B332&gt;70,"B1",B332&gt;60,"B2",B332&gt;50,"C1",B332&gt;40,"C2")</f>
        <v>A2</v>
      </c>
      <c r="D332">
        <v>60</v>
      </c>
      <c r="E332" t="str" cm="1">
        <f t="array" ref="E332">_xlfn.IFS(Table1[[#This Row],[Previous Marks]]&gt;90,"A1",Table1[[#This Row],[Previous Marks]]&gt;80,"A2",Table1[[#This Row],[Previous Marks]]&gt;70,"B1",Table1[[#This Row],[Previous Marks]]&gt;60,"B2",Table1[[#This Row],[Previous Marks]]&gt;50,"C1",Table1[[#This Row],[Previous Marks]]&gt;40,"C2")</f>
        <v>C1</v>
      </c>
      <c r="F332">
        <v>90</v>
      </c>
    </row>
    <row r="333" spans="2:6" x14ac:dyDescent="0.3">
      <c r="B333">
        <v>92</v>
      </c>
      <c r="C333" t="str" cm="1">
        <f t="array" ref="C333">_xlfn.IFS(B333&gt;90,"A1",B333&gt;80,"A2",B333&gt;70,"B1",B333&gt;60,"B2",B333&gt;50,"C1",B333&gt;40,"C2")</f>
        <v>A1</v>
      </c>
      <c r="D333">
        <v>70</v>
      </c>
      <c r="E333" t="str" cm="1">
        <f t="array" ref="E333">_xlfn.IFS(Table1[[#This Row],[Previous Marks]]&gt;90,"A1",Table1[[#This Row],[Previous Marks]]&gt;80,"A2",Table1[[#This Row],[Previous Marks]]&gt;70,"B1",Table1[[#This Row],[Previous Marks]]&gt;60,"B2",Table1[[#This Row],[Previous Marks]]&gt;50,"C1",Table1[[#This Row],[Previous Marks]]&gt;40,"C2")</f>
        <v>B2</v>
      </c>
      <c r="F333">
        <v>95</v>
      </c>
    </row>
    <row r="334" spans="2:6" x14ac:dyDescent="0.3">
      <c r="B334">
        <v>88</v>
      </c>
      <c r="C334" t="str" cm="1">
        <f t="array" ref="C334">_xlfn.IFS(B334&gt;90,"A1",B334&gt;80,"A2",B334&gt;70,"B1",B334&gt;60,"B2",B334&gt;50,"C1",B334&gt;40,"C2")</f>
        <v>A2</v>
      </c>
      <c r="D334">
        <v>78</v>
      </c>
      <c r="E334" t="str" cm="1">
        <f t="array" ref="E334">_xlfn.IFS(Table1[[#This Row],[Previous Marks]]&gt;90,"A1",Table1[[#This Row],[Previous Marks]]&gt;80,"A2",Table1[[#This Row],[Previous Marks]]&gt;70,"B1",Table1[[#This Row],[Previous Marks]]&gt;60,"B2",Table1[[#This Row],[Previous Marks]]&gt;50,"C1",Table1[[#This Row],[Previous Marks]]&gt;40,"C2")</f>
        <v>B1</v>
      </c>
      <c r="F334">
        <v>78</v>
      </c>
    </row>
    <row r="335" spans="2:6" x14ac:dyDescent="0.3">
      <c r="B335">
        <v>90</v>
      </c>
      <c r="C335" t="str" cm="1">
        <f t="array" ref="C335">_xlfn.IFS(B335&gt;90,"A1",B335&gt;80,"A2",B335&gt;70,"B1",B335&gt;60,"B2",B335&gt;50,"C1",B335&gt;40,"C2")</f>
        <v>A2</v>
      </c>
      <c r="D335">
        <v>88</v>
      </c>
      <c r="E335" t="str" cm="1">
        <f t="array" ref="E335">_xlfn.IFS(Table1[[#This Row],[Previous Marks]]&gt;90,"A1",Table1[[#This Row],[Previous Marks]]&gt;80,"A2",Table1[[#This Row],[Previous Marks]]&gt;70,"B1",Table1[[#This Row],[Previous Marks]]&gt;60,"B2",Table1[[#This Row],[Previous Marks]]&gt;50,"C1",Table1[[#This Row],[Previous Marks]]&gt;40,"C2")</f>
        <v>A2</v>
      </c>
      <c r="F335">
        <v>85</v>
      </c>
    </row>
    <row r="336" spans="2:6" x14ac:dyDescent="0.3">
      <c r="B336">
        <v>87</v>
      </c>
      <c r="C336" t="str" cm="1">
        <f t="array" ref="C336">_xlfn.IFS(B336&gt;90,"A1",B336&gt;80,"A2",B336&gt;70,"B1",B336&gt;60,"B2",B336&gt;50,"C1",B336&gt;40,"C2")</f>
        <v>A2</v>
      </c>
      <c r="D336">
        <v>90</v>
      </c>
      <c r="E336" t="str" cm="1">
        <f t="array" ref="E336">_xlfn.IFS(Table1[[#This Row],[Previous Marks]]&gt;90,"A1",Table1[[#This Row],[Previous Marks]]&gt;80,"A2",Table1[[#This Row],[Previous Marks]]&gt;70,"B1",Table1[[#This Row],[Previous Marks]]&gt;60,"B2",Table1[[#This Row],[Previous Marks]]&gt;50,"C1",Table1[[#This Row],[Previous Marks]]&gt;40,"C2")</f>
        <v>A2</v>
      </c>
      <c r="F336">
        <v>85</v>
      </c>
    </row>
    <row r="337" spans="2:6" x14ac:dyDescent="0.3">
      <c r="B337">
        <v>80.030208333333334</v>
      </c>
      <c r="C337" t="str" cm="1">
        <f t="array" ref="C337">_xlfn.IFS(B337&gt;90,"A1",B337&gt;80,"A2",B337&gt;70,"B1",B337&gt;60,"B2",B337&gt;50,"C1",B337&gt;40,"C2")</f>
        <v>A2</v>
      </c>
      <c r="D337">
        <v>60</v>
      </c>
      <c r="E337" t="str" cm="1">
        <f t="array" ref="E337">_xlfn.IFS(Table1[[#This Row],[Previous Marks]]&gt;90,"A1",Table1[[#This Row],[Previous Marks]]&gt;80,"A2",Table1[[#This Row],[Previous Marks]]&gt;70,"B1",Table1[[#This Row],[Previous Marks]]&gt;60,"B2",Table1[[#This Row],[Previous Marks]]&gt;50,"C1",Table1[[#This Row],[Previous Marks]]&gt;40,"C2")</f>
        <v>C1</v>
      </c>
      <c r="F337">
        <v>70</v>
      </c>
    </row>
    <row r="338" spans="2:6" x14ac:dyDescent="0.3">
      <c r="B338">
        <v>80</v>
      </c>
      <c r="C338" t="str" cm="1">
        <f t="array" ref="C338">_xlfn.IFS(B338&gt;90,"A1",B338&gt;80,"A2",B338&gt;70,"B1",B338&gt;60,"B2",B338&gt;50,"C1",B338&gt;40,"C2")</f>
        <v>B1</v>
      </c>
      <c r="D338">
        <v>65</v>
      </c>
      <c r="E338" t="str" cm="1">
        <f t="array" ref="E338">_xlfn.IFS(Table1[[#This Row],[Previous Marks]]&gt;90,"A1",Table1[[#This Row],[Previous Marks]]&gt;80,"A2",Table1[[#This Row],[Previous Marks]]&gt;70,"B1",Table1[[#This Row],[Previous Marks]]&gt;60,"B2",Table1[[#This Row],[Previous Marks]]&gt;50,"C1",Table1[[#This Row],[Previous Marks]]&gt;40,"C2")</f>
        <v>B2</v>
      </c>
      <c r="F338">
        <v>91</v>
      </c>
    </row>
    <row r="339" spans="2:6" x14ac:dyDescent="0.3">
      <c r="B339">
        <v>87</v>
      </c>
      <c r="C339" t="str" cm="1">
        <f t="array" ref="C339">_xlfn.IFS(B339&gt;90,"A1",B339&gt;80,"A2",B339&gt;70,"B1",B339&gt;60,"B2",B339&gt;50,"C1",B339&gt;40,"C2")</f>
        <v>A2</v>
      </c>
      <c r="D339">
        <v>60</v>
      </c>
      <c r="E339" t="str" cm="1">
        <f t="array" ref="E339">_xlfn.IFS(Table1[[#This Row],[Previous Marks]]&gt;90,"A1",Table1[[#This Row],[Previous Marks]]&gt;80,"A2",Table1[[#This Row],[Previous Marks]]&gt;70,"B1",Table1[[#This Row],[Previous Marks]]&gt;60,"B2",Table1[[#This Row],[Previous Marks]]&gt;50,"C1",Table1[[#This Row],[Previous Marks]]&gt;40,"C2")</f>
        <v>C1</v>
      </c>
      <c r="F339">
        <v>95</v>
      </c>
    </row>
    <row r="340" spans="2:6" x14ac:dyDescent="0.3">
      <c r="B340">
        <v>80</v>
      </c>
      <c r="C340" t="str" cm="1">
        <f t="array" ref="C340">_xlfn.IFS(B340&gt;90,"A1",B340&gt;80,"A2",B340&gt;70,"B1",B340&gt;60,"B2",B340&gt;50,"C1",B340&gt;40,"C2")</f>
        <v>B1</v>
      </c>
      <c r="D340">
        <v>86</v>
      </c>
      <c r="E340" t="str" cm="1">
        <f t="array" ref="E340">_xlfn.IFS(Table1[[#This Row],[Previous Marks]]&gt;90,"A1",Table1[[#This Row],[Previous Marks]]&gt;80,"A2",Table1[[#This Row],[Previous Marks]]&gt;70,"B1",Table1[[#This Row],[Previous Marks]]&gt;60,"B2",Table1[[#This Row],[Previous Marks]]&gt;50,"C1",Table1[[#This Row],[Previous Marks]]&gt;40,"C2")</f>
        <v>A2</v>
      </c>
      <c r="F340">
        <v>70</v>
      </c>
    </row>
    <row r="341" spans="2:6" x14ac:dyDescent="0.3">
      <c r="B341">
        <v>62</v>
      </c>
      <c r="C341" t="str" cm="1">
        <f t="array" ref="C341">_xlfn.IFS(B341&gt;90,"A1",B341&gt;80,"A2",B341&gt;70,"B1",B341&gt;60,"B2",B341&gt;50,"C1",B341&gt;40,"C2")</f>
        <v>B2</v>
      </c>
      <c r="D341">
        <v>90</v>
      </c>
      <c r="E341" t="str" cm="1">
        <f t="array" ref="E341">_xlfn.IFS(Table1[[#This Row],[Previous Marks]]&gt;90,"A1",Table1[[#This Row],[Previous Marks]]&gt;80,"A2",Table1[[#This Row],[Previous Marks]]&gt;70,"B1",Table1[[#This Row],[Previous Marks]]&gt;60,"B2",Table1[[#This Row],[Previous Marks]]&gt;50,"C1",Table1[[#This Row],[Previous Marks]]&gt;40,"C2")</f>
        <v>A2</v>
      </c>
      <c r="F341">
        <v>88</v>
      </c>
    </row>
    <row r="342" spans="2:6" x14ac:dyDescent="0.3">
      <c r="B342">
        <v>88</v>
      </c>
      <c r="C342" t="str" cm="1">
        <f t="array" ref="C342">_xlfn.IFS(B342&gt;90,"A1",B342&gt;80,"A2",B342&gt;70,"B1",B342&gt;60,"B2",B342&gt;50,"C1",B342&gt;40,"C2")</f>
        <v>A2</v>
      </c>
      <c r="D342">
        <v>85</v>
      </c>
      <c r="E342" t="str" cm="1">
        <f t="array" ref="E342">_xlfn.IFS(Table1[[#This Row],[Previous Marks]]&gt;90,"A1",Table1[[#This Row],[Previous Marks]]&gt;80,"A2",Table1[[#This Row],[Previous Marks]]&gt;70,"B1",Table1[[#This Row],[Previous Marks]]&gt;60,"B2",Table1[[#This Row],[Previous Marks]]&gt;50,"C1",Table1[[#This Row],[Previous Marks]]&gt;40,"C2")</f>
        <v>A2</v>
      </c>
      <c r="F342">
        <v>85</v>
      </c>
    </row>
    <row r="343" spans="2:6" x14ac:dyDescent="0.3">
      <c r="B343">
        <v>62</v>
      </c>
      <c r="C343" t="str" cm="1">
        <f t="array" ref="C343">_xlfn.IFS(B343&gt;90,"A1",B343&gt;80,"A2",B343&gt;70,"B1",B343&gt;60,"B2",B343&gt;50,"C1",B343&gt;40,"C2")</f>
        <v>B2</v>
      </c>
      <c r="D343">
        <v>77</v>
      </c>
      <c r="E343" t="str" cm="1">
        <f t="array" ref="E343">_xlfn.IFS(Table1[[#This Row],[Previous Marks]]&gt;90,"A1",Table1[[#This Row],[Previous Marks]]&gt;80,"A2",Table1[[#This Row],[Previous Marks]]&gt;70,"B1",Table1[[#This Row],[Previous Marks]]&gt;60,"B2",Table1[[#This Row],[Previous Marks]]&gt;50,"C1",Table1[[#This Row],[Previous Marks]]&gt;40,"C2")</f>
        <v>B1</v>
      </c>
      <c r="F343">
        <v>88</v>
      </c>
    </row>
    <row r="344" spans="2:6" x14ac:dyDescent="0.3">
      <c r="B344">
        <v>78</v>
      </c>
      <c r="C344" t="str" cm="1">
        <f t="array" ref="C344">_xlfn.IFS(B344&gt;90,"A1",B344&gt;80,"A2",B344&gt;70,"B1",B344&gt;60,"B2",B344&gt;50,"C1",B344&gt;40,"C2")</f>
        <v>B1</v>
      </c>
      <c r="D344">
        <v>60</v>
      </c>
      <c r="E344" t="str" cm="1">
        <f t="array" ref="E344">_xlfn.IFS(Table1[[#This Row],[Previous Marks]]&gt;90,"A1",Table1[[#This Row],[Previous Marks]]&gt;80,"A2",Table1[[#This Row],[Previous Marks]]&gt;70,"B1",Table1[[#This Row],[Previous Marks]]&gt;60,"B2",Table1[[#This Row],[Previous Marks]]&gt;50,"C1",Table1[[#This Row],[Previous Marks]]&gt;40,"C2")</f>
        <v>C1</v>
      </c>
      <c r="F344">
        <v>78</v>
      </c>
    </row>
    <row r="345" spans="2:6" x14ac:dyDescent="0.3">
      <c r="B345">
        <v>87</v>
      </c>
      <c r="C345" t="str" cm="1">
        <f t="array" ref="C345">_xlfn.IFS(B345&gt;90,"A1",B345&gt;80,"A2",B345&gt;70,"B1",B345&gt;60,"B2",B345&gt;50,"C1",B345&gt;40,"C2")</f>
        <v>A2</v>
      </c>
      <c r="D345">
        <v>78</v>
      </c>
      <c r="E345" t="str" cm="1">
        <f t="array" ref="E345">_xlfn.IFS(Table1[[#This Row],[Previous Marks]]&gt;90,"A1",Table1[[#This Row],[Previous Marks]]&gt;80,"A2",Table1[[#This Row],[Previous Marks]]&gt;70,"B1",Table1[[#This Row],[Previous Marks]]&gt;60,"B2",Table1[[#This Row],[Previous Marks]]&gt;50,"C1",Table1[[#This Row],[Previous Marks]]&gt;40,"C2")</f>
        <v>B1</v>
      </c>
      <c r="F345">
        <v>85.510416666666671</v>
      </c>
    </row>
    <row r="346" spans="2:6" x14ac:dyDescent="0.3">
      <c r="B346">
        <v>78</v>
      </c>
      <c r="C346" t="str" cm="1">
        <f t="array" ref="C346">_xlfn.IFS(B346&gt;90,"A1",B346&gt;80,"A2",B346&gt;70,"B1",B346&gt;60,"B2",B346&gt;50,"C1",B346&gt;40,"C2")</f>
        <v>B1</v>
      </c>
      <c r="D346">
        <v>60</v>
      </c>
      <c r="E346" t="str" cm="1">
        <f t="array" ref="E346">_xlfn.IFS(Table1[[#This Row],[Previous Marks]]&gt;90,"A1",Table1[[#This Row],[Previous Marks]]&gt;80,"A2",Table1[[#This Row],[Previous Marks]]&gt;70,"B1",Table1[[#This Row],[Previous Marks]]&gt;60,"B2",Table1[[#This Row],[Previous Marks]]&gt;50,"C1",Table1[[#This Row],[Previous Marks]]&gt;40,"C2")</f>
        <v>C1</v>
      </c>
      <c r="F346">
        <v>70</v>
      </c>
    </row>
    <row r="347" spans="2:6" x14ac:dyDescent="0.3">
      <c r="B347">
        <v>88</v>
      </c>
      <c r="C347" t="str" cm="1">
        <f t="array" ref="C347">_xlfn.IFS(B347&gt;90,"A1",B347&gt;80,"A2",B347&gt;70,"B1",B347&gt;60,"B2",B347&gt;50,"C1",B347&gt;40,"C2")</f>
        <v>A2</v>
      </c>
      <c r="D347">
        <v>70</v>
      </c>
      <c r="E347" t="str" cm="1">
        <f t="array" ref="E347">_xlfn.IFS(Table1[[#This Row],[Previous Marks]]&gt;90,"A1",Table1[[#This Row],[Previous Marks]]&gt;80,"A2",Table1[[#This Row],[Previous Marks]]&gt;70,"B1",Table1[[#This Row],[Previous Marks]]&gt;60,"B2",Table1[[#This Row],[Previous Marks]]&gt;50,"C1",Table1[[#This Row],[Previous Marks]]&gt;40,"C2")</f>
        <v>B2</v>
      </c>
      <c r="F347">
        <v>70</v>
      </c>
    </row>
    <row r="348" spans="2:6" x14ac:dyDescent="0.3">
      <c r="B348">
        <v>80</v>
      </c>
      <c r="C348" t="str" cm="1">
        <f t="array" ref="C348">_xlfn.IFS(B348&gt;90,"A1",B348&gt;80,"A2",B348&gt;70,"B1",B348&gt;60,"B2",B348&gt;50,"C1",B348&gt;40,"C2")</f>
        <v>B1</v>
      </c>
      <c r="D348">
        <v>90</v>
      </c>
      <c r="E348" t="str" cm="1">
        <f t="array" ref="E348">_xlfn.IFS(Table1[[#This Row],[Previous Marks]]&gt;90,"A1",Table1[[#This Row],[Previous Marks]]&gt;80,"A2",Table1[[#This Row],[Previous Marks]]&gt;70,"B1",Table1[[#This Row],[Previous Marks]]&gt;60,"B2",Table1[[#This Row],[Previous Marks]]&gt;50,"C1",Table1[[#This Row],[Previous Marks]]&gt;40,"C2")</f>
        <v>A2</v>
      </c>
      <c r="F348">
        <v>78</v>
      </c>
    </row>
    <row r="349" spans="2:6" x14ac:dyDescent="0.3">
      <c r="B349">
        <v>62</v>
      </c>
      <c r="C349" t="str" cm="1">
        <f t="array" ref="C349">_xlfn.IFS(B349&gt;90,"A1",B349&gt;80,"A2",B349&gt;70,"B1",B349&gt;60,"B2",B349&gt;50,"C1",B349&gt;40,"C2")</f>
        <v>B2</v>
      </c>
      <c r="D349">
        <v>88</v>
      </c>
      <c r="E349" t="str" cm="1">
        <f t="array" ref="E349">_xlfn.IFS(Table1[[#This Row],[Previous Marks]]&gt;90,"A1",Table1[[#This Row],[Previous Marks]]&gt;80,"A2",Table1[[#This Row],[Previous Marks]]&gt;70,"B1",Table1[[#This Row],[Previous Marks]]&gt;60,"B2",Table1[[#This Row],[Previous Marks]]&gt;50,"C1",Table1[[#This Row],[Previous Marks]]&gt;40,"C2")</f>
        <v>A2</v>
      </c>
      <c r="F349">
        <v>91</v>
      </c>
    </row>
    <row r="350" spans="2:6" x14ac:dyDescent="0.3">
      <c r="B350">
        <v>87</v>
      </c>
      <c r="C350" t="str" cm="1">
        <f t="array" ref="C350">_xlfn.IFS(B350&gt;90,"A1",B350&gt;80,"A2",B350&gt;70,"B1",B350&gt;60,"B2",B350&gt;50,"C1",B350&gt;40,"C2")</f>
        <v>A2</v>
      </c>
      <c r="D350">
        <v>86</v>
      </c>
      <c r="E350" t="str" cm="1">
        <f t="array" ref="E350">_xlfn.IFS(Table1[[#This Row],[Previous Marks]]&gt;90,"A1",Table1[[#This Row],[Previous Marks]]&gt;80,"A2",Table1[[#This Row],[Previous Marks]]&gt;70,"B1",Table1[[#This Row],[Previous Marks]]&gt;60,"B2",Table1[[#This Row],[Previous Marks]]&gt;50,"C1",Table1[[#This Row],[Previous Marks]]&gt;40,"C2")</f>
        <v>A2</v>
      </c>
      <c r="F350">
        <v>85</v>
      </c>
    </row>
    <row r="351" spans="2:6" x14ac:dyDescent="0.3">
      <c r="B351">
        <v>62</v>
      </c>
      <c r="C351" t="str" cm="1">
        <f t="array" ref="C351">_xlfn.IFS(B351&gt;90,"A1",B351&gt;80,"A2",B351&gt;70,"B1",B351&gt;60,"B2",B351&gt;50,"C1",B351&gt;40,"C2")</f>
        <v>B2</v>
      </c>
      <c r="D351">
        <v>88</v>
      </c>
      <c r="E351" t="str" cm="1">
        <f t="array" ref="E351">_xlfn.IFS(Table1[[#This Row],[Previous Marks]]&gt;90,"A1",Table1[[#This Row],[Previous Marks]]&gt;80,"A2",Table1[[#This Row],[Previous Marks]]&gt;70,"B1",Table1[[#This Row],[Previous Marks]]&gt;60,"B2",Table1[[#This Row],[Previous Marks]]&gt;50,"C1",Table1[[#This Row],[Previous Marks]]&gt;40,"C2")</f>
        <v>A2</v>
      </c>
      <c r="F351">
        <v>88</v>
      </c>
    </row>
    <row r="352" spans="2:6" x14ac:dyDescent="0.3">
      <c r="B352">
        <v>62</v>
      </c>
      <c r="C352" t="str" cm="1">
        <f t="array" ref="C352">_xlfn.IFS(B352&gt;90,"A1",B352&gt;80,"A2",B352&gt;70,"B1",B352&gt;60,"B2",B352&gt;50,"C1",B352&gt;40,"C2")</f>
        <v>B2</v>
      </c>
      <c r="D352">
        <v>65</v>
      </c>
      <c r="E352" t="str" cm="1">
        <f t="array" ref="E352">_xlfn.IFS(Table1[[#This Row],[Previous Marks]]&gt;90,"A1",Table1[[#This Row],[Previous Marks]]&gt;80,"A2",Table1[[#This Row],[Previous Marks]]&gt;70,"B1",Table1[[#This Row],[Previous Marks]]&gt;60,"B2",Table1[[#This Row],[Previous Marks]]&gt;50,"C1",Table1[[#This Row],[Previous Marks]]&gt;40,"C2")</f>
        <v>B2</v>
      </c>
      <c r="F352">
        <v>88</v>
      </c>
    </row>
    <row r="353" spans="2:6" x14ac:dyDescent="0.3">
      <c r="B353">
        <v>80.030208333333334</v>
      </c>
      <c r="C353" t="str" cm="1">
        <f t="array" ref="C353">_xlfn.IFS(B353&gt;90,"A1",B353&gt;80,"A2",B353&gt;70,"B1",B353&gt;60,"B2",B353&gt;50,"C1",B353&gt;40,"C2")</f>
        <v>A2</v>
      </c>
      <c r="D353">
        <v>78</v>
      </c>
      <c r="E353" t="str" cm="1">
        <f t="array" ref="E353">_xlfn.IFS(Table1[[#This Row],[Previous Marks]]&gt;90,"A1",Table1[[#This Row],[Previous Marks]]&gt;80,"A2",Table1[[#This Row],[Previous Marks]]&gt;70,"B1",Table1[[#This Row],[Previous Marks]]&gt;60,"B2",Table1[[#This Row],[Previous Marks]]&gt;50,"C1",Table1[[#This Row],[Previous Marks]]&gt;40,"C2")</f>
        <v>B1</v>
      </c>
      <c r="F353">
        <v>88</v>
      </c>
    </row>
    <row r="354" spans="2:6" x14ac:dyDescent="0.3">
      <c r="B354">
        <v>62</v>
      </c>
      <c r="C354" t="str" cm="1">
        <f t="array" ref="C354">_xlfn.IFS(B354&gt;90,"A1",B354&gt;80,"A2",B354&gt;70,"B1",B354&gt;60,"B2",B354&gt;50,"C1",B354&gt;40,"C2")</f>
        <v>B2</v>
      </c>
      <c r="D354">
        <v>88</v>
      </c>
      <c r="E354" t="str" cm="1">
        <f t="array" ref="E354">_xlfn.IFS(Table1[[#This Row],[Previous Marks]]&gt;90,"A1",Table1[[#This Row],[Previous Marks]]&gt;80,"A2",Table1[[#This Row],[Previous Marks]]&gt;70,"B1",Table1[[#This Row],[Previous Marks]]&gt;60,"B2",Table1[[#This Row],[Previous Marks]]&gt;50,"C1",Table1[[#This Row],[Previous Marks]]&gt;40,"C2")</f>
        <v>A2</v>
      </c>
      <c r="F354">
        <v>88</v>
      </c>
    </row>
    <row r="355" spans="2:6" x14ac:dyDescent="0.3">
      <c r="B355">
        <v>72</v>
      </c>
      <c r="C355" t="str" cm="1">
        <f t="array" ref="C355">_xlfn.IFS(B355&gt;90,"A1",B355&gt;80,"A2",B355&gt;70,"B1",B355&gt;60,"B2",B355&gt;50,"C1",B355&gt;40,"C2")</f>
        <v>B1</v>
      </c>
      <c r="D355">
        <v>70</v>
      </c>
      <c r="E355" t="str" cm="1">
        <f t="array" ref="E355">_xlfn.IFS(Table1[[#This Row],[Previous Marks]]&gt;90,"A1",Table1[[#This Row],[Previous Marks]]&gt;80,"A2",Table1[[#This Row],[Previous Marks]]&gt;70,"B1",Table1[[#This Row],[Previous Marks]]&gt;60,"B2",Table1[[#This Row],[Previous Marks]]&gt;50,"C1",Table1[[#This Row],[Previous Marks]]&gt;40,"C2")</f>
        <v>B2</v>
      </c>
      <c r="F355">
        <v>70</v>
      </c>
    </row>
    <row r="356" spans="2:6" x14ac:dyDescent="0.3">
      <c r="B356">
        <v>92</v>
      </c>
      <c r="C356" t="str" cm="1">
        <f t="array" ref="C356">_xlfn.IFS(B356&gt;90,"A1",B356&gt;80,"A2",B356&gt;70,"B1",B356&gt;60,"B2",B356&gt;50,"C1",B356&gt;40,"C2")</f>
        <v>A1</v>
      </c>
      <c r="D356">
        <v>86</v>
      </c>
      <c r="E356" t="str" cm="1">
        <f t="array" ref="E356">_xlfn.IFS(Table1[[#This Row],[Previous Marks]]&gt;90,"A1",Table1[[#This Row],[Previous Marks]]&gt;80,"A2",Table1[[#This Row],[Previous Marks]]&gt;70,"B1",Table1[[#This Row],[Previous Marks]]&gt;60,"B2",Table1[[#This Row],[Previous Marks]]&gt;50,"C1",Table1[[#This Row],[Previous Marks]]&gt;40,"C2")</f>
        <v>A2</v>
      </c>
      <c r="F356">
        <v>78</v>
      </c>
    </row>
    <row r="357" spans="2:6" x14ac:dyDescent="0.3">
      <c r="B357">
        <v>80.030208333333334</v>
      </c>
      <c r="C357" t="str" cm="1">
        <f t="array" ref="C357">_xlfn.IFS(B357&gt;90,"A1",B357&gt;80,"A2",B357&gt;70,"B1",B357&gt;60,"B2",B357&gt;50,"C1",B357&gt;40,"C2")</f>
        <v>A2</v>
      </c>
      <c r="D357">
        <v>88</v>
      </c>
      <c r="E357" t="str" cm="1">
        <f t="array" ref="E357">_xlfn.IFS(Table1[[#This Row],[Previous Marks]]&gt;90,"A1",Table1[[#This Row],[Previous Marks]]&gt;80,"A2",Table1[[#This Row],[Previous Marks]]&gt;70,"B1",Table1[[#This Row],[Previous Marks]]&gt;60,"B2",Table1[[#This Row],[Previous Marks]]&gt;50,"C1",Table1[[#This Row],[Previous Marks]]&gt;40,"C2")</f>
        <v>A2</v>
      </c>
      <c r="F357">
        <v>85</v>
      </c>
    </row>
    <row r="358" spans="2:6" x14ac:dyDescent="0.3">
      <c r="B358">
        <v>68</v>
      </c>
      <c r="C358" t="str" cm="1">
        <f t="array" ref="C358">_xlfn.IFS(B358&gt;90,"A1",B358&gt;80,"A2",B358&gt;70,"B1",B358&gt;60,"B2",B358&gt;50,"C1",B358&gt;40,"C2")</f>
        <v>B2</v>
      </c>
      <c r="D358">
        <v>77</v>
      </c>
      <c r="E358" t="str" cm="1">
        <f t="array" ref="E358">_xlfn.IFS(Table1[[#This Row],[Previous Marks]]&gt;90,"A1",Table1[[#This Row],[Previous Marks]]&gt;80,"A2",Table1[[#This Row],[Previous Marks]]&gt;70,"B1",Table1[[#This Row],[Previous Marks]]&gt;60,"B2",Table1[[#This Row],[Previous Marks]]&gt;50,"C1",Table1[[#This Row],[Previous Marks]]&gt;40,"C2")</f>
        <v>B1</v>
      </c>
      <c r="F358">
        <v>92</v>
      </c>
    </row>
    <row r="359" spans="2:6" x14ac:dyDescent="0.3">
      <c r="B359">
        <v>80</v>
      </c>
      <c r="C359" t="str" cm="1">
        <f t="array" ref="C359">_xlfn.IFS(B359&gt;90,"A1",B359&gt;80,"A2",B359&gt;70,"B1",B359&gt;60,"B2",B359&gt;50,"C1",B359&gt;40,"C2")</f>
        <v>B1</v>
      </c>
      <c r="D359">
        <v>82</v>
      </c>
      <c r="E359" t="str" cm="1">
        <f t="array" ref="E359">_xlfn.IFS(Table1[[#This Row],[Previous Marks]]&gt;90,"A1",Table1[[#This Row],[Previous Marks]]&gt;80,"A2",Table1[[#This Row],[Previous Marks]]&gt;70,"B1",Table1[[#This Row],[Previous Marks]]&gt;60,"B2",Table1[[#This Row],[Previous Marks]]&gt;50,"C1",Table1[[#This Row],[Previous Marks]]&gt;40,"C2")</f>
        <v>A2</v>
      </c>
      <c r="F359">
        <v>88</v>
      </c>
    </row>
    <row r="360" spans="2:6" x14ac:dyDescent="0.3">
      <c r="B360">
        <v>80</v>
      </c>
      <c r="C360" t="str" cm="1">
        <f t="array" ref="C360">_xlfn.IFS(B360&gt;90,"A1",B360&gt;80,"A2",B360&gt;70,"B1",B360&gt;60,"B2",B360&gt;50,"C1",B360&gt;40,"C2")</f>
        <v>B1</v>
      </c>
      <c r="D360">
        <v>60</v>
      </c>
      <c r="E360" t="str" cm="1">
        <f t="array" ref="E360">_xlfn.IFS(Table1[[#This Row],[Previous Marks]]&gt;90,"A1",Table1[[#This Row],[Previous Marks]]&gt;80,"A2",Table1[[#This Row],[Previous Marks]]&gt;70,"B1",Table1[[#This Row],[Previous Marks]]&gt;60,"B2",Table1[[#This Row],[Previous Marks]]&gt;50,"C1",Table1[[#This Row],[Previous Marks]]&gt;40,"C2")</f>
        <v>C1</v>
      </c>
      <c r="F360">
        <v>92</v>
      </c>
    </row>
    <row r="361" spans="2:6" x14ac:dyDescent="0.3">
      <c r="B361">
        <v>62</v>
      </c>
      <c r="C361" t="str" cm="1">
        <f t="array" ref="C361">_xlfn.IFS(B361&gt;90,"A1",B361&gt;80,"A2",B361&gt;70,"B1",B361&gt;60,"B2",B361&gt;50,"C1",B361&gt;40,"C2")</f>
        <v>B2</v>
      </c>
      <c r="D361">
        <v>82</v>
      </c>
      <c r="E361" t="str" cm="1">
        <f t="array" ref="E361">_xlfn.IFS(Table1[[#This Row],[Previous Marks]]&gt;90,"A1",Table1[[#This Row],[Previous Marks]]&gt;80,"A2",Table1[[#This Row],[Previous Marks]]&gt;70,"B1",Table1[[#This Row],[Previous Marks]]&gt;60,"B2",Table1[[#This Row],[Previous Marks]]&gt;50,"C1",Table1[[#This Row],[Previous Marks]]&gt;40,"C2")</f>
        <v>A2</v>
      </c>
      <c r="F361">
        <v>88</v>
      </c>
    </row>
    <row r="362" spans="2:6" x14ac:dyDescent="0.3">
      <c r="B362">
        <v>87</v>
      </c>
      <c r="C362" t="str" cm="1">
        <f t="array" ref="C362">_xlfn.IFS(B362&gt;90,"A1",B362&gt;80,"A2",B362&gt;70,"B1",B362&gt;60,"B2",B362&gt;50,"C1",B362&gt;40,"C2")</f>
        <v>A2</v>
      </c>
      <c r="D362">
        <v>86</v>
      </c>
      <c r="E362" t="str" cm="1">
        <f t="array" ref="E362">_xlfn.IFS(Table1[[#This Row],[Previous Marks]]&gt;90,"A1",Table1[[#This Row],[Previous Marks]]&gt;80,"A2",Table1[[#This Row],[Previous Marks]]&gt;70,"B1",Table1[[#This Row],[Previous Marks]]&gt;60,"B2",Table1[[#This Row],[Previous Marks]]&gt;50,"C1",Table1[[#This Row],[Previous Marks]]&gt;40,"C2")</f>
        <v>A2</v>
      </c>
      <c r="F362">
        <v>88</v>
      </c>
    </row>
    <row r="363" spans="2:6" x14ac:dyDescent="0.3">
      <c r="B363">
        <v>90</v>
      </c>
      <c r="C363" t="str" cm="1">
        <f t="array" ref="C363">_xlfn.IFS(B363&gt;90,"A1",B363&gt;80,"A2",B363&gt;70,"B1",B363&gt;60,"B2",B363&gt;50,"C1",B363&gt;40,"C2")</f>
        <v>A2</v>
      </c>
      <c r="D363">
        <v>85</v>
      </c>
      <c r="E363" t="str" cm="1">
        <f t="array" ref="E363">_xlfn.IFS(Table1[[#This Row],[Previous Marks]]&gt;90,"A1",Table1[[#This Row],[Previous Marks]]&gt;80,"A2",Table1[[#This Row],[Previous Marks]]&gt;70,"B1",Table1[[#This Row],[Previous Marks]]&gt;60,"B2",Table1[[#This Row],[Previous Marks]]&gt;50,"C1",Table1[[#This Row],[Previous Marks]]&gt;40,"C2")</f>
        <v>A2</v>
      </c>
      <c r="F363">
        <v>90</v>
      </c>
    </row>
    <row r="364" spans="2:6" x14ac:dyDescent="0.3">
      <c r="B364">
        <v>90</v>
      </c>
      <c r="C364" t="str" cm="1">
        <f t="array" ref="C364">_xlfn.IFS(B364&gt;90,"A1",B364&gt;80,"A2",B364&gt;70,"B1",B364&gt;60,"B2",B364&gt;50,"C1",B364&gt;40,"C2")</f>
        <v>A2</v>
      </c>
      <c r="D364">
        <v>78</v>
      </c>
      <c r="E364" t="str" cm="1">
        <f t="array" ref="E364">_xlfn.IFS(Table1[[#This Row],[Previous Marks]]&gt;90,"A1",Table1[[#This Row],[Previous Marks]]&gt;80,"A2",Table1[[#This Row],[Previous Marks]]&gt;70,"B1",Table1[[#This Row],[Previous Marks]]&gt;60,"B2",Table1[[#This Row],[Previous Marks]]&gt;50,"C1",Table1[[#This Row],[Previous Marks]]&gt;40,"C2")</f>
        <v>B1</v>
      </c>
      <c r="F364">
        <v>82</v>
      </c>
    </row>
    <row r="365" spans="2:6" x14ac:dyDescent="0.3">
      <c r="B365">
        <v>80</v>
      </c>
      <c r="C365" t="str" cm="1">
        <f t="array" ref="C365">_xlfn.IFS(B365&gt;90,"A1",B365&gt;80,"A2",B365&gt;70,"B1",B365&gt;60,"B2",B365&gt;50,"C1",B365&gt;40,"C2")</f>
        <v>B1</v>
      </c>
      <c r="D365">
        <v>60</v>
      </c>
      <c r="E365" t="str" cm="1">
        <f t="array" ref="E365">_xlfn.IFS(Table1[[#This Row],[Previous Marks]]&gt;90,"A1",Table1[[#This Row],[Previous Marks]]&gt;80,"A2",Table1[[#This Row],[Previous Marks]]&gt;70,"B1",Table1[[#This Row],[Previous Marks]]&gt;60,"B2",Table1[[#This Row],[Previous Marks]]&gt;50,"C1",Table1[[#This Row],[Previous Marks]]&gt;40,"C2")</f>
        <v>C1</v>
      </c>
      <c r="F365">
        <v>88</v>
      </c>
    </row>
    <row r="366" spans="2:6" x14ac:dyDescent="0.3">
      <c r="B366">
        <v>68</v>
      </c>
      <c r="C366" t="str" cm="1">
        <f t="array" ref="C366">_xlfn.IFS(B366&gt;90,"A1",B366&gt;80,"A2",B366&gt;70,"B1",B366&gt;60,"B2",B366&gt;50,"C1",B366&gt;40,"C2")</f>
        <v>B2</v>
      </c>
      <c r="D366">
        <v>88</v>
      </c>
      <c r="E366" t="str" cm="1">
        <f t="array" ref="E366">_xlfn.IFS(Table1[[#This Row],[Previous Marks]]&gt;90,"A1",Table1[[#This Row],[Previous Marks]]&gt;80,"A2",Table1[[#This Row],[Previous Marks]]&gt;70,"B1",Table1[[#This Row],[Previous Marks]]&gt;60,"B2",Table1[[#This Row],[Previous Marks]]&gt;50,"C1",Table1[[#This Row],[Previous Marks]]&gt;40,"C2")</f>
        <v>A2</v>
      </c>
      <c r="F366">
        <v>82</v>
      </c>
    </row>
    <row r="367" spans="2:6" x14ac:dyDescent="0.3">
      <c r="B367">
        <v>90</v>
      </c>
      <c r="C367" t="str" cm="1">
        <f t="array" ref="C367">_xlfn.IFS(B367&gt;90,"A1",B367&gt;80,"A2",B367&gt;70,"B1",B367&gt;60,"B2",B367&gt;50,"C1",B367&gt;40,"C2")</f>
        <v>A2</v>
      </c>
      <c r="D367">
        <v>82</v>
      </c>
      <c r="E367" t="str" cm="1">
        <f t="array" ref="E367">_xlfn.IFS(Table1[[#This Row],[Previous Marks]]&gt;90,"A1",Table1[[#This Row],[Previous Marks]]&gt;80,"A2",Table1[[#This Row],[Previous Marks]]&gt;70,"B1",Table1[[#This Row],[Previous Marks]]&gt;60,"B2",Table1[[#This Row],[Previous Marks]]&gt;50,"C1",Table1[[#This Row],[Previous Marks]]&gt;40,"C2")</f>
        <v>A2</v>
      </c>
      <c r="F367">
        <v>85</v>
      </c>
    </row>
    <row r="368" spans="2:6" x14ac:dyDescent="0.3">
      <c r="B368">
        <v>85</v>
      </c>
      <c r="C368" t="str" cm="1">
        <f t="array" ref="C368">_xlfn.IFS(B368&gt;90,"A1",B368&gt;80,"A2",B368&gt;70,"B1",B368&gt;60,"B2",B368&gt;50,"C1",B368&gt;40,"C2")</f>
        <v>A2</v>
      </c>
      <c r="D368">
        <v>77.598759048603924</v>
      </c>
      <c r="E368" t="str" cm="1">
        <f t="array" ref="E368">_xlfn.IFS(Table1[[#This Row],[Previous Marks]]&gt;90,"A1",Table1[[#This Row],[Previous Marks]]&gt;80,"A2",Table1[[#This Row],[Previous Marks]]&gt;70,"B1",Table1[[#This Row],[Previous Marks]]&gt;60,"B2",Table1[[#This Row],[Previous Marks]]&gt;50,"C1",Table1[[#This Row],[Previous Marks]]&gt;40,"C2")</f>
        <v>B1</v>
      </c>
      <c r="F368">
        <v>70</v>
      </c>
    </row>
    <row r="369" spans="2:6" x14ac:dyDescent="0.3">
      <c r="B369">
        <v>62</v>
      </c>
      <c r="C369" t="str" cm="1">
        <f t="array" ref="C369">_xlfn.IFS(B369&gt;90,"A1",B369&gt;80,"A2",B369&gt;70,"B1",B369&gt;60,"B2",B369&gt;50,"C1",B369&gt;40,"C2")</f>
        <v>B2</v>
      </c>
      <c r="D369">
        <v>70</v>
      </c>
      <c r="E369" t="str" cm="1">
        <f t="array" ref="E369">_xlfn.IFS(Table1[[#This Row],[Previous Marks]]&gt;90,"A1",Table1[[#This Row],[Previous Marks]]&gt;80,"A2",Table1[[#This Row],[Previous Marks]]&gt;70,"B1",Table1[[#This Row],[Previous Marks]]&gt;60,"B2",Table1[[#This Row],[Previous Marks]]&gt;50,"C1",Table1[[#This Row],[Previous Marks]]&gt;40,"C2")</f>
        <v>B2</v>
      </c>
      <c r="F369">
        <v>85</v>
      </c>
    </row>
    <row r="370" spans="2:6" x14ac:dyDescent="0.3">
      <c r="B370">
        <v>68</v>
      </c>
      <c r="C370" t="str" cm="1">
        <f t="array" ref="C370">_xlfn.IFS(B370&gt;90,"A1",B370&gt;80,"A2",B370&gt;70,"B1",B370&gt;60,"B2",B370&gt;50,"C1",B370&gt;40,"C2")</f>
        <v>B2</v>
      </c>
      <c r="D370">
        <v>60</v>
      </c>
      <c r="E370" t="str" cm="1">
        <f t="array" ref="E370">_xlfn.IFS(Table1[[#This Row],[Previous Marks]]&gt;90,"A1",Table1[[#This Row],[Previous Marks]]&gt;80,"A2",Table1[[#This Row],[Previous Marks]]&gt;70,"B1",Table1[[#This Row],[Previous Marks]]&gt;60,"B2",Table1[[#This Row],[Previous Marks]]&gt;50,"C1",Table1[[#This Row],[Previous Marks]]&gt;40,"C2")</f>
        <v>C1</v>
      </c>
      <c r="F370">
        <v>92</v>
      </c>
    </row>
    <row r="371" spans="2:6" x14ac:dyDescent="0.3">
      <c r="B371">
        <v>78</v>
      </c>
      <c r="C371" t="str" cm="1">
        <f t="array" ref="C371">_xlfn.IFS(B371&gt;90,"A1",B371&gt;80,"A2",B371&gt;70,"B1",B371&gt;60,"B2",B371&gt;50,"C1",B371&gt;40,"C2")</f>
        <v>B1</v>
      </c>
      <c r="D371">
        <v>88</v>
      </c>
      <c r="E371" t="str" cm="1">
        <f t="array" ref="E371">_xlfn.IFS(Table1[[#This Row],[Previous Marks]]&gt;90,"A1",Table1[[#This Row],[Previous Marks]]&gt;80,"A2",Table1[[#This Row],[Previous Marks]]&gt;70,"B1",Table1[[#This Row],[Previous Marks]]&gt;60,"B2",Table1[[#This Row],[Previous Marks]]&gt;50,"C1",Table1[[#This Row],[Previous Marks]]&gt;40,"C2")</f>
        <v>A2</v>
      </c>
      <c r="F371">
        <v>95</v>
      </c>
    </row>
    <row r="372" spans="2:6" x14ac:dyDescent="0.3">
      <c r="B372">
        <v>62</v>
      </c>
      <c r="C372" t="str" cm="1">
        <f t="array" ref="C372">_xlfn.IFS(B372&gt;90,"A1",B372&gt;80,"A2",B372&gt;70,"B1",B372&gt;60,"B2",B372&gt;50,"C1",B372&gt;40,"C2")</f>
        <v>B2</v>
      </c>
      <c r="D372">
        <v>86</v>
      </c>
      <c r="E372" t="str" cm="1">
        <f t="array" ref="E372">_xlfn.IFS(Table1[[#This Row],[Previous Marks]]&gt;90,"A1",Table1[[#This Row],[Previous Marks]]&gt;80,"A2",Table1[[#This Row],[Previous Marks]]&gt;70,"B1",Table1[[#This Row],[Previous Marks]]&gt;60,"B2",Table1[[#This Row],[Previous Marks]]&gt;50,"C1",Table1[[#This Row],[Previous Marks]]&gt;40,"C2")</f>
        <v>A2</v>
      </c>
      <c r="F372">
        <v>90</v>
      </c>
    </row>
    <row r="373" spans="2:6" x14ac:dyDescent="0.3">
      <c r="B373">
        <v>72</v>
      </c>
      <c r="C373" t="str" cm="1">
        <f t="array" ref="C373">_xlfn.IFS(B373&gt;90,"A1",B373&gt;80,"A2",B373&gt;70,"B1",B373&gt;60,"B2",B373&gt;50,"C1",B373&gt;40,"C2")</f>
        <v>B1</v>
      </c>
      <c r="D373">
        <v>88</v>
      </c>
      <c r="E373" t="str" cm="1">
        <f t="array" ref="E373">_xlfn.IFS(Table1[[#This Row],[Previous Marks]]&gt;90,"A1",Table1[[#This Row],[Previous Marks]]&gt;80,"A2",Table1[[#This Row],[Previous Marks]]&gt;70,"B1",Table1[[#This Row],[Previous Marks]]&gt;60,"B2",Table1[[#This Row],[Previous Marks]]&gt;50,"C1",Table1[[#This Row],[Previous Marks]]&gt;40,"C2")</f>
        <v>A2</v>
      </c>
      <c r="F373">
        <v>82</v>
      </c>
    </row>
    <row r="374" spans="2:6" x14ac:dyDescent="0.3">
      <c r="B374">
        <v>72</v>
      </c>
      <c r="C374" t="str" cm="1">
        <f t="array" ref="C374">_xlfn.IFS(B374&gt;90,"A1",B374&gt;80,"A2",B374&gt;70,"B1",B374&gt;60,"B2",B374&gt;50,"C1",B374&gt;40,"C2")</f>
        <v>B1</v>
      </c>
      <c r="D374">
        <v>65</v>
      </c>
      <c r="E374" t="str" cm="1">
        <f t="array" ref="E374">_xlfn.IFS(Table1[[#This Row],[Previous Marks]]&gt;90,"A1",Table1[[#This Row],[Previous Marks]]&gt;80,"A2",Table1[[#This Row],[Previous Marks]]&gt;70,"B1",Table1[[#This Row],[Previous Marks]]&gt;60,"B2",Table1[[#This Row],[Previous Marks]]&gt;50,"C1",Table1[[#This Row],[Previous Marks]]&gt;40,"C2")</f>
        <v>B2</v>
      </c>
      <c r="F374">
        <v>95</v>
      </c>
    </row>
    <row r="375" spans="2:6" x14ac:dyDescent="0.3">
      <c r="B375">
        <v>80.030208333333334</v>
      </c>
      <c r="C375" t="str" cm="1">
        <f t="array" ref="C375">_xlfn.IFS(B375&gt;90,"A1",B375&gt;80,"A2",B375&gt;70,"B1",B375&gt;60,"B2",B375&gt;50,"C1",B375&gt;40,"C2")</f>
        <v>A2</v>
      </c>
      <c r="D375">
        <v>70</v>
      </c>
      <c r="E375" t="str" cm="1">
        <f t="array" ref="E375">_xlfn.IFS(Table1[[#This Row],[Previous Marks]]&gt;90,"A1",Table1[[#This Row],[Previous Marks]]&gt;80,"A2",Table1[[#This Row],[Previous Marks]]&gt;70,"B1",Table1[[#This Row],[Previous Marks]]&gt;60,"B2",Table1[[#This Row],[Previous Marks]]&gt;50,"C1",Table1[[#This Row],[Previous Marks]]&gt;40,"C2")</f>
        <v>B2</v>
      </c>
      <c r="F375">
        <v>88</v>
      </c>
    </row>
    <row r="376" spans="2:6" x14ac:dyDescent="0.3">
      <c r="B376">
        <v>92</v>
      </c>
      <c r="C376" t="str" cm="1">
        <f t="array" ref="C376">_xlfn.IFS(B376&gt;90,"A1",B376&gt;80,"A2",B376&gt;70,"B1",B376&gt;60,"B2",B376&gt;50,"C1",B376&gt;40,"C2")</f>
        <v>A1</v>
      </c>
      <c r="D376">
        <v>65</v>
      </c>
      <c r="E376" t="str" cm="1">
        <f t="array" ref="E376">_xlfn.IFS(Table1[[#This Row],[Previous Marks]]&gt;90,"A1",Table1[[#This Row],[Previous Marks]]&gt;80,"A2",Table1[[#This Row],[Previous Marks]]&gt;70,"B1",Table1[[#This Row],[Previous Marks]]&gt;60,"B2",Table1[[#This Row],[Previous Marks]]&gt;50,"C1",Table1[[#This Row],[Previous Marks]]&gt;40,"C2")</f>
        <v>B2</v>
      </c>
      <c r="F376">
        <v>95</v>
      </c>
    </row>
    <row r="377" spans="2:6" x14ac:dyDescent="0.3">
      <c r="B377">
        <v>85</v>
      </c>
      <c r="C377" t="str" cm="1">
        <f t="array" ref="C377">_xlfn.IFS(B377&gt;90,"A1",B377&gt;80,"A2",B377&gt;70,"B1",B377&gt;60,"B2",B377&gt;50,"C1",B377&gt;40,"C2")</f>
        <v>A2</v>
      </c>
      <c r="D377">
        <v>78</v>
      </c>
      <c r="E377" t="str" cm="1">
        <f t="array" ref="E377">_xlfn.IFS(Table1[[#This Row],[Previous Marks]]&gt;90,"A1",Table1[[#This Row],[Previous Marks]]&gt;80,"A2",Table1[[#This Row],[Previous Marks]]&gt;70,"B1",Table1[[#This Row],[Previous Marks]]&gt;60,"B2",Table1[[#This Row],[Previous Marks]]&gt;50,"C1",Table1[[#This Row],[Previous Marks]]&gt;40,"C2")</f>
        <v>B1</v>
      </c>
      <c r="F377">
        <v>90</v>
      </c>
    </row>
    <row r="378" spans="2:6" x14ac:dyDescent="0.3">
      <c r="B378">
        <v>62</v>
      </c>
      <c r="C378" t="str" cm="1">
        <f t="array" ref="C378">_xlfn.IFS(B378&gt;90,"A1",B378&gt;80,"A2",B378&gt;70,"B1",B378&gt;60,"B2",B378&gt;50,"C1",B378&gt;40,"C2")</f>
        <v>B2</v>
      </c>
      <c r="D378">
        <v>85</v>
      </c>
      <c r="E378" t="str" cm="1">
        <f t="array" ref="E378">_xlfn.IFS(Table1[[#This Row],[Previous Marks]]&gt;90,"A1",Table1[[#This Row],[Previous Marks]]&gt;80,"A2",Table1[[#This Row],[Previous Marks]]&gt;70,"B1",Table1[[#This Row],[Previous Marks]]&gt;60,"B2",Table1[[#This Row],[Previous Marks]]&gt;50,"C1",Table1[[#This Row],[Previous Marks]]&gt;40,"C2")</f>
        <v>A2</v>
      </c>
      <c r="F378">
        <v>85</v>
      </c>
    </row>
    <row r="379" spans="2:6" x14ac:dyDescent="0.3">
      <c r="B379">
        <v>72</v>
      </c>
      <c r="C379" t="str" cm="1">
        <f t="array" ref="C379">_xlfn.IFS(B379&gt;90,"A1",B379&gt;80,"A2",B379&gt;70,"B1",B379&gt;60,"B2",B379&gt;50,"C1",B379&gt;40,"C2")</f>
        <v>B1</v>
      </c>
      <c r="D379">
        <v>60</v>
      </c>
      <c r="E379" t="str" cm="1">
        <f t="array" ref="E379">_xlfn.IFS(Table1[[#This Row],[Previous Marks]]&gt;90,"A1",Table1[[#This Row],[Previous Marks]]&gt;80,"A2",Table1[[#This Row],[Previous Marks]]&gt;70,"B1",Table1[[#This Row],[Previous Marks]]&gt;60,"B2",Table1[[#This Row],[Previous Marks]]&gt;50,"C1",Table1[[#This Row],[Previous Marks]]&gt;40,"C2")</f>
        <v>C1</v>
      </c>
      <c r="F379">
        <v>85</v>
      </c>
    </row>
    <row r="380" spans="2:6" x14ac:dyDescent="0.3">
      <c r="B380">
        <v>87</v>
      </c>
      <c r="C380" t="str" cm="1">
        <f t="array" ref="C380">_xlfn.IFS(B380&gt;90,"A1",B380&gt;80,"A2",B380&gt;70,"B1",B380&gt;60,"B2",B380&gt;50,"C1",B380&gt;40,"C2")</f>
        <v>A2</v>
      </c>
      <c r="D380">
        <v>85</v>
      </c>
      <c r="E380" t="str" cm="1">
        <f t="array" ref="E380">_xlfn.IFS(Table1[[#This Row],[Previous Marks]]&gt;90,"A1",Table1[[#This Row],[Previous Marks]]&gt;80,"A2",Table1[[#This Row],[Previous Marks]]&gt;70,"B1",Table1[[#This Row],[Previous Marks]]&gt;60,"B2",Table1[[#This Row],[Previous Marks]]&gt;50,"C1",Table1[[#This Row],[Previous Marks]]&gt;40,"C2")</f>
        <v>A2</v>
      </c>
      <c r="F380">
        <v>82</v>
      </c>
    </row>
    <row r="381" spans="2:6" x14ac:dyDescent="0.3">
      <c r="B381">
        <v>72</v>
      </c>
      <c r="C381" t="str" cm="1">
        <f t="array" ref="C381">_xlfn.IFS(B381&gt;90,"A1",B381&gt;80,"A2",B381&gt;70,"B1",B381&gt;60,"B2",B381&gt;50,"C1",B381&gt;40,"C2")</f>
        <v>B1</v>
      </c>
      <c r="D381">
        <v>82</v>
      </c>
      <c r="E381" t="str" cm="1">
        <f t="array" ref="E381">_xlfn.IFS(Table1[[#This Row],[Previous Marks]]&gt;90,"A1",Table1[[#This Row],[Previous Marks]]&gt;80,"A2",Table1[[#This Row],[Previous Marks]]&gt;70,"B1",Table1[[#This Row],[Previous Marks]]&gt;60,"B2",Table1[[#This Row],[Previous Marks]]&gt;50,"C1",Table1[[#This Row],[Previous Marks]]&gt;40,"C2")</f>
        <v>A2</v>
      </c>
      <c r="F381">
        <v>95</v>
      </c>
    </row>
    <row r="382" spans="2:6" x14ac:dyDescent="0.3">
      <c r="B382">
        <v>78</v>
      </c>
      <c r="C382" t="str" cm="1">
        <f t="array" ref="C382">_xlfn.IFS(B382&gt;90,"A1",B382&gt;80,"A2",B382&gt;70,"B1",B382&gt;60,"B2",B382&gt;50,"C1",B382&gt;40,"C2")</f>
        <v>B1</v>
      </c>
      <c r="D382">
        <v>85</v>
      </c>
      <c r="E382" t="str" cm="1">
        <f t="array" ref="E382">_xlfn.IFS(Table1[[#This Row],[Previous Marks]]&gt;90,"A1",Table1[[#This Row],[Previous Marks]]&gt;80,"A2",Table1[[#This Row],[Previous Marks]]&gt;70,"B1",Table1[[#This Row],[Previous Marks]]&gt;60,"B2",Table1[[#This Row],[Previous Marks]]&gt;50,"C1",Table1[[#This Row],[Previous Marks]]&gt;40,"C2")</f>
        <v>A2</v>
      </c>
      <c r="F382">
        <v>85</v>
      </c>
    </row>
    <row r="383" spans="2:6" x14ac:dyDescent="0.3">
      <c r="B383">
        <v>80</v>
      </c>
      <c r="C383" t="str" cm="1">
        <f t="array" ref="C383">_xlfn.IFS(B383&gt;90,"A1",B383&gt;80,"A2",B383&gt;70,"B1",B383&gt;60,"B2",B383&gt;50,"C1",B383&gt;40,"C2")</f>
        <v>B1</v>
      </c>
      <c r="D383">
        <v>82</v>
      </c>
      <c r="E383" t="str" cm="1">
        <f t="array" ref="E383">_xlfn.IFS(Table1[[#This Row],[Previous Marks]]&gt;90,"A1",Table1[[#This Row],[Previous Marks]]&gt;80,"A2",Table1[[#This Row],[Previous Marks]]&gt;70,"B1",Table1[[#This Row],[Previous Marks]]&gt;60,"B2",Table1[[#This Row],[Previous Marks]]&gt;50,"C1",Table1[[#This Row],[Previous Marks]]&gt;40,"C2")</f>
        <v>A2</v>
      </c>
      <c r="F383">
        <v>92</v>
      </c>
    </row>
    <row r="384" spans="2:6" x14ac:dyDescent="0.3">
      <c r="B384">
        <v>80</v>
      </c>
      <c r="C384" t="str" cm="1">
        <f t="array" ref="C384">_xlfn.IFS(B384&gt;90,"A1",B384&gt;80,"A2",B384&gt;70,"B1",B384&gt;60,"B2",B384&gt;50,"C1",B384&gt;40,"C2")</f>
        <v>B1</v>
      </c>
      <c r="D384">
        <v>85</v>
      </c>
      <c r="E384" t="str" cm="1">
        <f t="array" ref="E384">_xlfn.IFS(Table1[[#This Row],[Previous Marks]]&gt;90,"A1",Table1[[#This Row],[Previous Marks]]&gt;80,"A2",Table1[[#This Row],[Previous Marks]]&gt;70,"B1",Table1[[#This Row],[Previous Marks]]&gt;60,"B2",Table1[[#This Row],[Previous Marks]]&gt;50,"C1",Table1[[#This Row],[Previous Marks]]&gt;40,"C2")</f>
        <v>A2</v>
      </c>
      <c r="F384">
        <v>95</v>
      </c>
    </row>
    <row r="385" spans="2:6" x14ac:dyDescent="0.3">
      <c r="B385">
        <v>90</v>
      </c>
      <c r="C385" t="str" cm="1">
        <f t="array" ref="C385">_xlfn.IFS(B385&gt;90,"A1",B385&gt;80,"A2",B385&gt;70,"B1",B385&gt;60,"B2",B385&gt;50,"C1",B385&gt;40,"C2")</f>
        <v>A2</v>
      </c>
      <c r="D385">
        <v>82</v>
      </c>
      <c r="E385" t="str" cm="1">
        <f t="array" ref="E385">_xlfn.IFS(Table1[[#This Row],[Previous Marks]]&gt;90,"A1",Table1[[#This Row],[Previous Marks]]&gt;80,"A2",Table1[[#This Row],[Previous Marks]]&gt;70,"B1",Table1[[#This Row],[Previous Marks]]&gt;60,"B2",Table1[[#This Row],[Previous Marks]]&gt;50,"C1",Table1[[#This Row],[Previous Marks]]&gt;40,"C2")</f>
        <v>A2</v>
      </c>
      <c r="F385">
        <v>85.510416666666671</v>
      </c>
    </row>
    <row r="386" spans="2:6" x14ac:dyDescent="0.3">
      <c r="B386">
        <v>68</v>
      </c>
      <c r="C386" t="str" cm="1">
        <f t="array" ref="C386">_xlfn.IFS(B386&gt;90,"A1",B386&gt;80,"A2",B386&gt;70,"B1",B386&gt;60,"B2",B386&gt;50,"C1",B386&gt;40,"C2")</f>
        <v>B2</v>
      </c>
      <c r="D386">
        <v>60</v>
      </c>
      <c r="E386" t="str" cm="1">
        <f t="array" ref="E386">_xlfn.IFS(Table1[[#This Row],[Previous Marks]]&gt;90,"A1",Table1[[#This Row],[Previous Marks]]&gt;80,"A2",Table1[[#This Row],[Previous Marks]]&gt;70,"B1",Table1[[#This Row],[Previous Marks]]&gt;60,"B2",Table1[[#This Row],[Previous Marks]]&gt;50,"C1",Table1[[#This Row],[Previous Marks]]&gt;40,"C2")</f>
        <v>C1</v>
      </c>
      <c r="F386">
        <v>70</v>
      </c>
    </row>
    <row r="387" spans="2:6" x14ac:dyDescent="0.3">
      <c r="B387">
        <v>88</v>
      </c>
      <c r="C387" t="str" cm="1">
        <f t="array" ref="C387">_xlfn.IFS(B387&gt;90,"A1",B387&gt;80,"A2",B387&gt;70,"B1",B387&gt;60,"B2",B387&gt;50,"C1",B387&gt;40,"C2")</f>
        <v>A2</v>
      </c>
      <c r="D387">
        <v>86</v>
      </c>
      <c r="E387" t="str" cm="1">
        <f t="array" ref="E387">_xlfn.IFS(Table1[[#This Row],[Previous Marks]]&gt;90,"A1",Table1[[#This Row],[Previous Marks]]&gt;80,"A2",Table1[[#This Row],[Previous Marks]]&gt;70,"B1",Table1[[#This Row],[Previous Marks]]&gt;60,"B2",Table1[[#This Row],[Previous Marks]]&gt;50,"C1",Table1[[#This Row],[Previous Marks]]&gt;40,"C2")</f>
        <v>A2</v>
      </c>
      <c r="F387">
        <v>91</v>
      </c>
    </row>
    <row r="388" spans="2:6" x14ac:dyDescent="0.3">
      <c r="B388">
        <v>87</v>
      </c>
      <c r="C388" t="str" cm="1">
        <f t="array" ref="C388">_xlfn.IFS(B388&gt;90,"A1",B388&gt;80,"A2",B388&gt;70,"B1",B388&gt;60,"B2",B388&gt;50,"C1",B388&gt;40,"C2")</f>
        <v>A2</v>
      </c>
      <c r="D388">
        <v>60</v>
      </c>
      <c r="E388" t="str" cm="1">
        <f t="array" ref="E388">_xlfn.IFS(Table1[[#This Row],[Previous Marks]]&gt;90,"A1",Table1[[#This Row],[Previous Marks]]&gt;80,"A2",Table1[[#This Row],[Previous Marks]]&gt;70,"B1",Table1[[#This Row],[Previous Marks]]&gt;60,"B2",Table1[[#This Row],[Previous Marks]]&gt;50,"C1",Table1[[#This Row],[Previous Marks]]&gt;40,"C2")</f>
        <v>C1</v>
      </c>
      <c r="F388">
        <v>85</v>
      </c>
    </row>
    <row r="389" spans="2:6" x14ac:dyDescent="0.3">
      <c r="B389">
        <v>62</v>
      </c>
      <c r="C389" t="str" cm="1">
        <f t="array" ref="C389">_xlfn.IFS(B389&gt;90,"A1",B389&gt;80,"A2",B389&gt;70,"B1",B389&gt;60,"B2",B389&gt;50,"C1",B389&gt;40,"C2")</f>
        <v>B2</v>
      </c>
      <c r="D389">
        <v>70</v>
      </c>
      <c r="E389" t="str" cm="1">
        <f t="array" ref="E389">_xlfn.IFS(Table1[[#This Row],[Previous Marks]]&gt;90,"A1",Table1[[#This Row],[Previous Marks]]&gt;80,"A2",Table1[[#This Row],[Previous Marks]]&gt;70,"B1",Table1[[#This Row],[Previous Marks]]&gt;60,"B2",Table1[[#This Row],[Previous Marks]]&gt;50,"C1",Table1[[#This Row],[Previous Marks]]&gt;40,"C2")</f>
        <v>B2</v>
      </c>
      <c r="F389">
        <v>95</v>
      </c>
    </row>
    <row r="390" spans="2:6" x14ac:dyDescent="0.3">
      <c r="B390">
        <v>68</v>
      </c>
      <c r="C390" t="str" cm="1">
        <f t="array" ref="C390">_xlfn.IFS(B390&gt;90,"A1",B390&gt;80,"A2",B390&gt;70,"B1",B390&gt;60,"B2",B390&gt;50,"C1",B390&gt;40,"C2")</f>
        <v>B2</v>
      </c>
      <c r="D390">
        <v>86</v>
      </c>
      <c r="E390" t="str" cm="1">
        <f t="array" ref="E390">_xlfn.IFS(Table1[[#This Row],[Previous Marks]]&gt;90,"A1",Table1[[#This Row],[Previous Marks]]&gt;80,"A2",Table1[[#This Row],[Previous Marks]]&gt;70,"B1",Table1[[#This Row],[Previous Marks]]&gt;60,"B2",Table1[[#This Row],[Previous Marks]]&gt;50,"C1",Table1[[#This Row],[Previous Marks]]&gt;40,"C2")</f>
        <v>A2</v>
      </c>
      <c r="F390">
        <v>78</v>
      </c>
    </row>
    <row r="391" spans="2:6" x14ac:dyDescent="0.3">
      <c r="B391">
        <v>80</v>
      </c>
      <c r="C391" t="str" cm="1">
        <f t="array" ref="C391">_xlfn.IFS(B391&gt;90,"A1",B391&gt;80,"A2",B391&gt;70,"B1",B391&gt;60,"B2",B391&gt;50,"C1",B391&gt;40,"C2")</f>
        <v>B1</v>
      </c>
      <c r="D391">
        <v>90</v>
      </c>
      <c r="E391" t="str" cm="1">
        <f t="array" ref="E391">_xlfn.IFS(Table1[[#This Row],[Previous Marks]]&gt;90,"A1",Table1[[#This Row],[Previous Marks]]&gt;80,"A2",Table1[[#This Row],[Previous Marks]]&gt;70,"B1",Table1[[#This Row],[Previous Marks]]&gt;60,"B2",Table1[[#This Row],[Previous Marks]]&gt;50,"C1",Table1[[#This Row],[Previous Marks]]&gt;40,"C2")</f>
        <v>A2</v>
      </c>
      <c r="F391">
        <v>85</v>
      </c>
    </row>
    <row r="392" spans="2:6" x14ac:dyDescent="0.3">
      <c r="B392">
        <v>87</v>
      </c>
      <c r="C392" t="str" cm="1">
        <f t="array" ref="C392">_xlfn.IFS(B392&gt;90,"A1",B392&gt;80,"A2",B392&gt;70,"B1",B392&gt;60,"B2",B392&gt;50,"C1",B392&gt;40,"C2")</f>
        <v>A2</v>
      </c>
      <c r="D392">
        <v>77</v>
      </c>
      <c r="E392" t="str" cm="1">
        <f t="array" ref="E392">_xlfn.IFS(Table1[[#This Row],[Previous Marks]]&gt;90,"A1",Table1[[#This Row],[Previous Marks]]&gt;80,"A2",Table1[[#This Row],[Previous Marks]]&gt;70,"B1",Table1[[#This Row],[Previous Marks]]&gt;60,"B2",Table1[[#This Row],[Previous Marks]]&gt;50,"C1",Table1[[#This Row],[Previous Marks]]&gt;40,"C2")</f>
        <v>B1</v>
      </c>
      <c r="F392">
        <v>90</v>
      </c>
    </row>
    <row r="393" spans="2:6" x14ac:dyDescent="0.3">
      <c r="B393">
        <v>72</v>
      </c>
      <c r="C393" t="str" cm="1">
        <f t="array" ref="C393">_xlfn.IFS(B393&gt;90,"A1",B393&gt;80,"A2",B393&gt;70,"B1",B393&gt;60,"B2",B393&gt;50,"C1",B393&gt;40,"C2")</f>
        <v>B1</v>
      </c>
      <c r="D393">
        <v>77.598759048603924</v>
      </c>
      <c r="E393" t="str" cm="1">
        <f t="array" ref="E393">_xlfn.IFS(Table1[[#This Row],[Previous Marks]]&gt;90,"A1",Table1[[#This Row],[Previous Marks]]&gt;80,"A2",Table1[[#This Row],[Previous Marks]]&gt;70,"B1",Table1[[#This Row],[Previous Marks]]&gt;60,"B2",Table1[[#This Row],[Previous Marks]]&gt;50,"C1",Table1[[#This Row],[Previous Marks]]&gt;40,"C2")</f>
        <v>B1</v>
      </c>
      <c r="F393">
        <v>85</v>
      </c>
    </row>
    <row r="394" spans="2:6" x14ac:dyDescent="0.3">
      <c r="B394">
        <v>78</v>
      </c>
      <c r="C394" t="str" cm="1">
        <f t="array" ref="C394">_xlfn.IFS(B394&gt;90,"A1",B394&gt;80,"A2",B394&gt;70,"B1",B394&gt;60,"B2",B394&gt;50,"C1",B394&gt;40,"C2")</f>
        <v>B1</v>
      </c>
      <c r="D394">
        <v>88</v>
      </c>
      <c r="E394" t="str" cm="1">
        <f t="array" ref="E394">_xlfn.IFS(Table1[[#This Row],[Previous Marks]]&gt;90,"A1",Table1[[#This Row],[Previous Marks]]&gt;80,"A2",Table1[[#This Row],[Previous Marks]]&gt;70,"B1",Table1[[#This Row],[Previous Marks]]&gt;60,"B2",Table1[[#This Row],[Previous Marks]]&gt;50,"C1",Table1[[#This Row],[Previous Marks]]&gt;40,"C2")</f>
        <v>A2</v>
      </c>
      <c r="F394">
        <v>85</v>
      </c>
    </row>
    <row r="395" spans="2:6" x14ac:dyDescent="0.3">
      <c r="B395">
        <v>90</v>
      </c>
      <c r="C395" t="str" cm="1">
        <f t="array" ref="C395">_xlfn.IFS(B395&gt;90,"A1",B395&gt;80,"A2",B395&gt;70,"B1",B395&gt;60,"B2",B395&gt;50,"C1",B395&gt;40,"C2")</f>
        <v>A2</v>
      </c>
      <c r="D395">
        <v>90</v>
      </c>
      <c r="E395" t="str" cm="1">
        <f t="array" ref="E395">_xlfn.IFS(Table1[[#This Row],[Previous Marks]]&gt;90,"A1",Table1[[#This Row],[Previous Marks]]&gt;80,"A2",Table1[[#This Row],[Previous Marks]]&gt;70,"B1",Table1[[#This Row],[Previous Marks]]&gt;60,"B2",Table1[[#This Row],[Previous Marks]]&gt;50,"C1",Table1[[#This Row],[Previous Marks]]&gt;40,"C2")</f>
        <v>A2</v>
      </c>
      <c r="F395">
        <v>90</v>
      </c>
    </row>
    <row r="396" spans="2:6" x14ac:dyDescent="0.3">
      <c r="B396">
        <v>85</v>
      </c>
      <c r="C396" t="str" cm="1">
        <f t="array" ref="C396">_xlfn.IFS(B396&gt;90,"A1",B396&gt;80,"A2",B396&gt;70,"B1",B396&gt;60,"B2",B396&gt;50,"C1",B396&gt;40,"C2")</f>
        <v>A2</v>
      </c>
      <c r="D396">
        <v>65</v>
      </c>
      <c r="E396" t="str" cm="1">
        <f t="array" ref="E396">_xlfn.IFS(Table1[[#This Row],[Previous Marks]]&gt;90,"A1",Table1[[#This Row],[Previous Marks]]&gt;80,"A2",Table1[[#This Row],[Previous Marks]]&gt;70,"B1",Table1[[#This Row],[Previous Marks]]&gt;60,"B2",Table1[[#This Row],[Previous Marks]]&gt;50,"C1",Table1[[#This Row],[Previous Marks]]&gt;40,"C2")</f>
        <v>B2</v>
      </c>
      <c r="F396">
        <v>78</v>
      </c>
    </row>
    <row r="397" spans="2:6" x14ac:dyDescent="0.3">
      <c r="B397">
        <v>80</v>
      </c>
      <c r="C397" t="str" cm="1">
        <f t="array" ref="C397">_xlfn.IFS(B397&gt;90,"A1",B397&gt;80,"A2",B397&gt;70,"B1",B397&gt;60,"B2",B397&gt;50,"C1",B397&gt;40,"C2")</f>
        <v>B1</v>
      </c>
      <c r="D397">
        <v>88</v>
      </c>
      <c r="E397" t="str" cm="1">
        <f t="array" ref="E397">_xlfn.IFS(Table1[[#This Row],[Previous Marks]]&gt;90,"A1",Table1[[#This Row],[Previous Marks]]&gt;80,"A2",Table1[[#This Row],[Previous Marks]]&gt;70,"B1",Table1[[#This Row],[Previous Marks]]&gt;60,"B2",Table1[[#This Row],[Previous Marks]]&gt;50,"C1",Table1[[#This Row],[Previous Marks]]&gt;40,"C2")</f>
        <v>A2</v>
      </c>
      <c r="F397">
        <v>85</v>
      </c>
    </row>
    <row r="398" spans="2:6" x14ac:dyDescent="0.3">
      <c r="B398">
        <v>72</v>
      </c>
      <c r="C398" t="str" cm="1">
        <f t="array" ref="C398">_xlfn.IFS(B398&gt;90,"A1",B398&gt;80,"A2",B398&gt;70,"B1",B398&gt;60,"B2",B398&gt;50,"C1",B398&gt;40,"C2")</f>
        <v>B1</v>
      </c>
      <c r="D398">
        <v>65</v>
      </c>
      <c r="E398" t="str" cm="1">
        <f t="array" ref="E398">_xlfn.IFS(Table1[[#This Row],[Previous Marks]]&gt;90,"A1",Table1[[#This Row],[Previous Marks]]&gt;80,"A2",Table1[[#This Row],[Previous Marks]]&gt;70,"B1",Table1[[#This Row],[Previous Marks]]&gt;60,"B2",Table1[[#This Row],[Previous Marks]]&gt;50,"C1",Table1[[#This Row],[Previous Marks]]&gt;40,"C2")</f>
        <v>B2</v>
      </c>
      <c r="F398">
        <v>91</v>
      </c>
    </row>
    <row r="399" spans="2:6" x14ac:dyDescent="0.3">
      <c r="B399">
        <v>88</v>
      </c>
      <c r="C399" t="str" cm="1">
        <f t="array" ref="C399">_xlfn.IFS(B399&gt;90,"A1",B399&gt;80,"A2",B399&gt;70,"B1",B399&gt;60,"B2",B399&gt;50,"C1",B399&gt;40,"C2")</f>
        <v>A2</v>
      </c>
      <c r="D399">
        <v>65</v>
      </c>
      <c r="E399" t="str" cm="1">
        <f t="array" ref="E399">_xlfn.IFS(Table1[[#This Row],[Previous Marks]]&gt;90,"A1",Table1[[#This Row],[Previous Marks]]&gt;80,"A2",Table1[[#This Row],[Previous Marks]]&gt;70,"B1",Table1[[#This Row],[Previous Marks]]&gt;60,"B2",Table1[[#This Row],[Previous Marks]]&gt;50,"C1",Table1[[#This Row],[Previous Marks]]&gt;40,"C2")</f>
        <v>B2</v>
      </c>
      <c r="F399">
        <v>91</v>
      </c>
    </row>
    <row r="400" spans="2:6" x14ac:dyDescent="0.3">
      <c r="B400">
        <v>68</v>
      </c>
      <c r="C400" t="str" cm="1">
        <f t="array" ref="C400">_xlfn.IFS(B400&gt;90,"A1",B400&gt;80,"A2",B400&gt;70,"B1",B400&gt;60,"B2",B400&gt;50,"C1",B400&gt;40,"C2")</f>
        <v>B2</v>
      </c>
      <c r="D400">
        <v>88</v>
      </c>
      <c r="E400" t="str" cm="1">
        <f t="array" ref="E400">_xlfn.IFS(Table1[[#This Row],[Previous Marks]]&gt;90,"A1",Table1[[#This Row],[Previous Marks]]&gt;80,"A2",Table1[[#This Row],[Previous Marks]]&gt;70,"B1",Table1[[#This Row],[Previous Marks]]&gt;60,"B2",Table1[[#This Row],[Previous Marks]]&gt;50,"C1",Table1[[#This Row],[Previous Marks]]&gt;40,"C2")</f>
        <v>A2</v>
      </c>
      <c r="F400">
        <v>88</v>
      </c>
    </row>
    <row r="401" spans="2:6" x14ac:dyDescent="0.3">
      <c r="B401">
        <v>85</v>
      </c>
      <c r="C401" t="str" cm="1">
        <f t="array" ref="C401">_xlfn.IFS(B401&gt;90,"A1",B401&gt;80,"A2",B401&gt;70,"B1",B401&gt;60,"B2",B401&gt;50,"C1",B401&gt;40,"C2")</f>
        <v>A2</v>
      </c>
      <c r="D401">
        <v>90</v>
      </c>
      <c r="E401" t="str" cm="1">
        <f t="array" ref="E401">_xlfn.IFS(Table1[[#This Row],[Previous Marks]]&gt;90,"A1",Table1[[#This Row],[Previous Marks]]&gt;80,"A2",Table1[[#This Row],[Previous Marks]]&gt;70,"B1",Table1[[#This Row],[Previous Marks]]&gt;60,"B2",Table1[[#This Row],[Previous Marks]]&gt;50,"C1",Table1[[#This Row],[Previous Marks]]&gt;40,"C2")</f>
        <v>A2</v>
      </c>
      <c r="F401">
        <v>82</v>
      </c>
    </row>
    <row r="402" spans="2:6" x14ac:dyDescent="0.3">
      <c r="B402">
        <v>88</v>
      </c>
      <c r="C402" t="str" cm="1">
        <f t="array" ref="C402">_xlfn.IFS(B402&gt;90,"A1",B402&gt;80,"A2",B402&gt;70,"B1",B402&gt;60,"B2",B402&gt;50,"C1",B402&gt;40,"C2")</f>
        <v>A2</v>
      </c>
      <c r="D402">
        <v>70</v>
      </c>
      <c r="E402" t="str" cm="1">
        <f t="array" ref="E402">_xlfn.IFS(Table1[[#This Row],[Previous Marks]]&gt;90,"A1",Table1[[#This Row],[Previous Marks]]&gt;80,"A2",Table1[[#This Row],[Previous Marks]]&gt;70,"B1",Table1[[#This Row],[Previous Marks]]&gt;60,"B2",Table1[[#This Row],[Previous Marks]]&gt;50,"C1",Table1[[#This Row],[Previous Marks]]&gt;40,"C2")</f>
        <v>B2</v>
      </c>
      <c r="F402">
        <v>90</v>
      </c>
    </row>
    <row r="403" spans="2:6" x14ac:dyDescent="0.3">
      <c r="B403">
        <v>62</v>
      </c>
      <c r="C403" t="str" cm="1">
        <f t="array" ref="C403">_xlfn.IFS(B403&gt;90,"A1",B403&gt;80,"A2",B403&gt;70,"B1",B403&gt;60,"B2",B403&gt;50,"C1",B403&gt;40,"C2")</f>
        <v>B2</v>
      </c>
      <c r="D403">
        <v>70</v>
      </c>
      <c r="E403" t="str" cm="1">
        <f t="array" ref="E403">_xlfn.IFS(Table1[[#This Row],[Previous Marks]]&gt;90,"A1",Table1[[#This Row],[Previous Marks]]&gt;80,"A2",Table1[[#This Row],[Previous Marks]]&gt;70,"B1",Table1[[#This Row],[Previous Marks]]&gt;60,"B2",Table1[[#This Row],[Previous Marks]]&gt;50,"C1",Table1[[#This Row],[Previous Marks]]&gt;40,"C2")</f>
        <v>B2</v>
      </c>
      <c r="F403">
        <v>70</v>
      </c>
    </row>
    <row r="404" spans="2:6" x14ac:dyDescent="0.3">
      <c r="B404">
        <v>85</v>
      </c>
      <c r="C404" t="str" cm="1">
        <f t="array" ref="C404">_xlfn.IFS(B404&gt;90,"A1",B404&gt;80,"A2",B404&gt;70,"B1",B404&gt;60,"B2",B404&gt;50,"C1",B404&gt;40,"C2")</f>
        <v>A2</v>
      </c>
      <c r="D404">
        <v>82</v>
      </c>
      <c r="E404" t="str" cm="1">
        <f t="array" ref="E404">_xlfn.IFS(Table1[[#This Row],[Previous Marks]]&gt;90,"A1",Table1[[#This Row],[Previous Marks]]&gt;80,"A2",Table1[[#This Row],[Previous Marks]]&gt;70,"B1",Table1[[#This Row],[Previous Marks]]&gt;60,"B2",Table1[[#This Row],[Previous Marks]]&gt;50,"C1",Table1[[#This Row],[Previous Marks]]&gt;40,"C2")</f>
        <v>A2</v>
      </c>
      <c r="F404">
        <v>78</v>
      </c>
    </row>
    <row r="405" spans="2:6" x14ac:dyDescent="0.3">
      <c r="B405">
        <v>72</v>
      </c>
      <c r="C405" t="str" cm="1">
        <f t="array" ref="C405">_xlfn.IFS(B405&gt;90,"A1",B405&gt;80,"A2",B405&gt;70,"B1",B405&gt;60,"B2",B405&gt;50,"C1",B405&gt;40,"C2")</f>
        <v>B1</v>
      </c>
      <c r="D405">
        <v>70</v>
      </c>
      <c r="E405" t="str" cm="1">
        <f t="array" ref="E405">_xlfn.IFS(Table1[[#This Row],[Previous Marks]]&gt;90,"A1",Table1[[#This Row],[Previous Marks]]&gt;80,"A2",Table1[[#This Row],[Previous Marks]]&gt;70,"B1",Table1[[#This Row],[Previous Marks]]&gt;60,"B2",Table1[[#This Row],[Previous Marks]]&gt;50,"C1",Table1[[#This Row],[Previous Marks]]&gt;40,"C2")</f>
        <v>B2</v>
      </c>
      <c r="F405">
        <v>90</v>
      </c>
    </row>
    <row r="406" spans="2:6" x14ac:dyDescent="0.3">
      <c r="B406">
        <v>80</v>
      </c>
      <c r="C406" t="str" cm="1">
        <f t="array" ref="C406">_xlfn.IFS(B406&gt;90,"A1",B406&gt;80,"A2",B406&gt;70,"B1",B406&gt;60,"B2",B406&gt;50,"C1",B406&gt;40,"C2")</f>
        <v>B1</v>
      </c>
      <c r="D406">
        <v>88</v>
      </c>
      <c r="E406" t="str" cm="1">
        <f t="array" ref="E406">_xlfn.IFS(Table1[[#This Row],[Previous Marks]]&gt;90,"A1",Table1[[#This Row],[Previous Marks]]&gt;80,"A2",Table1[[#This Row],[Previous Marks]]&gt;70,"B1",Table1[[#This Row],[Previous Marks]]&gt;60,"B2",Table1[[#This Row],[Previous Marks]]&gt;50,"C1",Table1[[#This Row],[Previous Marks]]&gt;40,"C2")</f>
        <v>A2</v>
      </c>
      <c r="F406">
        <v>70</v>
      </c>
    </row>
    <row r="407" spans="2:6" x14ac:dyDescent="0.3">
      <c r="B407">
        <v>92</v>
      </c>
      <c r="C407" t="str" cm="1">
        <f t="array" ref="C407">_xlfn.IFS(B407&gt;90,"A1",B407&gt;80,"A2",B407&gt;70,"B1",B407&gt;60,"B2",B407&gt;50,"C1",B407&gt;40,"C2")</f>
        <v>A1</v>
      </c>
      <c r="D407">
        <v>86</v>
      </c>
      <c r="E407" t="str" cm="1">
        <f t="array" ref="E407">_xlfn.IFS(Table1[[#This Row],[Previous Marks]]&gt;90,"A1",Table1[[#This Row],[Previous Marks]]&gt;80,"A2",Table1[[#This Row],[Previous Marks]]&gt;70,"B1",Table1[[#This Row],[Previous Marks]]&gt;60,"B2",Table1[[#This Row],[Previous Marks]]&gt;50,"C1",Table1[[#This Row],[Previous Marks]]&gt;40,"C2")</f>
        <v>A2</v>
      </c>
      <c r="F407">
        <v>85.510416666666671</v>
      </c>
    </row>
    <row r="408" spans="2:6" x14ac:dyDescent="0.3">
      <c r="B408">
        <v>85</v>
      </c>
      <c r="C408" t="str" cm="1">
        <f t="array" ref="C408">_xlfn.IFS(B408&gt;90,"A1",B408&gt;80,"A2",B408&gt;70,"B1",B408&gt;60,"B2",B408&gt;50,"C1",B408&gt;40,"C2")</f>
        <v>A2</v>
      </c>
      <c r="D408">
        <v>60</v>
      </c>
      <c r="E408" t="str" cm="1">
        <f t="array" ref="E408">_xlfn.IFS(Table1[[#This Row],[Previous Marks]]&gt;90,"A1",Table1[[#This Row],[Previous Marks]]&gt;80,"A2",Table1[[#This Row],[Previous Marks]]&gt;70,"B1",Table1[[#This Row],[Previous Marks]]&gt;60,"B2",Table1[[#This Row],[Previous Marks]]&gt;50,"C1",Table1[[#This Row],[Previous Marks]]&gt;40,"C2")</f>
        <v>C1</v>
      </c>
      <c r="F408">
        <v>82</v>
      </c>
    </row>
    <row r="409" spans="2:6" x14ac:dyDescent="0.3">
      <c r="B409">
        <v>90</v>
      </c>
      <c r="C409" t="str" cm="1">
        <f t="array" ref="C409">_xlfn.IFS(B409&gt;90,"A1",B409&gt;80,"A2",B409&gt;70,"B1",B409&gt;60,"B2",B409&gt;50,"C1",B409&gt;40,"C2")</f>
        <v>A2</v>
      </c>
      <c r="D409">
        <v>65</v>
      </c>
      <c r="E409" t="str" cm="1">
        <f t="array" ref="E409">_xlfn.IFS(Table1[[#This Row],[Previous Marks]]&gt;90,"A1",Table1[[#This Row],[Previous Marks]]&gt;80,"A2",Table1[[#This Row],[Previous Marks]]&gt;70,"B1",Table1[[#This Row],[Previous Marks]]&gt;60,"B2",Table1[[#This Row],[Previous Marks]]&gt;50,"C1",Table1[[#This Row],[Previous Marks]]&gt;40,"C2")</f>
        <v>B2</v>
      </c>
      <c r="F409">
        <v>95</v>
      </c>
    </row>
    <row r="410" spans="2:6" x14ac:dyDescent="0.3">
      <c r="B410">
        <v>72</v>
      </c>
      <c r="C410" t="str" cm="1">
        <f t="array" ref="C410">_xlfn.IFS(B410&gt;90,"A1",B410&gt;80,"A2",B410&gt;70,"B1",B410&gt;60,"B2",B410&gt;50,"C1",B410&gt;40,"C2")</f>
        <v>B1</v>
      </c>
      <c r="D410">
        <v>70</v>
      </c>
      <c r="E410" t="str" cm="1">
        <f t="array" ref="E410">_xlfn.IFS(Table1[[#This Row],[Previous Marks]]&gt;90,"A1",Table1[[#This Row],[Previous Marks]]&gt;80,"A2",Table1[[#This Row],[Previous Marks]]&gt;70,"B1",Table1[[#This Row],[Previous Marks]]&gt;60,"B2",Table1[[#This Row],[Previous Marks]]&gt;50,"C1",Table1[[#This Row],[Previous Marks]]&gt;40,"C2")</f>
        <v>B2</v>
      </c>
      <c r="F410">
        <v>90</v>
      </c>
    </row>
    <row r="411" spans="2:6" x14ac:dyDescent="0.3">
      <c r="B411">
        <v>90</v>
      </c>
      <c r="C411" t="str" cm="1">
        <f t="array" ref="C411">_xlfn.IFS(B411&gt;90,"A1",B411&gt;80,"A2",B411&gt;70,"B1",B411&gt;60,"B2",B411&gt;50,"C1",B411&gt;40,"C2")</f>
        <v>A2</v>
      </c>
      <c r="D411">
        <v>90</v>
      </c>
      <c r="E411" t="str" cm="1">
        <f t="array" ref="E411">_xlfn.IFS(Table1[[#This Row],[Previous Marks]]&gt;90,"A1",Table1[[#This Row],[Previous Marks]]&gt;80,"A2",Table1[[#This Row],[Previous Marks]]&gt;70,"B1",Table1[[#This Row],[Previous Marks]]&gt;60,"B2",Table1[[#This Row],[Previous Marks]]&gt;50,"C1",Table1[[#This Row],[Previous Marks]]&gt;40,"C2")</f>
        <v>A2</v>
      </c>
      <c r="F411">
        <v>90</v>
      </c>
    </row>
    <row r="412" spans="2:6" x14ac:dyDescent="0.3">
      <c r="B412">
        <v>92</v>
      </c>
      <c r="C412" t="str" cm="1">
        <f t="array" ref="C412">_xlfn.IFS(B412&gt;90,"A1",B412&gt;80,"A2",B412&gt;70,"B1",B412&gt;60,"B2",B412&gt;50,"C1",B412&gt;40,"C2")</f>
        <v>A1</v>
      </c>
      <c r="D412">
        <v>85</v>
      </c>
      <c r="E412" t="str" cm="1">
        <f t="array" ref="E412">_xlfn.IFS(Table1[[#This Row],[Previous Marks]]&gt;90,"A1",Table1[[#This Row],[Previous Marks]]&gt;80,"A2",Table1[[#This Row],[Previous Marks]]&gt;70,"B1",Table1[[#This Row],[Previous Marks]]&gt;60,"B2",Table1[[#This Row],[Previous Marks]]&gt;50,"C1",Table1[[#This Row],[Previous Marks]]&gt;40,"C2")</f>
        <v>A2</v>
      </c>
      <c r="F412">
        <v>82</v>
      </c>
    </row>
    <row r="413" spans="2:6" x14ac:dyDescent="0.3">
      <c r="B413">
        <v>85</v>
      </c>
      <c r="C413" t="str" cm="1">
        <f t="array" ref="C413">_xlfn.IFS(B413&gt;90,"A1",B413&gt;80,"A2",B413&gt;70,"B1",B413&gt;60,"B2",B413&gt;50,"C1",B413&gt;40,"C2")</f>
        <v>A2</v>
      </c>
      <c r="D413">
        <v>60</v>
      </c>
      <c r="E413" t="str" cm="1">
        <f t="array" ref="E413">_xlfn.IFS(Table1[[#This Row],[Previous Marks]]&gt;90,"A1",Table1[[#This Row],[Previous Marks]]&gt;80,"A2",Table1[[#This Row],[Previous Marks]]&gt;70,"B1",Table1[[#This Row],[Previous Marks]]&gt;60,"B2",Table1[[#This Row],[Previous Marks]]&gt;50,"C1",Table1[[#This Row],[Previous Marks]]&gt;40,"C2")</f>
        <v>C1</v>
      </c>
      <c r="F413">
        <v>70</v>
      </c>
    </row>
    <row r="414" spans="2:6" x14ac:dyDescent="0.3">
      <c r="B414">
        <v>72</v>
      </c>
      <c r="C414" t="str" cm="1">
        <f t="array" ref="C414">_xlfn.IFS(B414&gt;90,"A1",B414&gt;80,"A2",B414&gt;70,"B1",B414&gt;60,"B2",B414&gt;50,"C1",B414&gt;40,"C2")</f>
        <v>B1</v>
      </c>
      <c r="D414">
        <v>82</v>
      </c>
      <c r="E414" t="str" cm="1">
        <f t="array" ref="E414">_xlfn.IFS(Table1[[#This Row],[Previous Marks]]&gt;90,"A1",Table1[[#This Row],[Previous Marks]]&gt;80,"A2",Table1[[#This Row],[Previous Marks]]&gt;70,"B1",Table1[[#This Row],[Previous Marks]]&gt;60,"B2",Table1[[#This Row],[Previous Marks]]&gt;50,"C1",Table1[[#This Row],[Previous Marks]]&gt;40,"C2")</f>
        <v>A2</v>
      </c>
      <c r="F414">
        <v>85</v>
      </c>
    </row>
    <row r="415" spans="2:6" x14ac:dyDescent="0.3">
      <c r="B415">
        <v>92</v>
      </c>
      <c r="C415" t="str" cm="1">
        <f t="array" ref="C415">_xlfn.IFS(B415&gt;90,"A1",B415&gt;80,"A2",B415&gt;70,"B1",B415&gt;60,"B2",B415&gt;50,"C1",B415&gt;40,"C2")</f>
        <v>A1</v>
      </c>
      <c r="D415">
        <v>90</v>
      </c>
      <c r="E415" t="str" cm="1">
        <f t="array" ref="E415">_xlfn.IFS(Table1[[#This Row],[Previous Marks]]&gt;90,"A1",Table1[[#This Row],[Previous Marks]]&gt;80,"A2",Table1[[#This Row],[Previous Marks]]&gt;70,"B1",Table1[[#This Row],[Previous Marks]]&gt;60,"B2",Table1[[#This Row],[Previous Marks]]&gt;50,"C1",Table1[[#This Row],[Previous Marks]]&gt;40,"C2")</f>
        <v>A2</v>
      </c>
      <c r="F415">
        <v>90</v>
      </c>
    </row>
    <row r="416" spans="2:6" x14ac:dyDescent="0.3">
      <c r="B416">
        <v>87</v>
      </c>
      <c r="C416" t="str" cm="1">
        <f t="array" ref="C416">_xlfn.IFS(B416&gt;90,"A1",B416&gt;80,"A2",B416&gt;70,"B1",B416&gt;60,"B2",B416&gt;50,"C1",B416&gt;40,"C2")</f>
        <v>A2</v>
      </c>
      <c r="D416">
        <v>88</v>
      </c>
      <c r="E416" t="str" cm="1">
        <f t="array" ref="E416">_xlfn.IFS(Table1[[#This Row],[Previous Marks]]&gt;90,"A1",Table1[[#This Row],[Previous Marks]]&gt;80,"A2",Table1[[#This Row],[Previous Marks]]&gt;70,"B1",Table1[[#This Row],[Previous Marks]]&gt;60,"B2",Table1[[#This Row],[Previous Marks]]&gt;50,"C1",Table1[[#This Row],[Previous Marks]]&gt;40,"C2")</f>
        <v>A2</v>
      </c>
      <c r="F416">
        <v>85</v>
      </c>
    </row>
    <row r="417" spans="2:6" x14ac:dyDescent="0.3">
      <c r="B417">
        <v>62</v>
      </c>
      <c r="C417" t="str" cm="1">
        <f t="array" ref="C417">_xlfn.IFS(B417&gt;90,"A1",B417&gt;80,"A2",B417&gt;70,"B1",B417&gt;60,"B2",B417&gt;50,"C1",B417&gt;40,"C2")</f>
        <v>B2</v>
      </c>
      <c r="D417">
        <v>60</v>
      </c>
      <c r="E417" t="str" cm="1">
        <f t="array" ref="E417">_xlfn.IFS(Table1[[#This Row],[Previous Marks]]&gt;90,"A1",Table1[[#This Row],[Previous Marks]]&gt;80,"A2",Table1[[#This Row],[Previous Marks]]&gt;70,"B1",Table1[[#This Row],[Previous Marks]]&gt;60,"B2",Table1[[#This Row],[Previous Marks]]&gt;50,"C1",Table1[[#This Row],[Previous Marks]]&gt;40,"C2")</f>
        <v>C1</v>
      </c>
      <c r="F417">
        <v>88</v>
      </c>
    </row>
    <row r="418" spans="2:6" x14ac:dyDescent="0.3">
      <c r="B418">
        <v>87</v>
      </c>
      <c r="C418" t="str" cm="1">
        <f t="array" ref="C418">_xlfn.IFS(B418&gt;90,"A1",B418&gt;80,"A2",B418&gt;70,"B1",B418&gt;60,"B2",B418&gt;50,"C1",B418&gt;40,"C2")</f>
        <v>A2</v>
      </c>
      <c r="D418">
        <v>86</v>
      </c>
      <c r="E418" t="str" cm="1">
        <f t="array" ref="E418">_xlfn.IFS(Table1[[#This Row],[Previous Marks]]&gt;90,"A1",Table1[[#This Row],[Previous Marks]]&gt;80,"A2",Table1[[#This Row],[Previous Marks]]&gt;70,"B1",Table1[[#This Row],[Previous Marks]]&gt;60,"B2",Table1[[#This Row],[Previous Marks]]&gt;50,"C1",Table1[[#This Row],[Previous Marks]]&gt;40,"C2")</f>
        <v>A2</v>
      </c>
      <c r="F418">
        <v>91</v>
      </c>
    </row>
    <row r="419" spans="2:6" x14ac:dyDescent="0.3">
      <c r="B419">
        <v>62</v>
      </c>
      <c r="C419" t="str" cm="1">
        <f t="array" ref="C419">_xlfn.IFS(B419&gt;90,"A1",B419&gt;80,"A2",B419&gt;70,"B1",B419&gt;60,"B2",B419&gt;50,"C1",B419&gt;40,"C2")</f>
        <v>B2</v>
      </c>
      <c r="D419">
        <v>82</v>
      </c>
      <c r="E419" t="str" cm="1">
        <f t="array" ref="E419">_xlfn.IFS(Table1[[#This Row],[Previous Marks]]&gt;90,"A1",Table1[[#This Row],[Previous Marks]]&gt;80,"A2",Table1[[#This Row],[Previous Marks]]&gt;70,"B1",Table1[[#This Row],[Previous Marks]]&gt;60,"B2",Table1[[#This Row],[Previous Marks]]&gt;50,"C1",Table1[[#This Row],[Previous Marks]]&gt;40,"C2")</f>
        <v>A2</v>
      </c>
      <c r="F419">
        <v>91</v>
      </c>
    </row>
    <row r="420" spans="2:6" x14ac:dyDescent="0.3">
      <c r="B420">
        <v>68</v>
      </c>
      <c r="C420" t="str" cm="1">
        <f t="array" ref="C420">_xlfn.IFS(B420&gt;90,"A1",B420&gt;80,"A2",B420&gt;70,"B1",B420&gt;60,"B2",B420&gt;50,"C1",B420&gt;40,"C2")</f>
        <v>B2</v>
      </c>
      <c r="D420">
        <v>70</v>
      </c>
      <c r="E420" t="str" cm="1">
        <f t="array" ref="E420">_xlfn.IFS(Table1[[#This Row],[Previous Marks]]&gt;90,"A1",Table1[[#This Row],[Previous Marks]]&gt;80,"A2",Table1[[#This Row],[Previous Marks]]&gt;70,"B1",Table1[[#This Row],[Previous Marks]]&gt;60,"B2",Table1[[#This Row],[Previous Marks]]&gt;50,"C1",Table1[[#This Row],[Previous Marks]]&gt;40,"C2")</f>
        <v>B2</v>
      </c>
      <c r="F420">
        <v>78</v>
      </c>
    </row>
    <row r="421" spans="2:6" x14ac:dyDescent="0.3">
      <c r="B421">
        <v>62</v>
      </c>
      <c r="C421" t="str" cm="1">
        <f t="array" ref="C421">_xlfn.IFS(B421&gt;90,"A1",B421&gt;80,"A2",B421&gt;70,"B1",B421&gt;60,"B2",B421&gt;50,"C1",B421&gt;40,"C2")</f>
        <v>B2</v>
      </c>
      <c r="D421">
        <v>78</v>
      </c>
      <c r="E421" t="str" cm="1">
        <f t="array" ref="E421">_xlfn.IFS(Table1[[#This Row],[Previous Marks]]&gt;90,"A1",Table1[[#This Row],[Previous Marks]]&gt;80,"A2",Table1[[#This Row],[Previous Marks]]&gt;70,"B1",Table1[[#This Row],[Previous Marks]]&gt;60,"B2",Table1[[#This Row],[Previous Marks]]&gt;50,"C1",Table1[[#This Row],[Previous Marks]]&gt;40,"C2")</f>
        <v>B1</v>
      </c>
      <c r="F421">
        <v>90</v>
      </c>
    </row>
    <row r="422" spans="2:6" x14ac:dyDescent="0.3">
      <c r="B422">
        <v>68</v>
      </c>
      <c r="C422" t="str" cm="1">
        <f t="array" ref="C422">_xlfn.IFS(B422&gt;90,"A1",B422&gt;80,"A2",B422&gt;70,"B1",B422&gt;60,"B2",B422&gt;50,"C1",B422&gt;40,"C2")</f>
        <v>B2</v>
      </c>
      <c r="D422">
        <v>70</v>
      </c>
      <c r="E422" t="str" cm="1">
        <f t="array" ref="E422">_xlfn.IFS(Table1[[#This Row],[Previous Marks]]&gt;90,"A1",Table1[[#This Row],[Previous Marks]]&gt;80,"A2",Table1[[#This Row],[Previous Marks]]&gt;70,"B1",Table1[[#This Row],[Previous Marks]]&gt;60,"B2",Table1[[#This Row],[Previous Marks]]&gt;50,"C1",Table1[[#This Row],[Previous Marks]]&gt;40,"C2")</f>
        <v>B2</v>
      </c>
      <c r="F422">
        <v>92</v>
      </c>
    </row>
    <row r="423" spans="2:6" x14ac:dyDescent="0.3">
      <c r="B423">
        <v>72</v>
      </c>
      <c r="C423" t="str" cm="1">
        <f t="array" ref="C423">_xlfn.IFS(B423&gt;90,"A1",B423&gt;80,"A2",B423&gt;70,"B1",B423&gt;60,"B2",B423&gt;50,"C1",B423&gt;40,"C2")</f>
        <v>B1</v>
      </c>
      <c r="D423">
        <v>70</v>
      </c>
      <c r="E423" t="str" cm="1">
        <f t="array" ref="E423">_xlfn.IFS(Table1[[#This Row],[Previous Marks]]&gt;90,"A1",Table1[[#This Row],[Previous Marks]]&gt;80,"A2",Table1[[#This Row],[Previous Marks]]&gt;70,"B1",Table1[[#This Row],[Previous Marks]]&gt;60,"B2",Table1[[#This Row],[Previous Marks]]&gt;50,"C1",Table1[[#This Row],[Previous Marks]]&gt;40,"C2")</f>
        <v>B2</v>
      </c>
      <c r="F423">
        <v>91</v>
      </c>
    </row>
    <row r="424" spans="2:6" x14ac:dyDescent="0.3">
      <c r="B424">
        <v>68</v>
      </c>
      <c r="C424" t="str" cm="1">
        <f t="array" ref="C424">_xlfn.IFS(B424&gt;90,"A1",B424&gt;80,"A2",B424&gt;70,"B1",B424&gt;60,"B2",B424&gt;50,"C1",B424&gt;40,"C2")</f>
        <v>B2</v>
      </c>
      <c r="D424">
        <v>77</v>
      </c>
      <c r="E424" t="str" cm="1">
        <f t="array" ref="E424">_xlfn.IFS(Table1[[#This Row],[Previous Marks]]&gt;90,"A1",Table1[[#This Row],[Previous Marks]]&gt;80,"A2",Table1[[#This Row],[Previous Marks]]&gt;70,"B1",Table1[[#This Row],[Previous Marks]]&gt;60,"B2",Table1[[#This Row],[Previous Marks]]&gt;50,"C1",Table1[[#This Row],[Previous Marks]]&gt;40,"C2")</f>
        <v>B1</v>
      </c>
      <c r="F424">
        <v>92</v>
      </c>
    </row>
    <row r="425" spans="2:6" x14ac:dyDescent="0.3">
      <c r="B425">
        <v>88</v>
      </c>
      <c r="C425" t="str" cm="1">
        <f t="array" ref="C425">_xlfn.IFS(B425&gt;90,"A1",B425&gt;80,"A2",B425&gt;70,"B1",B425&gt;60,"B2",B425&gt;50,"C1",B425&gt;40,"C2")</f>
        <v>A2</v>
      </c>
      <c r="D425">
        <v>77</v>
      </c>
      <c r="E425" t="str" cm="1">
        <f t="array" ref="E425">_xlfn.IFS(Table1[[#This Row],[Previous Marks]]&gt;90,"A1",Table1[[#This Row],[Previous Marks]]&gt;80,"A2",Table1[[#This Row],[Previous Marks]]&gt;70,"B1",Table1[[#This Row],[Previous Marks]]&gt;60,"B2",Table1[[#This Row],[Previous Marks]]&gt;50,"C1",Table1[[#This Row],[Previous Marks]]&gt;40,"C2")</f>
        <v>B1</v>
      </c>
      <c r="F425">
        <v>92</v>
      </c>
    </row>
    <row r="426" spans="2:6" x14ac:dyDescent="0.3">
      <c r="B426">
        <v>92</v>
      </c>
      <c r="C426" t="str" cm="1">
        <f t="array" ref="C426">_xlfn.IFS(B426&gt;90,"A1",B426&gt;80,"A2",B426&gt;70,"B1",B426&gt;60,"B2",B426&gt;50,"C1",B426&gt;40,"C2")</f>
        <v>A1</v>
      </c>
      <c r="D426">
        <v>78</v>
      </c>
      <c r="E426" t="str" cm="1">
        <f t="array" ref="E426">_xlfn.IFS(Table1[[#This Row],[Previous Marks]]&gt;90,"A1",Table1[[#This Row],[Previous Marks]]&gt;80,"A2",Table1[[#This Row],[Previous Marks]]&gt;70,"B1",Table1[[#This Row],[Previous Marks]]&gt;60,"B2",Table1[[#This Row],[Previous Marks]]&gt;50,"C1",Table1[[#This Row],[Previous Marks]]&gt;40,"C2")</f>
        <v>B1</v>
      </c>
      <c r="F426">
        <v>85.510416666666671</v>
      </c>
    </row>
    <row r="427" spans="2:6" x14ac:dyDescent="0.3">
      <c r="B427">
        <v>90</v>
      </c>
      <c r="C427" t="str" cm="1">
        <f t="array" ref="C427">_xlfn.IFS(B427&gt;90,"A1",B427&gt;80,"A2",B427&gt;70,"B1",B427&gt;60,"B2",B427&gt;50,"C1",B427&gt;40,"C2")</f>
        <v>A2</v>
      </c>
      <c r="D427">
        <v>77</v>
      </c>
      <c r="E427" t="str" cm="1">
        <f t="array" ref="E427">_xlfn.IFS(Table1[[#This Row],[Previous Marks]]&gt;90,"A1",Table1[[#This Row],[Previous Marks]]&gt;80,"A2",Table1[[#This Row],[Previous Marks]]&gt;70,"B1",Table1[[#This Row],[Previous Marks]]&gt;60,"B2",Table1[[#This Row],[Previous Marks]]&gt;50,"C1",Table1[[#This Row],[Previous Marks]]&gt;40,"C2")</f>
        <v>B1</v>
      </c>
      <c r="F427">
        <v>78</v>
      </c>
    </row>
    <row r="428" spans="2:6" x14ac:dyDescent="0.3">
      <c r="B428">
        <v>87</v>
      </c>
      <c r="C428" t="str" cm="1">
        <f t="array" ref="C428">_xlfn.IFS(B428&gt;90,"A1",B428&gt;80,"A2",B428&gt;70,"B1",B428&gt;60,"B2",B428&gt;50,"C1",B428&gt;40,"C2")</f>
        <v>A2</v>
      </c>
      <c r="D428">
        <v>70</v>
      </c>
      <c r="E428" t="str" cm="1">
        <f t="array" ref="E428">_xlfn.IFS(Table1[[#This Row],[Previous Marks]]&gt;90,"A1",Table1[[#This Row],[Previous Marks]]&gt;80,"A2",Table1[[#This Row],[Previous Marks]]&gt;70,"B1",Table1[[#This Row],[Previous Marks]]&gt;60,"B2",Table1[[#This Row],[Previous Marks]]&gt;50,"C1",Table1[[#This Row],[Previous Marks]]&gt;40,"C2")</f>
        <v>B2</v>
      </c>
      <c r="F428">
        <v>88</v>
      </c>
    </row>
    <row r="429" spans="2:6" x14ac:dyDescent="0.3">
      <c r="B429">
        <v>78</v>
      </c>
      <c r="C429" t="str" cm="1">
        <f t="array" ref="C429">_xlfn.IFS(B429&gt;90,"A1",B429&gt;80,"A2",B429&gt;70,"B1",B429&gt;60,"B2",B429&gt;50,"C1",B429&gt;40,"C2")</f>
        <v>B1</v>
      </c>
      <c r="D429">
        <v>82</v>
      </c>
      <c r="E429" t="str" cm="1">
        <f t="array" ref="E429">_xlfn.IFS(Table1[[#This Row],[Previous Marks]]&gt;90,"A1",Table1[[#This Row],[Previous Marks]]&gt;80,"A2",Table1[[#This Row],[Previous Marks]]&gt;70,"B1",Table1[[#This Row],[Previous Marks]]&gt;60,"B2",Table1[[#This Row],[Previous Marks]]&gt;50,"C1",Table1[[#This Row],[Previous Marks]]&gt;40,"C2")</f>
        <v>A2</v>
      </c>
      <c r="F429">
        <v>85</v>
      </c>
    </row>
    <row r="430" spans="2:6" x14ac:dyDescent="0.3">
      <c r="B430">
        <v>72</v>
      </c>
      <c r="C430" t="str" cm="1">
        <f t="array" ref="C430">_xlfn.IFS(B430&gt;90,"A1",B430&gt;80,"A2",B430&gt;70,"B1",B430&gt;60,"B2",B430&gt;50,"C1",B430&gt;40,"C2")</f>
        <v>B1</v>
      </c>
      <c r="D430">
        <v>65</v>
      </c>
      <c r="E430" t="str" cm="1">
        <f t="array" ref="E430">_xlfn.IFS(Table1[[#This Row],[Previous Marks]]&gt;90,"A1",Table1[[#This Row],[Previous Marks]]&gt;80,"A2",Table1[[#This Row],[Previous Marks]]&gt;70,"B1",Table1[[#This Row],[Previous Marks]]&gt;60,"B2",Table1[[#This Row],[Previous Marks]]&gt;50,"C1",Table1[[#This Row],[Previous Marks]]&gt;40,"C2")</f>
        <v>B2</v>
      </c>
      <c r="F430">
        <v>91</v>
      </c>
    </row>
    <row r="431" spans="2:6" x14ac:dyDescent="0.3">
      <c r="B431">
        <v>88</v>
      </c>
      <c r="C431" t="str" cm="1">
        <f t="array" ref="C431">_xlfn.IFS(B431&gt;90,"A1",B431&gt;80,"A2",B431&gt;70,"B1",B431&gt;60,"B2",B431&gt;50,"C1",B431&gt;40,"C2")</f>
        <v>A2</v>
      </c>
      <c r="D431">
        <v>77</v>
      </c>
      <c r="E431" t="str" cm="1">
        <f t="array" ref="E431">_xlfn.IFS(Table1[[#This Row],[Previous Marks]]&gt;90,"A1",Table1[[#This Row],[Previous Marks]]&gt;80,"A2",Table1[[#This Row],[Previous Marks]]&gt;70,"B1",Table1[[#This Row],[Previous Marks]]&gt;60,"B2",Table1[[#This Row],[Previous Marks]]&gt;50,"C1",Table1[[#This Row],[Previous Marks]]&gt;40,"C2")</f>
        <v>B1</v>
      </c>
      <c r="F431">
        <v>82</v>
      </c>
    </row>
    <row r="432" spans="2:6" x14ac:dyDescent="0.3">
      <c r="B432">
        <v>85</v>
      </c>
      <c r="C432" t="str" cm="1">
        <f t="array" ref="C432">_xlfn.IFS(B432&gt;90,"A1",B432&gt;80,"A2",B432&gt;70,"B1",B432&gt;60,"B2",B432&gt;50,"C1",B432&gt;40,"C2")</f>
        <v>A2</v>
      </c>
      <c r="D432">
        <v>77</v>
      </c>
      <c r="E432" t="str" cm="1">
        <f t="array" ref="E432">_xlfn.IFS(Table1[[#This Row],[Previous Marks]]&gt;90,"A1",Table1[[#This Row],[Previous Marks]]&gt;80,"A2",Table1[[#This Row],[Previous Marks]]&gt;70,"B1",Table1[[#This Row],[Previous Marks]]&gt;60,"B2",Table1[[#This Row],[Previous Marks]]&gt;50,"C1",Table1[[#This Row],[Previous Marks]]&gt;40,"C2")</f>
        <v>B1</v>
      </c>
      <c r="F432">
        <v>85</v>
      </c>
    </row>
    <row r="433" spans="2:6" x14ac:dyDescent="0.3">
      <c r="B433">
        <v>90</v>
      </c>
      <c r="C433" t="str" cm="1">
        <f t="array" ref="C433">_xlfn.IFS(B433&gt;90,"A1",B433&gt;80,"A2",B433&gt;70,"B1",B433&gt;60,"B2",B433&gt;50,"C1",B433&gt;40,"C2")</f>
        <v>A2</v>
      </c>
      <c r="D433">
        <v>77</v>
      </c>
      <c r="E433" t="str" cm="1">
        <f t="array" ref="E433">_xlfn.IFS(Table1[[#This Row],[Previous Marks]]&gt;90,"A1",Table1[[#This Row],[Previous Marks]]&gt;80,"A2",Table1[[#This Row],[Previous Marks]]&gt;70,"B1",Table1[[#This Row],[Previous Marks]]&gt;60,"B2",Table1[[#This Row],[Previous Marks]]&gt;50,"C1",Table1[[#This Row],[Previous Marks]]&gt;40,"C2")</f>
        <v>B1</v>
      </c>
      <c r="F433">
        <v>70</v>
      </c>
    </row>
    <row r="434" spans="2:6" x14ac:dyDescent="0.3">
      <c r="B434">
        <v>87</v>
      </c>
      <c r="C434" t="str" cm="1">
        <f t="array" ref="C434">_xlfn.IFS(B434&gt;90,"A1",B434&gt;80,"A2",B434&gt;70,"B1",B434&gt;60,"B2",B434&gt;50,"C1",B434&gt;40,"C2")</f>
        <v>A2</v>
      </c>
      <c r="D434">
        <v>88</v>
      </c>
      <c r="E434" t="str" cm="1">
        <f t="array" ref="E434">_xlfn.IFS(Table1[[#This Row],[Previous Marks]]&gt;90,"A1",Table1[[#This Row],[Previous Marks]]&gt;80,"A2",Table1[[#This Row],[Previous Marks]]&gt;70,"B1",Table1[[#This Row],[Previous Marks]]&gt;60,"B2",Table1[[#This Row],[Previous Marks]]&gt;50,"C1",Table1[[#This Row],[Previous Marks]]&gt;40,"C2")</f>
        <v>A2</v>
      </c>
      <c r="F434">
        <v>70</v>
      </c>
    </row>
    <row r="435" spans="2:6" x14ac:dyDescent="0.3">
      <c r="B435">
        <v>80</v>
      </c>
      <c r="C435" t="str" cm="1">
        <f t="array" ref="C435">_xlfn.IFS(B435&gt;90,"A1",B435&gt;80,"A2",B435&gt;70,"B1",B435&gt;60,"B2",B435&gt;50,"C1",B435&gt;40,"C2")</f>
        <v>B1</v>
      </c>
      <c r="D435">
        <v>77</v>
      </c>
      <c r="E435" t="str" cm="1">
        <f t="array" ref="E435">_xlfn.IFS(Table1[[#This Row],[Previous Marks]]&gt;90,"A1",Table1[[#This Row],[Previous Marks]]&gt;80,"A2",Table1[[#This Row],[Previous Marks]]&gt;70,"B1",Table1[[#This Row],[Previous Marks]]&gt;60,"B2",Table1[[#This Row],[Previous Marks]]&gt;50,"C1",Table1[[#This Row],[Previous Marks]]&gt;40,"C2")</f>
        <v>B1</v>
      </c>
      <c r="F435">
        <v>95</v>
      </c>
    </row>
    <row r="436" spans="2:6" x14ac:dyDescent="0.3">
      <c r="B436">
        <v>68</v>
      </c>
      <c r="C436" t="str" cm="1">
        <f t="array" ref="C436">_xlfn.IFS(B436&gt;90,"A1",B436&gt;80,"A2",B436&gt;70,"B1",B436&gt;60,"B2",B436&gt;50,"C1",B436&gt;40,"C2")</f>
        <v>B2</v>
      </c>
      <c r="D436">
        <v>82</v>
      </c>
      <c r="E436" t="str" cm="1">
        <f t="array" ref="E436">_xlfn.IFS(Table1[[#This Row],[Previous Marks]]&gt;90,"A1",Table1[[#This Row],[Previous Marks]]&gt;80,"A2",Table1[[#This Row],[Previous Marks]]&gt;70,"B1",Table1[[#This Row],[Previous Marks]]&gt;60,"B2",Table1[[#This Row],[Previous Marks]]&gt;50,"C1",Table1[[#This Row],[Previous Marks]]&gt;40,"C2")</f>
        <v>A2</v>
      </c>
      <c r="F436">
        <v>90</v>
      </c>
    </row>
    <row r="437" spans="2:6" x14ac:dyDescent="0.3">
      <c r="B437">
        <v>92</v>
      </c>
      <c r="C437" t="str" cm="1">
        <f t="array" ref="C437">_xlfn.IFS(B437&gt;90,"A1",B437&gt;80,"A2",B437&gt;70,"B1",B437&gt;60,"B2",B437&gt;50,"C1",B437&gt;40,"C2")</f>
        <v>A1</v>
      </c>
      <c r="D437">
        <v>77</v>
      </c>
      <c r="E437" t="str" cm="1">
        <f t="array" ref="E437">_xlfn.IFS(Table1[[#This Row],[Previous Marks]]&gt;90,"A1",Table1[[#This Row],[Previous Marks]]&gt;80,"A2",Table1[[#This Row],[Previous Marks]]&gt;70,"B1",Table1[[#This Row],[Previous Marks]]&gt;60,"B2",Table1[[#This Row],[Previous Marks]]&gt;50,"C1",Table1[[#This Row],[Previous Marks]]&gt;40,"C2")</f>
        <v>B1</v>
      </c>
      <c r="F437">
        <v>95</v>
      </c>
    </row>
    <row r="438" spans="2:6" x14ac:dyDescent="0.3">
      <c r="B438">
        <v>68</v>
      </c>
      <c r="C438" t="str" cm="1">
        <f t="array" ref="C438">_xlfn.IFS(B438&gt;90,"A1",B438&gt;80,"A2",B438&gt;70,"B1",B438&gt;60,"B2",B438&gt;50,"C1",B438&gt;40,"C2")</f>
        <v>B2</v>
      </c>
      <c r="D438">
        <v>86</v>
      </c>
      <c r="E438" t="str" cm="1">
        <f t="array" ref="E438">_xlfn.IFS(Table1[[#This Row],[Previous Marks]]&gt;90,"A1",Table1[[#This Row],[Previous Marks]]&gt;80,"A2",Table1[[#This Row],[Previous Marks]]&gt;70,"B1",Table1[[#This Row],[Previous Marks]]&gt;60,"B2",Table1[[#This Row],[Previous Marks]]&gt;50,"C1",Table1[[#This Row],[Previous Marks]]&gt;40,"C2")</f>
        <v>A2</v>
      </c>
      <c r="F438">
        <v>85</v>
      </c>
    </row>
    <row r="439" spans="2:6" x14ac:dyDescent="0.3">
      <c r="B439">
        <v>88</v>
      </c>
      <c r="C439" t="str" cm="1">
        <f t="array" ref="C439">_xlfn.IFS(B439&gt;90,"A1",B439&gt;80,"A2",B439&gt;70,"B1",B439&gt;60,"B2",B439&gt;50,"C1",B439&gt;40,"C2")</f>
        <v>A2</v>
      </c>
      <c r="D439">
        <v>70</v>
      </c>
      <c r="E439" t="str" cm="1">
        <f t="array" ref="E439">_xlfn.IFS(Table1[[#This Row],[Previous Marks]]&gt;90,"A1",Table1[[#This Row],[Previous Marks]]&gt;80,"A2",Table1[[#This Row],[Previous Marks]]&gt;70,"B1",Table1[[#This Row],[Previous Marks]]&gt;60,"B2",Table1[[#This Row],[Previous Marks]]&gt;50,"C1",Table1[[#This Row],[Previous Marks]]&gt;40,"C2")</f>
        <v>B2</v>
      </c>
      <c r="F439">
        <v>88</v>
      </c>
    </row>
    <row r="440" spans="2:6" x14ac:dyDescent="0.3">
      <c r="B440">
        <v>92</v>
      </c>
      <c r="C440" t="str" cm="1">
        <f t="array" ref="C440">_xlfn.IFS(B440&gt;90,"A1",B440&gt;80,"A2",B440&gt;70,"B1",B440&gt;60,"B2",B440&gt;50,"C1",B440&gt;40,"C2")</f>
        <v>A1</v>
      </c>
      <c r="D440">
        <v>77</v>
      </c>
      <c r="E440" t="str" cm="1">
        <f t="array" ref="E440">_xlfn.IFS(Table1[[#This Row],[Previous Marks]]&gt;90,"A1",Table1[[#This Row],[Previous Marks]]&gt;80,"A2",Table1[[#This Row],[Previous Marks]]&gt;70,"B1",Table1[[#This Row],[Previous Marks]]&gt;60,"B2",Table1[[#This Row],[Previous Marks]]&gt;50,"C1",Table1[[#This Row],[Previous Marks]]&gt;40,"C2")</f>
        <v>B1</v>
      </c>
      <c r="F440">
        <v>85</v>
      </c>
    </row>
    <row r="441" spans="2:6" x14ac:dyDescent="0.3">
      <c r="B441">
        <v>87</v>
      </c>
      <c r="C441" t="str" cm="1">
        <f t="array" ref="C441">_xlfn.IFS(B441&gt;90,"A1",B441&gt;80,"A2",B441&gt;70,"B1",B441&gt;60,"B2",B441&gt;50,"C1",B441&gt;40,"C2")</f>
        <v>A2</v>
      </c>
      <c r="D441">
        <v>77</v>
      </c>
      <c r="E441" t="str" cm="1">
        <f t="array" ref="E441">_xlfn.IFS(Table1[[#This Row],[Previous Marks]]&gt;90,"A1",Table1[[#This Row],[Previous Marks]]&gt;80,"A2",Table1[[#This Row],[Previous Marks]]&gt;70,"B1",Table1[[#This Row],[Previous Marks]]&gt;60,"B2",Table1[[#This Row],[Previous Marks]]&gt;50,"C1",Table1[[#This Row],[Previous Marks]]&gt;40,"C2")</f>
        <v>B1</v>
      </c>
      <c r="F441">
        <v>78</v>
      </c>
    </row>
    <row r="442" spans="2:6" x14ac:dyDescent="0.3">
      <c r="B442">
        <v>88</v>
      </c>
      <c r="C442" t="str" cm="1">
        <f t="array" ref="C442">_xlfn.IFS(B442&gt;90,"A1",B442&gt;80,"A2",B442&gt;70,"B1",B442&gt;60,"B2",B442&gt;50,"C1",B442&gt;40,"C2")</f>
        <v>A2</v>
      </c>
      <c r="D442">
        <v>70</v>
      </c>
      <c r="E442" t="str" cm="1">
        <f t="array" ref="E442">_xlfn.IFS(Table1[[#This Row],[Previous Marks]]&gt;90,"A1",Table1[[#This Row],[Previous Marks]]&gt;80,"A2",Table1[[#This Row],[Previous Marks]]&gt;70,"B1",Table1[[#This Row],[Previous Marks]]&gt;60,"B2",Table1[[#This Row],[Previous Marks]]&gt;50,"C1",Table1[[#This Row],[Previous Marks]]&gt;40,"C2")</f>
        <v>B2</v>
      </c>
      <c r="F442">
        <v>92</v>
      </c>
    </row>
    <row r="443" spans="2:6" x14ac:dyDescent="0.3">
      <c r="B443">
        <v>80</v>
      </c>
      <c r="C443" t="str" cm="1">
        <f t="array" ref="C443">_xlfn.IFS(B443&gt;90,"A1",B443&gt;80,"A2",B443&gt;70,"B1",B443&gt;60,"B2",B443&gt;50,"C1",B443&gt;40,"C2")</f>
        <v>B1</v>
      </c>
      <c r="D443">
        <v>65</v>
      </c>
      <c r="E443" t="str" cm="1">
        <f t="array" ref="E443">_xlfn.IFS(Table1[[#This Row],[Previous Marks]]&gt;90,"A1",Table1[[#This Row],[Previous Marks]]&gt;80,"A2",Table1[[#This Row],[Previous Marks]]&gt;70,"B1",Table1[[#This Row],[Previous Marks]]&gt;60,"B2",Table1[[#This Row],[Previous Marks]]&gt;50,"C1",Table1[[#This Row],[Previous Marks]]&gt;40,"C2")</f>
        <v>B2</v>
      </c>
      <c r="F443">
        <v>90</v>
      </c>
    </row>
    <row r="444" spans="2:6" x14ac:dyDescent="0.3">
      <c r="B444">
        <v>78</v>
      </c>
      <c r="C444" t="str" cm="1">
        <f t="array" ref="C444">_xlfn.IFS(B444&gt;90,"A1",B444&gt;80,"A2",B444&gt;70,"B1",B444&gt;60,"B2",B444&gt;50,"C1",B444&gt;40,"C2")</f>
        <v>B1</v>
      </c>
      <c r="D444">
        <v>70</v>
      </c>
      <c r="E444" t="str" cm="1">
        <f t="array" ref="E444">_xlfn.IFS(Table1[[#This Row],[Previous Marks]]&gt;90,"A1",Table1[[#This Row],[Previous Marks]]&gt;80,"A2",Table1[[#This Row],[Previous Marks]]&gt;70,"B1",Table1[[#This Row],[Previous Marks]]&gt;60,"B2",Table1[[#This Row],[Previous Marks]]&gt;50,"C1",Table1[[#This Row],[Previous Marks]]&gt;40,"C2")</f>
        <v>B2</v>
      </c>
      <c r="F444">
        <v>95</v>
      </c>
    </row>
    <row r="445" spans="2:6" x14ac:dyDescent="0.3">
      <c r="B445">
        <v>85</v>
      </c>
      <c r="C445" t="str" cm="1">
        <f t="array" ref="C445">_xlfn.IFS(B445&gt;90,"A1",B445&gt;80,"A2",B445&gt;70,"B1",B445&gt;60,"B2",B445&gt;50,"C1",B445&gt;40,"C2")</f>
        <v>A2</v>
      </c>
      <c r="D445">
        <v>77</v>
      </c>
      <c r="E445" t="str" cm="1">
        <f t="array" ref="E445">_xlfn.IFS(Table1[[#This Row],[Previous Marks]]&gt;90,"A1",Table1[[#This Row],[Previous Marks]]&gt;80,"A2",Table1[[#This Row],[Previous Marks]]&gt;70,"B1",Table1[[#This Row],[Previous Marks]]&gt;60,"B2",Table1[[#This Row],[Previous Marks]]&gt;50,"C1",Table1[[#This Row],[Previous Marks]]&gt;40,"C2")</f>
        <v>B1</v>
      </c>
      <c r="F445">
        <v>78</v>
      </c>
    </row>
    <row r="446" spans="2:6" x14ac:dyDescent="0.3">
      <c r="B446">
        <v>72</v>
      </c>
      <c r="C446" t="str" cm="1">
        <f t="array" ref="C446">_xlfn.IFS(B446&gt;90,"A1",B446&gt;80,"A2",B446&gt;70,"B1",B446&gt;60,"B2",B446&gt;50,"C1",B446&gt;40,"C2")</f>
        <v>B1</v>
      </c>
      <c r="D446">
        <v>86</v>
      </c>
      <c r="E446" t="str" cm="1">
        <f t="array" ref="E446">_xlfn.IFS(Table1[[#This Row],[Previous Marks]]&gt;90,"A1",Table1[[#This Row],[Previous Marks]]&gt;80,"A2",Table1[[#This Row],[Previous Marks]]&gt;70,"B1",Table1[[#This Row],[Previous Marks]]&gt;60,"B2",Table1[[#This Row],[Previous Marks]]&gt;50,"C1",Table1[[#This Row],[Previous Marks]]&gt;40,"C2")</f>
        <v>A2</v>
      </c>
      <c r="F446">
        <v>85</v>
      </c>
    </row>
    <row r="447" spans="2:6" x14ac:dyDescent="0.3">
      <c r="B447">
        <v>88</v>
      </c>
      <c r="C447" t="str" cm="1">
        <f t="array" ref="C447">_xlfn.IFS(B447&gt;90,"A1",B447&gt;80,"A2",B447&gt;70,"B1",B447&gt;60,"B2",B447&gt;50,"C1",B447&gt;40,"C2")</f>
        <v>A2</v>
      </c>
      <c r="D447">
        <v>65</v>
      </c>
      <c r="E447" t="str" cm="1">
        <f t="array" ref="E447">_xlfn.IFS(Table1[[#This Row],[Previous Marks]]&gt;90,"A1",Table1[[#This Row],[Previous Marks]]&gt;80,"A2",Table1[[#This Row],[Previous Marks]]&gt;70,"B1",Table1[[#This Row],[Previous Marks]]&gt;60,"B2",Table1[[#This Row],[Previous Marks]]&gt;50,"C1",Table1[[#This Row],[Previous Marks]]&gt;40,"C2")</f>
        <v>B2</v>
      </c>
      <c r="F447">
        <v>95</v>
      </c>
    </row>
    <row r="448" spans="2:6" x14ac:dyDescent="0.3">
      <c r="B448">
        <v>78</v>
      </c>
      <c r="C448" t="str" cm="1">
        <f t="array" ref="C448">_xlfn.IFS(B448&gt;90,"A1",B448&gt;80,"A2",B448&gt;70,"B1",B448&gt;60,"B2",B448&gt;50,"C1",B448&gt;40,"C2")</f>
        <v>B1</v>
      </c>
      <c r="D448">
        <v>60</v>
      </c>
      <c r="E448" t="str" cm="1">
        <f t="array" ref="E448">_xlfn.IFS(Table1[[#This Row],[Previous Marks]]&gt;90,"A1",Table1[[#This Row],[Previous Marks]]&gt;80,"A2",Table1[[#This Row],[Previous Marks]]&gt;70,"B1",Table1[[#This Row],[Previous Marks]]&gt;60,"B2",Table1[[#This Row],[Previous Marks]]&gt;50,"C1",Table1[[#This Row],[Previous Marks]]&gt;40,"C2")</f>
        <v>C1</v>
      </c>
      <c r="F448">
        <v>70</v>
      </c>
    </row>
    <row r="449" spans="2:6" x14ac:dyDescent="0.3">
      <c r="B449">
        <v>87</v>
      </c>
      <c r="C449" t="str" cm="1">
        <f t="array" ref="C449">_xlfn.IFS(B449&gt;90,"A1",B449&gt;80,"A2",B449&gt;70,"B1",B449&gt;60,"B2",B449&gt;50,"C1",B449&gt;40,"C2")</f>
        <v>A2</v>
      </c>
      <c r="D449">
        <v>60</v>
      </c>
      <c r="E449" t="str" cm="1">
        <f t="array" ref="E449">_xlfn.IFS(Table1[[#This Row],[Previous Marks]]&gt;90,"A1",Table1[[#This Row],[Previous Marks]]&gt;80,"A2",Table1[[#This Row],[Previous Marks]]&gt;70,"B1",Table1[[#This Row],[Previous Marks]]&gt;60,"B2",Table1[[#This Row],[Previous Marks]]&gt;50,"C1",Table1[[#This Row],[Previous Marks]]&gt;40,"C2")</f>
        <v>C1</v>
      </c>
      <c r="F449">
        <v>91</v>
      </c>
    </row>
    <row r="450" spans="2:6" x14ac:dyDescent="0.3">
      <c r="B450">
        <v>80</v>
      </c>
      <c r="C450" t="str" cm="1">
        <f t="array" ref="C450">_xlfn.IFS(B450&gt;90,"A1",B450&gt;80,"A2",B450&gt;70,"B1",B450&gt;60,"B2",B450&gt;50,"C1",B450&gt;40,"C2")</f>
        <v>B1</v>
      </c>
      <c r="D450">
        <v>88</v>
      </c>
      <c r="E450" t="str" cm="1">
        <f t="array" ref="E450">_xlfn.IFS(Table1[[#This Row],[Previous Marks]]&gt;90,"A1",Table1[[#This Row],[Previous Marks]]&gt;80,"A2",Table1[[#This Row],[Previous Marks]]&gt;70,"B1",Table1[[#This Row],[Previous Marks]]&gt;60,"B2",Table1[[#This Row],[Previous Marks]]&gt;50,"C1",Table1[[#This Row],[Previous Marks]]&gt;40,"C2")</f>
        <v>A2</v>
      </c>
      <c r="F450">
        <v>82</v>
      </c>
    </row>
    <row r="451" spans="2:6" x14ac:dyDescent="0.3">
      <c r="B451">
        <v>85</v>
      </c>
      <c r="C451" t="str" cm="1">
        <f t="array" ref="C451">_xlfn.IFS(B451&gt;90,"A1",B451&gt;80,"A2",B451&gt;70,"B1",B451&gt;60,"B2",B451&gt;50,"C1",B451&gt;40,"C2")</f>
        <v>A2</v>
      </c>
      <c r="D451">
        <v>60</v>
      </c>
      <c r="E451" t="str" cm="1">
        <f t="array" ref="E451">_xlfn.IFS(Table1[[#This Row],[Previous Marks]]&gt;90,"A1",Table1[[#This Row],[Previous Marks]]&gt;80,"A2",Table1[[#This Row],[Previous Marks]]&gt;70,"B1",Table1[[#This Row],[Previous Marks]]&gt;60,"B2",Table1[[#This Row],[Previous Marks]]&gt;50,"C1",Table1[[#This Row],[Previous Marks]]&gt;40,"C2")</f>
        <v>C1</v>
      </c>
      <c r="F451">
        <v>85</v>
      </c>
    </row>
    <row r="452" spans="2:6" x14ac:dyDescent="0.3">
      <c r="B452">
        <v>68</v>
      </c>
      <c r="C452" t="str" cm="1">
        <f t="array" ref="C452">_xlfn.IFS(B452&gt;90,"A1",B452&gt;80,"A2",B452&gt;70,"B1",B452&gt;60,"B2",B452&gt;50,"C1",B452&gt;40,"C2")</f>
        <v>B2</v>
      </c>
      <c r="D452">
        <v>82</v>
      </c>
      <c r="E452" t="str" cm="1">
        <f t="array" ref="E452">_xlfn.IFS(Table1[[#This Row],[Previous Marks]]&gt;90,"A1",Table1[[#This Row],[Previous Marks]]&gt;80,"A2",Table1[[#This Row],[Previous Marks]]&gt;70,"B1",Table1[[#This Row],[Previous Marks]]&gt;60,"B2",Table1[[#This Row],[Previous Marks]]&gt;50,"C1",Table1[[#This Row],[Previous Marks]]&gt;40,"C2")</f>
        <v>A2</v>
      </c>
      <c r="F452">
        <v>91</v>
      </c>
    </row>
    <row r="453" spans="2:6" x14ac:dyDescent="0.3">
      <c r="B453">
        <v>92</v>
      </c>
      <c r="C453" t="str" cm="1">
        <f t="array" ref="C453">_xlfn.IFS(B453&gt;90,"A1",B453&gt;80,"A2",B453&gt;70,"B1",B453&gt;60,"B2",B453&gt;50,"C1",B453&gt;40,"C2")</f>
        <v>A1</v>
      </c>
      <c r="D453">
        <v>86</v>
      </c>
      <c r="E453" t="str" cm="1">
        <f t="array" ref="E453">_xlfn.IFS(Table1[[#This Row],[Previous Marks]]&gt;90,"A1",Table1[[#This Row],[Previous Marks]]&gt;80,"A2",Table1[[#This Row],[Previous Marks]]&gt;70,"B1",Table1[[#This Row],[Previous Marks]]&gt;60,"B2",Table1[[#This Row],[Previous Marks]]&gt;50,"C1",Table1[[#This Row],[Previous Marks]]&gt;40,"C2")</f>
        <v>A2</v>
      </c>
      <c r="F453">
        <v>92</v>
      </c>
    </row>
    <row r="454" spans="2:6" x14ac:dyDescent="0.3">
      <c r="B454">
        <v>90</v>
      </c>
      <c r="C454" t="str" cm="1">
        <f t="array" ref="C454">_xlfn.IFS(B454&gt;90,"A1",B454&gt;80,"A2",B454&gt;70,"B1",B454&gt;60,"B2",B454&gt;50,"C1",B454&gt;40,"C2")</f>
        <v>A2</v>
      </c>
      <c r="D454">
        <v>85</v>
      </c>
      <c r="E454" t="str" cm="1">
        <f t="array" ref="E454">_xlfn.IFS(Table1[[#This Row],[Previous Marks]]&gt;90,"A1",Table1[[#This Row],[Previous Marks]]&gt;80,"A2",Table1[[#This Row],[Previous Marks]]&gt;70,"B1",Table1[[#This Row],[Previous Marks]]&gt;60,"B2",Table1[[#This Row],[Previous Marks]]&gt;50,"C1",Table1[[#This Row],[Previous Marks]]&gt;40,"C2")</f>
        <v>A2</v>
      </c>
      <c r="F454">
        <v>85</v>
      </c>
    </row>
    <row r="455" spans="2:6" x14ac:dyDescent="0.3">
      <c r="B455">
        <v>72</v>
      </c>
      <c r="C455" t="str" cm="1">
        <f t="array" ref="C455">_xlfn.IFS(B455&gt;90,"A1",B455&gt;80,"A2",B455&gt;70,"B1",B455&gt;60,"B2",B455&gt;50,"C1",B455&gt;40,"C2")</f>
        <v>B1</v>
      </c>
      <c r="D455">
        <v>70</v>
      </c>
      <c r="E455" t="str" cm="1">
        <f t="array" ref="E455">_xlfn.IFS(Table1[[#This Row],[Previous Marks]]&gt;90,"A1",Table1[[#This Row],[Previous Marks]]&gt;80,"A2",Table1[[#This Row],[Previous Marks]]&gt;70,"B1",Table1[[#This Row],[Previous Marks]]&gt;60,"B2",Table1[[#This Row],[Previous Marks]]&gt;50,"C1",Table1[[#This Row],[Previous Marks]]&gt;40,"C2")</f>
        <v>B2</v>
      </c>
      <c r="F455">
        <v>90</v>
      </c>
    </row>
    <row r="456" spans="2:6" x14ac:dyDescent="0.3">
      <c r="B456">
        <v>80</v>
      </c>
      <c r="C456" t="str" cm="1">
        <f t="array" ref="C456">_xlfn.IFS(B456&gt;90,"A1",B456&gt;80,"A2",B456&gt;70,"B1",B456&gt;60,"B2",B456&gt;50,"C1",B456&gt;40,"C2")</f>
        <v>B1</v>
      </c>
      <c r="D456">
        <v>77</v>
      </c>
      <c r="E456" t="str" cm="1">
        <f t="array" ref="E456">_xlfn.IFS(Table1[[#This Row],[Previous Marks]]&gt;90,"A1",Table1[[#This Row],[Previous Marks]]&gt;80,"A2",Table1[[#This Row],[Previous Marks]]&gt;70,"B1",Table1[[#This Row],[Previous Marks]]&gt;60,"B2",Table1[[#This Row],[Previous Marks]]&gt;50,"C1",Table1[[#This Row],[Previous Marks]]&gt;40,"C2")</f>
        <v>B1</v>
      </c>
      <c r="F456">
        <v>91</v>
      </c>
    </row>
    <row r="457" spans="2:6" x14ac:dyDescent="0.3">
      <c r="B457">
        <v>88</v>
      </c>
      <c r="C457" t="str" cm="1">
        <f t="array" ref="C457">_xlfn.IFS(B457&gt;90,"A1",B457&gt;80,"A2",B457&gt;70,"B1",B457&gt;60,"B2",B457&gt;50,"C1",B457&gt;40,"C2")</f>
        <v>A2</v>
      </c>
      <c r="D457">
        <v>70</v>
      </c>
      <c r="E457" t="str" cm="1">
        <f t="array" ref="E457">_xlfn.IFS(Table1[[#This Row],[Previous Marks]]&gt;90,"A1",Table1[[#This Row],[Previous Marks]]&gt;80,"A2",Table1[[#This Row],[Previous Marks]]&gt;70,"B1",Table1[[#This Row],[Previous Marks]]&gt;60,"B2",Table1[[#This Row],[Previous Marks]]&gt;50,"C1",Table1[[#This Row],[Previous Marks]]&gt;40,"C2")</f>
        <v>B2</v>
      </c>
      <c r="F457">
        <v>95</v>
      </c>
    </row>
    <row r="458" spans="2:6" x14ac:dyDescent="0.3">
      <c r="B458">
        <v>78</v>
      </c>
      <c r="C458" t="str" cm="1">
        <f t="array" ref="C458">_xlfn.IFS(B458&gt;90,"A1",B458&gt;80,"A2",B458&gt;70,"B1",B458&gt;60,"B2",B458&gt;50,"C1",B458&gt;40,"C2")</f>
        <v>B1</v>
      </c>
      <c r="D458">
        <v>77</v>
      </c>
      <c r="E458" t="str" cm="1">
        <f t="array" ref="E458">_xlfn.IFS(Table1[[#This Row],[Previous Marks]]&gt;90,"A1",Table1[[#This Row],[Previous Marks]]&gt;80,"A2",Table1[[#This Row],[Previous Marks]]&gt;70,"B1",Table1[[#This Row],[Previous Marks]]&gt;60,"B2",Table1[[#This Row],[Previous Marks]]&gt;50,"C1",Table1[[#This Row],[Previous Marks]]&gt;40,"C2")</f>
        <v>B1</v>
      </c>
      <c r="F458">
        <v>95</v>
      </c>
    </row>
    <row r="459" spans="2:6" x14ac:dyDescent="0.3">
      <c r="B459">
        <v>80</v>
      </c>
      <c r="C459" t="str" cm="1">
        <f t="array" ref="C459">_xlfn.IFS(B459&gt;90,"A1",B459&gt;80,"A2",B459&gt;70,"B1",B459&gt;60,"B2",B459&gt;50,"C1",B459&gt;40,"C2")</f>
        <v>B1</v>
      </c>
      <c r="D459">
        <v>88</v>
      </c>
      <c r="E459" t="str" cm="1">
        <f t="array" ref="E459">_xlfn.IFS(Table1[[#This Row],[Previous Marks]]&gt;90,"A1",Table1[[#This Row],[Previous Marks]]&gt;80,"A2",Table1[[#This Row],[Previous Marks]]&gt;70,"B1",Table1[[#This Row],[Previous Marks]]&gt;60,"B2",Table1[[#This Row],[Previous Marks]]&gt;50,"C1",Table1[[#This Row],[Previous Marks]]&gt;40,"C2")</f>
        <v>A2</v>
      </c>
      <c r="F459">
        <v>95</v>
      </c>
    </row>
    <row r="460" spans="2:6" x14ac:dyDescent="0.3">
      <c r="B460">
        <v>78</v>
      </c>
      <c r="C460" t="str" cm="1">
        <f t="array" ref="C460">_xlfn.IFS(B460&gt;90,"A1",B460&gt;80,"A2",B460&gt;70,"B1",B460&gt;60,"B2",B460&gt;50,"C1",B460&gt;40,"C2")</f>
        <v>B1</v>
      </c>
      <c r="D460">
        <v>85</v>
      </c>
      <c r="E460" t="str" cm="1">
        <f t="array" ref="E460">_xlfn.IFS(Table1[[#This Row],[Previous Marks]]&gt;90,"A1",Table1[[#This Row],[Previous Marks]]&gt;80,"A2",Table1[[#This Row],[Previous Marks]]&gt;70,"B1",Table1[[#This Row],[Previous Marks]]&gt;60,"B2",Table1[[#This Row],[Previous Marks]]&gt;50,"C1",Table1[[#This Row],[Previous Marks]]&gt;40,"C2")</f>
        <v>A2</v>
      </c>
      <c r="F460">
        <v>70</v>
      </c>
    </row>
    <row r="461" spans="2:6" x14ac:dyDescent="0.3">
      <c r="B461">
        <v>92</v>
      </c>
      <c r="C461" t="str" cm="1">
        <f t="array" ref="C461">_xlfn.IFS(B461&gt;90,"A1",B461&gt;80,"A2",B461&gt;70,"B1",B461&gt;60,"B2",B461&gt;50,"C1",B461&gt;40,"C2")</f>
        <v>A1</v>
      </c>
      <c r="D461">
        <v>90</v>
      </c>
      <c r="E461" t="str" cm="1">
        <f t="array" ref="E461">_xlfn.IFS(Table1[[#This Row],[Previous Marks]]&gt;90,"A1",Table1[[#This Row],[Previous Marks]]&gt;80,"A2",Table1[[#This Row],[Previous Marks]]&gt;70,"B1",Table1[[#This Row],[Previous Marks]]&gt;60,"B2",Table1[[#This Row],[Previous Marks]]&gt;50,"C1",Table1[[#This Row],[Previous Marks]]&gt;40,"C2")</f>
        <v>A2</v>
      </c>
      <c r="F461">
        <v>85</v>
      </c>
    </row>
    <row r="462" spans="2:6" x14ac:dyDescent="0.3">
      <c r="B462">
        <v>72</v>
      </c>
      <c r="C462" t="str" cm="1">
        <f t="array" ref="C462">_xlfn.IFS(B462&gt;90,"A1",B462&gt;80,"A2",B462&gt;70,"B1",B462&gt;60,"B2",B462&gt;50,"C1",B462&gt;40,"C2")</f>
        <v>B1</v>
      </c>
      <c r="D462">
        <v>77</v>
      </c>
      <c r="E462" t="str" cm="1">
        <f t="array" ref="E462">_xlfn.IFS(Table1[[#This Row],[Previous Marks]]&gt;90,"A1",Table1[[#This Row],[Previous Marks]]&gt;80,"A2",Table1[[#This Row],[Previous Marks]]&gt;70,"B1",Table1[[#This Row],[Previous Marks]]&gt;60,"B2",Table1[[#This Row],[Previous Marks]]&gt;50,"C1",Table1[[#This Row],[Previous Marks]]&gt;40,"C2")</f>
        <v>B1</v>
      </c>
      <c r="F462">
        <v>90</v>
      </c>
    </row>
    <row r="463" spans="2:6" x14ac:dyDescent="0.3">
      <c r="B463">
        <v>85</v>
      </c>
      <c r="C463" t="str" cm="1">
        <f t="array" ref="C463">_xlfn.IFS(B463&gt;90,"A1",B463&gt;80,"A2",B463&gt;70,"B1",B463&gt;60,"B2",B463&gt;50,"C1",B463&gt;40,"C2")</f>
        <v>A2</v>
      </c>
      <c r="D463">
        <v>77</v>
      </c>
      <c r="E463" t="str" cm="1">
        <f t="array" ref="E463">_xlfn.IFS(Table1[[#This Row],[Previous Marks]]&gt;90,"A1",Table1[[#This Row],[Previous Marks]]&gt;80,"A2",Table1[[#This Row],[Previous Marks]]&gt;70,"B1",Table1[[#This Row],[Previous Marks]]&gt;60,"B2",Table1[[#This Row],[Previous Marks]]&gt;50,"C1",Table1[[#This Row],[Previous Marks]]&gt;40,"C2")</f>
        <v>B1</v>
      </c>
      <c r="F463">
        <v>91</v>
      </c>
    </row>
    <row r="464" spans="2:6" x14ac:dyDescent="0.3">
      <c r="B464">
        <v>62</v>
      </c>
      <c r="C464" t="str" cm="1">
        <f t="array" ref="C464">_xlfn.IFS(B464&gt;90,"A1",B464&gt;80,"A2",B464&gt;70,"B1",B464&gt;60,"B2",B464&gt;50,"C1",B464&gt;40,"C2")</f>
        <v>B2</v>
      </c>
      <c r="D464">
        <v>78</v>
      </c>
      <c r="E464" t="str" cm="1">
        <f t="array" ref="E464">_xlfn.IFS(Table1[[#This Row],[Previous Marks]]&gt;90,"A1",Table1[[#This Row],[Previous Marks]]&gt;80,"A2",Table1[[#This Row],[Previous Marks]]&gt;70,"B1",Table1[[#This Row],[Previous Marks]]&gt;60,"B2",Table1[[#This Row],[Previous Marks]]&gt;50,"C1",Table1[[#This Row],[Previous Marks]]&gt;40,"C2")</f>
        <v>B1</v>
      </c>
      <c r="F464">
        <v>85</v>
      </c>
    </row>
    <row r="465" spans="2:6" x14ac:dyDescent="0.3">
      <c r="B465">
        <v>92</v>
      </c>
      <c r="C465" t="str" cm="1">
        <f t="array" ref="C465">_xlfn.IFS(B465&gt;90,"A1",B465&gt;80,"A2",B465&gt;70,"B1",B465&gt;60,"B2",B465&gt;50,"C1",B465&gt;40,"C2")</f>
        <v>A1</v>
      </c>
      <c r="D465">
        <v>88</v>
      </c>
      <c r="E465" t="str" cm="1">
        <f t="array" ref="E465">_xlfn.IFS(Table1[[#This Row],[Previous Marks]]&gt;90,"A1",Table1[[#This Row],[Previous Marks]]&gt;80,"A2",Table1[[#This Row],[Previous Marks]]&gt;70,"B1",Table1[[#This Row],[Previous Marks]]&gt;60,"B2",Table1[[#This Row],[Previous Marks]]&gt;50,"C1",Table1[[#This Row],[Previous Marks]]&gt;40,"C2")</f>
        <v>A2</v>
      </c>
      <c r="F465">
        <v>82</v>
      </c>
    </row>
    <row r="466" spans="2:6" x14ac:dyDescent="0.3">
      <c r="B466">
        <v>78</v>
      </c>
      <c r="C466" t="str" cm="1">
        <f t="array" ref="C466">_xlfn.IFS(B466&gt;90,"A1",B466&gt;80,"A2",B466&gt;70,"B1",B466&gt;60,"B2",B466&gt;50,"C1",B466&gt;40,"C2")</f>
        <v>B1</v>
      </c>
      <c r="D466">
        <v>77.598759048603924</v>
      </c>
      <c r="E466" t="str" cm="1">
        <f t="array" ref="E466">_xlfn.IFS(Table1[[#This Row],[Previous Marks]]&gt;90,"A1",Table1[[#This Row],[Previous Marks]]&gt;80,"A2",Table1[[#This Row],[Previous Marks]]&gt;70,"B1",Table1[[#This Row],[Previous Marks]]&gt;60,"B2",Table1[[#This Row],[Previous Marks]]&gt;50,"C1",Table1[[#This Row],[Previous Marks]]&gt;40,"C2")</f>
        <v>B1</v>
      </c>
      <c r="F466">
        <v>78</v>
      </c>
    </row>
    <row r="467" spans="2:6" x14ac:dyDescent="0.3">
      <c r="B467">
        <v>62</v>
      </c>
      <c r="C467" t="str" cm="1">
        <f t="array" ref="C467">_xlfn.IFS(B467&gt;90,"A1",B467&gt;80,"A2",B467&gt;70,"B1",B467&gt;60,"B2",B467&gt;50,"C1",B467&gt;40,"C2")</f>
        <v>B2</v>
      </c>
      <c r="D467">
        <v>60</v>
      </c>
      <c r="E467" t="str" cm="1">
        <f t="array" ref="E467">_xlfn.IFS(Table1[[#This Row],[Previous Marks]]&gt;90,"A1",Table1[[#This Row],[Previous Marks]]&gt;80,"A2",Table1[[#This Row],[Previous Marks]]&gt;70,"B1",Table1[[#This Row],[Previous Marks]]&gt;60,"B2",Table1[[#This Row],[Previous Marks]]&gt;50,"C1",Table1[[#This Row],[Previous Marks]]&gt;40,"C2")</f>
        <v>C1</v>
      </c>
      <c r="F467">
        <v>70</v>
      </c>
    </row>
    <row r="468" spans="2:6" x14ac:dyDescent="0.3">
      <c r="B468">
        <v>92</v>
      </c>
      <c r="C468" t="str" cm="1">
        <f t="array" ref="C468">_xlfn.IFS(B468&gt;90,"A1",B468&gt;80,"A2",B468&gt;70,"B1",B468&gt;60,"B2",B468&gt;50,"C1",B468&gt;40,"C2")</f>
        <v>A1</v>
      </c>
      <c r="D468">
        <v>70</v>
      </c>
      <c r="E468" t="str" cm="1">
        <f t="array" ref="E468">_xlfn.IFS(Table1[[#This Row],[Previous Marks]]&gt;90,"A1",Table1[[#This Row],[Previous Marks]]&gt;80,"A2",Table1[[#This Row],[Previous Marks]]&gt;70,"B1",Table1[[#This Row],[Previous Marks]]&gt;60,"B2",Table1[[#This Row],[Previous Marks]]&gt;50,"C1",Table1[[#This Row],[Previous Marks]]&gt;40,"C2")</f>
        <v>B2</v>
      </c>
      <c r="F468">
        <v>88</v>
      </c>
    </row>
    <row r="469" spans="2:6" x14ac:dyDescent="0.3">
      <c r="B469">
        <v>72</v>
      </c>
      <c r="C469" t="str" cm="1">
        <f t="array" ref="C469">_xlfn.IFS(B469&gt;90,"A1",B469&gt;80,"A2",B469&gt;70,"B1",B469&gt;60,"B2",B469&gt;50,"C1",B469&gt;40,"C2")</f>
        <v>B1</v>
      </c>
      <c r="D469">
        <v>77</v>
      </c>
      <c r="E469" t="str" cm="1">
        <f t="array" ref="E469">_xlfn.IFS(Table1[[#This Row],[Previous Marks]]&gt;90,"A1",Table1[[#This Row],[Previous Marks]]&gt;80,"A2",Table1[[#This Row],[Previous Marks]]&gt;70,"B1",Table1[[#This Row],[Previous Marks]]&gt;60,"B2",Table1[[#This Row],[Previous Marks]]&gt;50,"C1",Table1[[#This Row],[Previous Marks]]&gt;40,"C2")</f>
        <v>B1</v>
      </c>
      <c r="F469">
        <v>78</v>
      </c>
    </row>
    <row r="470" spans="2:6" x14ac:dyDescent="0.3">
      <c r="B470">
        <v>68</v>
      </c>
      <c r="C470" t="str" cm="1">
        <f t="array" ref="C470">_xlfn.IFS(B470&gt;90,"A1",B470&gt;80,"A2",B470&gt;70,"B1",B470&gt;60,"B2",B470&gt;50,"C1",B470&gt;40,"C2")</f>
        <v>B2</v>
      </c>
      <c r="D470">
        <v>78</v>
      </c>
      <c r="E470" t="str" cm="1">
        <f t="array" ref="E470">_xlfn.IFS(Table1[[#This Row],[Previous Marks]]&gt;90,"A1",Table1[[#This Row],[Previous Marks]]&gt;80,"A2",Table1[[#This Row],[Previous Marks]]&gt;70,"B1",Table1[[#This Row],[Previous Marks]]&gt;60,"B2",Table1[[#This Row],[Previous Marks]]&gt;50,"C1",Table1[[#This Row],[Previous Marks]]&gt;40,"C2")</f>
        <v>B1</v>
      </c>
      <c r="F470">
        <v>82</v>
      </c>
    </row>
    <row r="471" spans="2:6" x14ac:dyDescent="0.3">
      <c r="B471">
        <v>72</v>
      </c>
      <c r="C471" t="str" cm="1">
        <f t="array" ref="C471">_xlfn.IFS(B471&gt;90,"A1",B471&gt;80,"A2",B471&gt;70,"B1",B471&gt;60,"B2",B471&gt;50,"C1",B471&gt;40,"C2")</f>
        <v>B1</v>
      </c>
      <c r="D471">
        <v>88</v>
      </c>
      <c r="E471" t="str" cm="1">
        <f t="array" ref="E471">_xlfn.IFS(Table1[[#This Row],[Previous Marks]]&gt;90,"A1",Table1[[#This Row],[Previous Marks]]&gt;80,"A2",Table1[[#This Row],[Previous Marks]]&gt;70,"B1",Table1[[#This Row],[Previous Marks]]&gt;60,"B2",Table1[[#This Row],[Previous Marks]]&gt;50,"C1",Table1[[#This Row],[Previous Marks]]&gt;40,"C2")</f>
        <v>A2</v>
      </c>
      <c r="F471">
        <v>95</v>
      </c>
    </row>
    <row r="472" spans="2:6" x14ac:dyDescent="0.3">
      <c r="B472">
        <v>88</v>
      </c>
      <c r="C472" t="str" cm="1">
        <f t="array" ref="C472">_xlfn.IFS(B472&gt;90,"A1",B472&gt;80,"A2",B472&gt;70,"B1",B472&gt;60,"B2",B472&gt;50,"C1",B472&gt;40,"C2")</f>
        <v>A2</v>
      </c>
      <c r="D472">
        <v>86</v>
      </c>
      <c r="E472" t="str" cm="1">
        <f t="array" ref="E472">_xlfn.IFS(Table1[[#This Row],[Previous Marks]]&gt;90,"A1",Table1[[#This Row],[Previous Marks]]&gt;80,"A2",Table1[[#This Row],[Previous Marks]]&gt;70,"B1",Table1[[#This Row],[Previous Marks]]&gt;60,"B2",Table1[[#This Row],[Previous Marks]]&gt;50,"C1",Table1[[#This Row],[Previous Marks]]&gt;40,"C2")</f>
        <v>A2</v>
      </c>
      <c r="F472">
        <v>90</v>
      </c>
    </row>
    <row r="473" spans="2:6" x14ac:dyDescent="0.3">
      <c r="B473">
        <v>62</v>
      </c>
      <c r="C473" t="str" cm="1">
        <f t="array" ref="C473">_xlfn.IFS(B473&gt;90,"A1",B473&gt;80,"A2",B473&gt;70,"B1",B473&gt;60,"B2",B473&gt;50,"C1",B473&gt;40,"C2")</f>
        <v>B2</v>
      </c>
      <c r="D473">
        <v>77</v>
      </c>
      <c r="E473" t="str" cm="1">
        <f t="array" ref="E473">_xlfn.IFS(Table1[[#This Row],[Previous Marks]]&gt;90,"A1",Table1[[#This Row],[Previous Marks]]&gt;80,"A2",Table1[[#This Row],[Previous Marks]]&gt;70,"B1",Table1[[#This Row],[Previous Marks]]&gt;60,"B2",Table1[[#This Row],[Previous Marks]]&gt;50,"C1",Table1[[#This Row],[Previous Marks]]&gt;40,"C2")</f>
        <v>B1</v>
      </c>
      <c r="F473">
        <v>95</v>
      </c>
    </row>
    <row r="474" spans="2:6" x14ac:dyDescent="0.3">
      <c r="B474">
        <v>87</v>
      </c>
      <c r="C474" t="str" cm="1">
        <f t="array" ref="C474">_xlfn.IFS(B474&gt;90,"A1",B474&gt;80,"A2",B474&gt;70,"B1",B474&gt;60,"B2",B474&gt;50,"C1",B474&gt;40,"C2")</f>
        <v>A2</v>
      </c>
      <c r="D474">
        <v>86</v>
      </c>
      <c r="E474" t="str" cm="1">
        <f t="array" ref="E474">_xlfn.IFS(Table1[[#This Row],[Previous Marks]]&gt;90,"A1",Table1[[#This Row],[Previous Marks]]&gt;80,"A2",Table1[[#This Row],[Previous Marks]]&gt;70,"B1",Table1[[#This Row],[Previous Marks]]&gt;60,"B2",Table1[[#This Row],[Previous Marks]]&gt;50,"C1",Table1[[#This Row],[Previous Marks]]&gt;40,"C2")</f>
        <v>A2</v>
      </c>
      <c r="F474">
        <v>70</v>
      </c>
    </row>
    <row r="475" spans="2:6" x14ac:dyDescent="0.3">
      <c r="B475">
        <v>90</v>
      </c>
      <c r="C475" t="str" cm="1">
        <f t="array" ref="C475">_xlfn.IFS(B475&gt;90,"A1",B475&gt;80,"A2",B475&gt;70,"B1",B475&gt;60,"B2",B475&gt;50,"C1",B475&gt;40,"C2")</f>
        <v>A2</v>
      </c>
      <c r="D475">
        <v>60</v>
      </c>
      <c r="E475" t="str" cm="1">
        <f t="array" ref="E475">_xlfn.IFS(Table1[[#This Row],[Previous Marks]]&gt;90,"A1",Table1[[#This Row],[Previous Marks]]&gt;80,"A2",Table1[[#This Row],[Previous Marks]]&gt;70,"B1",Table1[[#This Row],[Previous Marks]]&gt;60,"B2",Table1[[#This Row],[Previous Marks]]&gt;50,"C1",Table1[[#This Row],[Previous Marks]]&gt;40,"C2")</f>
        <v>C1</v>
      </c>
      <c r="F475">
        <v>88</v>
      </c>
    </row>
    <row r="476" spans="2:6" x14ac:dyDescent="0.3">
      <c r="B476">
        <v>85</v>
      </c>
      <c r="C476" t="str" cm="1">
        <f t="array" ref="C476">_xlfn.IFS(B476&gt;90,"A1",B476&gt;80,"A2",B476&gt;70,"B1",B476&gt;60,"B2",B476&gt;50,"C1",B476&gt;40,"C2")</f>
        <v>A2</v>
      </c>
      <c r="D476">
        <v>65</v>
      </c>
      <c r="E476" t="str" cm="1">
        <f t="array" ref="E476">_xlfn.IFS(Table1[[#This Row],[Previous Marks]]&gt;90,"A1",Table1[[#This Row],[Previous Marks]]&gt;80,"A2",Table1[[#This Row],[Previous Marks]]&gt;70,"B1",Table1[[#This Row],[Previous Marks]]&gt;60,"B2",Table1[[#This Row],[Previous Marks]]&gt;50,"C1",Table1[[#This Row],[Previous Marks]]&gt;40,"C2")</f>
        <v>B2</v>
      </c>
      <c r="F476">
        <v>78</v>
      </c>
    </row>
    <row r="477" spans="2:6" x14ac:dyDescent="0.3">
      <c r="B477">
        <v>72</v>
      </c>
      <c r="C477" t="str" cm="1">
        <f t="array" ref="C477">_xlfn.IFS(B477&gt;90,"A1",B477&gt;80,"A2",B477&gt;70,"B1",B477&gt;60,"B2",B477&gt;50,"C1",B477&gt;40,"C2")</f>
        <v>B1</v>
      </c>
      <c r="D477">
        <v>85</v>
      </c>
      <c r="E477" t="str" cm="1">
        <f t="array" ref="E477">_xlfn.IFS(Table1[[#This Row],[Previous Marks]]&gt;90,"A1",Table1[[#This Row],[Previous Marks]]&gt;80,"A2",Table1[[#This Row],[Previous Marks]]&gt;70,"B1",Table1[[#This Row],[Previous Marks]]&gt;60,"B2",Table1[[#This Row],[Previous Marks]]&gt;50,"C1",Table1[[#This Row],[Previous Marks]]&gt;40,"C2")</f>
        <v>A2</v>
      </c>
      <c r="F477">
        <v>70</v>
      </c>
    </row>
    <row r="478" spans="2:6" x14ac:dyDescent="0.3">
      <c r="B478">
        <v>62</v>
      </c>
      <c r="C478" t="str" cm="1">
        <f t="array" ref="C478">_xlfn.IFS(B478&gt;90,"A1",B478&gt;80,"A2",B478&gt;70,"B1",B478&gt;60,"B2",B478&gt;50,"C1",B478&gt;40,"C2")</f>
        <v>B2</v>
      </c>
      <c r="D478">
        <v>86</v>
      </c>
      <c r="E478" t="str" cm="1">
        <f t="array" ref="E478">_xlfn.IFS(Table1[[#This Row],[Previous Marks]]&gt;90,"A1",Table1[[#This Row],[Previous Marks]]&gt;80,"A2",Table1[[#This Row],[Previous Marks]]&gt;70,"B1",Table1[[#This Row],[Previous Marks]]&gt;60,"B2",Table1[[#This Row],[Previous Marks]]&gt;50,"C1",Table1[[#This Row],[Previous Marks]]&gt;40,"C2")</f>
        <v>A2</v>
      </c>
      <c r="F478">
        <v>90</v>
      </c>
    </row>
    <row r="479" spans="2:6" x14ac:dyDescent="0.3">
      <c r="B479">
        <v>90</v>
      </c>
      <c r="C479" t="str" cm="1">
        <f t="array" ref="C479">_xlfn.IFS(B479&gt;90,"A1",B479&gt;80,"A2",B479&gt;70,"B1",B479&gt;60,"B2",B479&gt;50,"C1",B479&gt;40,"C2")</f>
        <v>A2</v>
      </c>
      <c r="D479">
        <v>65</v>
      </c>
      <c r="E479" t="str" cm="1">
        <f t="array" ref="E479">_xlfn.IFS(Table1[[#This Row],[Previous Marks]]&gt;90,"A1",Table1[[#This Row],[Previous Marks]]&gt;80,"A2",Table1[[#This Row],[Previous Marks]]&gt;70,"B1",Table1[[#This Row],[Previous Marks]]&gt;60,"B2",Table1[[#This Row],[Previous Marks]]&gt;50,"C1",Table1[[#This Row],[Previous Marks]]&gt;40,"C2")</f>
        <v>B2</v>
      </c>
      <c r="F479">
        <v>78</v>
      </c>
    </row>
    <row r="480" spans="2:6" x14ac:dyDescent="0.3">
      <c r="B480">
        <v>88</v>
      </c>
      <c r="C480" t="str" cm="1">
        <f t="array" ref="C480">_xlfn.IFS(B480&gt;90,"A1",B480&gt;80,"A2",B480&gt;70,"B1",B480&gt;60,"B2",B480&gt;50,"C1",B480&gt;40,"C2")</f>
        <v>A2</v>
      </c>
      <c r="D480">
        <v>65</v>
      </c>
      <c r="E480" t="str" cm="1">
        <f t="array" ref="E480">_xlfn.IFS(Table1[[#This Row],[Previous Marks]]&gt;90,"A1",Table1[[#This Row],[Previous Marks]]&gt;80,"A2",Table1[[#This Row],[Previous Marks]]&gt;70,"B1",Table1[[#This Row],[Previous Marks]]&gt;60,"B2",Table1[[#This Row],[Previous Marks]]&gt;50,"C1",Table1[[#This Row],[Previous Marks]]&gt;40,"C2")</f>
        <v>B2</v>
      </c>
      <c r="F480">
        <v>82</v>
      </c>
    </row>
    <row r="481" spans="2:6" x14ac:dyDescent="0.3">
      <c r="B481">
        <v>78</v>
      </c>
      <c r="C481" t="str" cm="1">
        <f t="array" ref="C481">_xlfn.IFS(B481&gt;90,"A1",B481&gt;80,"A2",B481&gt;70,"B1",B481&gt;60,"B2",B481&gt;50,"C1",B481&gt;40,"C2")</f>
        <v>B1</v>
      </c>
      <c r="D481">
        <v>70</v>
      </c>
      <c r="E481" t="str" cm="1">
        <f t="array" ref="E481">_xlfn.IFS(Table1[[#This Row],[Previous Marks]]&gt;90,"A1",Table1[[#This Row],[Previous Marks]]&gt;80,"A2",Table1[[#This Row],[Previous Marks]]&gt;70,"B1",Table1[[#This Row],[Previous Marks]]&gt;60,"B2",Table1[[#This Row],[Previous Marks]]&gt;50,"C1",Table1[[#This Row],[Previous Marks]]&gt;40,"C2")</f>
        <v>B2</v>
      </c>
      <c r="F481">
        <v>95</v>
      </c>
    </row>
    <row r="482" spans="2:6" x14ac:dyDescent="0.3">
      <c r="B482">
        <v>85</v>
      </c>
      <c r="C482" t="str" cm="1">
        <f t="array" ref="C482">_xlfn.IFS(B482&gt;90,"A1",B482&gt;80,"A2",B482&gt;70,"B1",B482&gt;60,"B2",B482&gt;50,"C1",B482&gt;40,"C2")</f>
        <v>A2</v>
      </c>
      <c r="D482">
        <v>70</v>
      </c>
      <c r="E482" t="str" cm="1">
        <f t="array" ref="E482">_xlfn.IFS(Table1[[#This Row],[Previous Marks]]&gt;90,"A1",Table1[[#This Row],[Previous Marks]]&gt;80,"A2",Table1[[#This Row],[Previous Marks]]&gt;70,"B1",Table1[[#This Row],[Previous Marks]]&gt;60,"B2",Table1[[#This Row],[Previous Marks]]&gt;50,"C1",Table1[[#This Row],[Previous Marks]]&gt;40,"C2")</f>
        <v>B2</v>
      </c>
      <c r="F482">
        <v>85</v>
      </c>
    </row>
    <row r="483" spans="2:6" x14ac:dyDescent="0.3">
      <c r="B483">
        <v>80</v>
      </c>
      <c r="C483" t="str" cm="1">
        <f t="array" ref="C483">_xlfn.IFS(B483&gt;90,"A1",B483&gt;80,"A2",B483&gt;70,"B1",B483&gt;60,"B2",B483&gt;50,"C1",B483&gt;40,"C2")</f>
        <v>B1</v>
      </c>
      <c r="D483">
        <v>82</v>
      </c>
      <c r="E483" t="str" cm="1">
        <f t="array" ref="E483">_xlfn.IFS(Table1[[#This Row],[Previous Marks]]&gt;90,"A1",Table1[[#This Row],[Previous Marks]]&gt;80,"A2",Table1[[#This Row],[Previous Marks]]&gt;70,"B1",Table1[[#This Row],[Previous Marks]]&gt;60,"B2",Table1[[#This Row],[Previous Marks]]&gt;50,"C1",Table1[[#This Row],[Previous Marks]]&gt;40,"C2")</f>
        <v>A2</v>
      </c>
      <c r="F483">
        <v>85</v>
      </c>
    </row>
    <row r="484" spans="2:6" x14ac:dyDescent="0.3">
      <c r="B484">
        <v>85</v>
      </c>
      <c r="C484" t="str" cm="1">
        <f t="array" ref="C484">_xlfn.IFS(B484&gt;90,"A1",B484&gt;80,"A2",B484&gt;70,"B1",B484&gt;60,"B2",B484&gt;50,"C1",B484&gt;40,"C2")</f>
        <v>A2</v>
      </c>
      <c r="D484">
        <v>60</v>
      </c>
      <c r="E484" t="str" cm="1">
        <f t="array" ref="E484">_xlfn.IFS(Table1[[#This Row],[Previous Marks]]&gt;90,"A1",Table1[[#This Row],[Previous Marks]]&gt;80,"A2",Table1[[#This Row],[Previous Marks]]&gt;70,"B1",Table1[[#This Row],[Previous Marks]]&gt;60,"B2",Table1[[#This Row],[Previous Marks]]&gt;50,"C1",Table1[[#This Row],[Previous Marks]]&gt;40,"C2")</f>
        <v>C1</v>
      </c>
      <c r="F484">
        <v>92</v>
      </c>
    </row>
    <row r="485" spans="2:6" x14ac:dyDescent="0.3">
      <c r="B485">
        <v>87</v>
      </c>
      <c r="C485" t="str" cm="1">
        <f t="array" ref="C485">_xlfn.IFS(B485&gt;90,"A1",B485&gt;80,"A2",B485&gt;70,"B1",B485&gt;60,"B2",B485&gt;50,"C1",B485&gt;40,"C2")</f>
        <v>A2</v>
      </c>
      <c r="D485">
        <v>82</v>
      </c>
      <c r="E485" t="str" cm="1">
        <f t="array" ref="E485">_xlfn.IFS(Table1[[#This Row],[Previous Marks]]&gt;90,"A1",Table1[[#This Row],[Previous Marks]]&gt;80,"A2",Table1[[#This Row],[Previous Marks]]&gt;70,"B1",Table1[[#This Row],[Previous Marks]]&gt;60,"B2",Table1[[#This Row],[Previous Marks]]&gt;50,"C1",Table1[[#This Row],[Previous Marks]]&gt;40,"C2")</f>
        <v>A2</v>
      </c>
      <c r="F485">
        <v>88</v>
      </c>
    </row>
    <row r="486" spans="2:6" x14ac:dyDescent="0.3">
      <c r="B486">
        <v>80</v>
      </c>
      <c r="C486" t="str" cm="1">
        <f t="array" ref="C486">_xlfn.IFS(B486&gt;90,"A1",B486&gt;80,"A2",B486&gt;70,"B1",B486&gt;60,"B2",B486&gt;50,"C1",B486&gt;40,"C2")</f>
        <v>B1</v>
      </c>
      <c r="D486">
        <v>77</v>
      </c>
      <c r="E486" t="str" cm="1">
        <f t="array" ref="E486">_xlfn.IFS(Table1[[#This Row],[Previous Marks]]&gt;90,"A1",Table1[[#This Row],[Previous Marks]]&gt;80,"A2",Table1[[#This Row],[Previous Marks]]&gt;70,"B1",Table1[[#This Row],[Previous Marks]]&gt;60,"B2",Table1[[#This Row],[Previous Marks]]&gt;50,"C1",Table1[[#This Row],[Previous Marks]]&gt;40,"C2")</f>
        <v>B1</v>
      </c>
      <c r="F486">
        <v>88</v>
      </c>
    </row>
    <row r="487" spans="2:6" x14ac:dyDescent="0.3">
      <c r="B487">
        <v>80</v>
      </c>
      <c r="C487" t="str" cm="1">
        <f t="array" ref="C487">_xlfn.IFS(B487&gt;90,"A1",B487&gt;80,"A2",B487&gt;70,"B1",B487&gt;60,"B2",B487&gt;50,"C1",B487&gt;40,"C2")</f>
        <v>B1</v>
      </c>
      <c r="D487">
        <v>65</v>
      </c>
      <c r="E487" t="str" cm="1">
        <f t="array" ref="E487">_xlfn.IFS(Table1[[#This Row],[Previous Marks]]&gt;90,"A1",Table1[[#This Row],[Previous Marks]]&gt;80,"A2",Table1[[#This Row],[Previous Marks]]&gt;70,"B1",Table1[[#This Row],[Previous Marks]]&gt;60,"B2",Table1[[#This Row],[Previous Marks]]&gt;50,"C1",Table1[[#This Row],[Previous Marks]]&gt;40,"C2")</f>
        <v>B2</v>
      </c>
      <c r="F487">
        <v>88</v>
      </c>
    </row>
    <row r="488" spans="2:6" x14ac:dyDescent="0.3">
      <c r="B488">
        <v>78</v>
      </c>
      <c r="C488" t="str" cm="1">
        <f t="array" ref="C488">_xlfn.IFS(B488&gt;90,"A1",B488&gt;80,"A2",B488&gt;70,"B1",B488&gt;60,"B2",B488&gt;50,"C1",B488&gt;40,"C2")</f>
        <v>B1</v>
      </c>
      <c r="D488">
        <v>82</v>
      </c>
      <c r="E488" t="str" cm="1">
        <f t="array" ref="E488">_xlfn.IFS(Table1[[#This Row],[Previous Marks]]&gt;90,"A1",Table1[[#This Row],[Previous Marks]]&gt;80,"A2",Table1[[#This Row],[Previous Marks]]&gt;70,"B1",Table1[[#This Row],[Previous Marks]]&gt;60,"B2",Table1[[#This Row],[Previous Marks]]&gt;50,"C1",Table1[[#This Row],[Previous Marks]]&gt;40,"C2")</f>
        <v>A2</v>
      </c>
      <c r="F488">
        <v>95</v>
      </c>
    </row>
    <row r="489" spans="2:6" x14ac:dyDescent="0.3">
      <c r="B489">
        <v>78</v>
      </c>
      <c r="C489" t="str" cm="1">
        <f t="array" ref="C489">_xlfn.IFS(B489&gt;90,"A1",B489&gt;80,"A2",B489&gt;70,"B1",B489&gt;60,"B2",B489&gt;50,"C1",B489&gt;40,"C2")</f>
        <v>B1</v>
      </c>
      <c r="D489">
        <v>60</v>
      </c>
      <c r="E489" t="str" cm="1">
        <f t="array" ref="E489">_xlfn.IFS(Table1[[#This Row],[Previous Marks]]&gt;90,"A1",Table1[[#This Row],[Previous Marks]]&gt;80,"A2",Table1[[#This Row],[Previous Marks]]&gt;70,"B1",Table1[[#This Row],[Previous Marks]]&gt;60,"B2",Table1[[#This Row],[Previous Marks]]&gt;50,"C1",Table1[[#This Row],[Previous Marks]]&gt;40,"C2")</f>
        <v>C1</v>
      </c>
      <c r="F489">
        <v>85</v>
      </c>
    </row>
    <row r="490" spans="2:6" x14ac:dyDescent="0.3">
      <c r="B490">
        <v>80</v>
      </c>
      <c r="C490" t="str" cm="1">
        <f t="array" ref="C490">_xlfn.IFS(B490&gt;90,"A1",B490&gt;80,"A2",B490&gt;70,"B1",B490&gt;60,"B2",B490&gt;50,"C1",B490&gt;40,"C2")</f>
        <v>B1</v>
      </c>
      <c r="D490">
        <v>77</v>
      </c>
      <c r="E490" t="str" cm="1">
        <f t="array" ref="E490">_xlfn.IFS(Table1[[#This Row],[Previous Marks]]&gt;90,"A1",Table1[[#This Row],[Previous Marks]]&gt;80,"A2",Table1[[#This Row],[Previous Marks]]&gt;70,"B1",Table1[[#This Row],[Previous Marks]]&gt;60,"B2",Table1[[#This Row],[Previous Marks]]&gt;50,"C1",Table1[[#This Row],[Previous Marks]]&gt;40,"C2")</f>
        <v>B1</v>
      </c>
      <c r="F490">
        <v>92</v>
      </c>
    </row>
    <row r="491" spans="2:6" x14ac:dyDescent="0.3">
      <c r="B491">
        <v>80</v>
      </c>
      <c r="C491" t="str" cm="1">
        <f t="array" ref="C491">_xlfn.IFS(B491&gt;90,"A1",B491&gt;80,"A2",B491&gt;70,"B1",B491&gt;60,"B2",B491&gt;50,"C1",B491&gt;40,"C2")</f>
        <v>B1</v>
      </c>
      <c r="D491">
        <v>82</v>
      </c>
      <c r="E491" t="str" cm="1">
        <f t="array" ref="E491">_xlfn.IFS(Table1[[#This Row],[Previous Marks]]&gt;90,"A1",Table1[[#This Row],[Previous Marks]]&gt;80,"A2",Table1[[#This Row],[Previous Marks]]&gt;70,"B1",Table1[[#This Row],[Previous Marks]]&gt;60,"B2",Table1[[#This Row],[Previous Marks]]&gt;50,"C1",Table1[[#This Row],[Previous Marks]]&gt;40,"C2")</f>
        <v>A2</v>
      </c>
      <c r="F491">
        <v>85</v>
      </c>
    </row>
    <row r="492" spans="2:6" x14ac:dyDescent="0.3">
      <c r="B492">
        <v>92</v>
      </c>
      <c r="C492" t="str" cm="1">
        <f t="array" ref="C492">_xlfn.IFS(B492&gt;90,"A1",B492&gt;80,"A2",B492&gt;70,"B1",B492&gt;60,"B2",B492&gt;50,"C1",B492&gt;40,"C2")</f>
        <v>A1</v>
      </c>
      <c r="D492">
        <v>88</v>
      </c>
      <c r="E492" t="str" cm="1">
        <f t="array" ref="E492">_xlfn.IFS(Table1[[#This Row],[Previous Marks]]&gt;90,"A1",Table1[[#This Row],[Previous Marks]]&gt;80,"A2",Table1[[#This Row],[Previous Marks]]&gt;70,"B1",Table1[[#This Row],[Previous Marks]]&gt;60,"B2",Table1[[#This Row],[Previous Marks]]&gt;50,"C1",Table1[[#This Row],[Previous Marks]]&gt;40,"C2")</f>
        <v>A2</v>
      </c>
      <c r="F492">
        <v>88</v>
      </c>
    </row>
    <row r="493" spans="2:6" x14ac:dyDescent="0.3">
      <c r="B493">
        <v>92</v>
      </c>
      <c r="C493" t="str" cm="1">
        <f t="array" ref="C493">_xlfn.IFS(B493&gt;90,"A1",B493&gt;80,"A2",B493&gt;70,"B1",B493&gt;60,"B2",B493&gt;50,"C1",B493&gt;40,"C2")</f>
        <v>A1</v>
      </c>
      <c r="D493">
        <v>86</v>
      </c>
      <c r="E493" t="str" cm="1">
        <f t="array" ref="E493">_xlfn.IFS(Table1[[#This Row],[Previous Marks]]&gt;90,"A1",Table1[[#This Row],[Previous Marks]]&gt;80,"A2",Table1[[#This Row],[Previous Marks]]&gt;70,"B1",Table1[[#This Row],[Previous Marks]]&gt;60,"B2",Table1[[#This Row],[Previous Marks]]&gt;50,"C1",Table1[[#This Row],[Previous Marks]]&gt;40,"C2")</f>
        <v>A2</v>
      </c>
      <c r="F493">
        <v>78</v>
      </c>
    </row>
    <row r="494" spans="2:6" x14ac:dyDescent="0.3">
      <c r="B494">
        <v>88</v>
      </c>
      <c r="C494" t="str" cm="1">
        <f t="array" ref="C494">_xlfn.IFS(B494&gt;90,"A1",B494&gt;80,"A2",B494&gt;70,"B1",B494&gt;60,"B2",B494&gt;50,"C1",B494&gt;40,"C2")</f>
        <v>A2</v>
      </c>
      <c r="D494">
        <v>65</v>
      </c>
      <c r="E494" t="str" cm="1">
        <f t="array" ref="E494">_xlfn.IFS(Table1[[#This Row],[Previous Marks]]&gt;90,"A1",Table1[[#This Row],[Previous Marks]]&gt;80,"A2",Table1[[#This Row],[Previous Marks]]&gt;70,"B1",Table1[[#This Row],[Previous Marks]]&gt;60,"B2",Table1[[#This Row],[Previous Marks]]&gt;50,"C1",Table1[[#This Row],[Previous Marks]]&gt;40,"C2")</f>
        <v>B2</v>
      </c>
      <c r="F494">
        <v>90</v>
      </c>
    </row>
    <row r="495" spans="2:6" x14ac:dyDescent="0.3">
      <c r="B495">
        <v>92</v>
      </c>
      <c r="C495" t="str" cm="1">
        <f t="array" ref="C495">_xlfn.IFS(B495&gt;90,"A1",B495&gt;80,"A2",B495&gt;70,"B1",B495&gt;60,"B2",B495&gt;50,"C1",B495&gt;40,"C2")</f>
        <v>A1</v>
      </c>
      <c r="D495">
        <v>85</v>
      </c>
      <c r="E495" t="str" cm="1">
        <f t="array" ref="E495">_xlfn.IFS(Table1[[#This Row],[Previous Marks]]&gt;90,"A1",Table1[[#This Row],[Previous Marks]]&gt;80,"A2",Table1[[#This Row],[Previous Marks]]&gt;70,"B1",Table1[[#This Row],[Previous Marks]]&gt;60,"B2",Table1[[#This Row],[Previous Marks]]&gt;50,"C1",Table1[[#This Row],[Previous Marks]]&gt;40,"C2")</f>
        <v>A2</v>
      </c>
      <c r="F495">
        <v>78</v>
      </c>
    </row>
    <row r="496" spans="2:6" x14ac:dyDescent="0.3">
      <c r="B496">
        <v>80</v>
      </c>
      <c r="C496" t="str" cm="1">
        <f t="array" ref="C496">_xlfn.IFS(B496&gt;90,"A1",B496&gt;80,"A2",B496&gt;70,"B1",B496&gt;60,"B2",B496&gt;50,"C1",B496&gt;40,"C2")</f>
        <v>B1</v>
      </c>
      <c r="D496">
        <v>88</v>
      </c>
      <c r="E496" t="str" cm="1">
        <f t="array" ref="E496">_xlfn.IFS(Table1[[#This Row],[Previous Marks]]&gt;90,"A1",Table1[[#This Row],[Previous Marks]]&gt;80,"A2",Table1[[#This Row],[Previous Marks]]&gt;70,"B1",Table1[[#This Row],[Previous Marks]]&gt;60,"B2",Table1[[#This Row],[Previous Marks]]&gt;50,"C1",Table1[[#This Row],[Previous Marks]]&gt;40,"C2")</f>
        <v>A2</v>
      </c>
      <c r="F496">
        <v>85</v>
      </c>
    </row>
    <row r="497" spans="2:6" x14ac:dyDescent="0.3">
      <c r="B497">
        <v>80.030208333333334</v>
      </c>
      <c r="C497" t="str" cm="1">
        <f t="array" ref="C497">_xlfn.IFS(B497&gt;90,"A1",B497&gt;80,"A2",B497&gt;70,"B1",B497&gt;60,"B2",B497&gt;50,"C1",B497&gt;40,"C2")</f>
        <v>A2</v>
      </c>
      <c r="D497">
        <v>65</v>
      </c>
      <c r="E497" t="str" cm="1">
        <f t="array" ref="E497">_xlfn.IFS(Table1[[#This Row],[Previous Marks]]&gt;90,"A1",Table1[[#This Row],[Previous Marks]]&gt;80,"A2",Table1[[#This Row],[Previous Marks]]&gt;70,"B1",Table1[[#This Row],[Previous Marks]]&gt;60,"B2",Table1[[#This Row],[Previous Marks]]&gt;50,"C1",Table1[[#This Row],[Previous Marks]]&gt;40,"C2")</f>
        <v>B2</v>
      </c>
      <c r="F497">
        <v>92</v>
      </c>
    </row>
    <row r="498" spans="2:6" x14ac:dyDescent="0.3">
      <c r="B498">
        <v>78</v>
      </c>
      <c r="C498" t="str" cm="1">
        <f t="array" ref="C498">_xlfn.IFS(B498&gt;90,"A1",B498&gt;80,"A2",B498&gt;70,"B1",B498&gt;60,"B2",B498&gt;50,"C1",B498&gt;40,"C2")</f>
        <v>B1</v>
      </c>
      <c r="D498">
        <v>82</v>
      </c>
      <c r="E498" t="str" cm="1">
        <f t="array" ref="E498">_xlfn.IFS(Table1[[#This Row],[Previous Marks]]&gt;90,"A1",Table1[[#This Row],[Previous Marks]]&gt;80,"A2",Table1[[#This Row],[Previous Marks]]&gt;70,"B1",Table1[[#This Row],[Previous Marks]]&gt;60,"B2",Table1[[#This Row],[Previous Marks]]&gt;50,"C1",Table1[[#This Row],[Previous Marks]]&gt;40,"C2")</f>
        <v>A2</v>
      </c>
      <c r="F498">
        <v>85</v>
      </c>
    </row>
    <row r="499" spans="2:6" x14ac:dyDescent="0.3">
      <c r="B499">
        <v>87</v>
      </c>
      <c r="C499" t="str" cm="1">
        <f t="array" ref="C499">_xlfn.IFS(B499&gt;90,"A1",B499&gt;80,"A2",B499&gt;70,"B1",B499&gt;60,"B2",B499&gt;50,"C1",B499&gt;40,"C2")</f>
        <v>A2</v>
      </c>
      <c r="D499">
        <v>86</v>
      </c>
      <c r="E499" t="str" cm="1">
        <f t="array" ref="E499">_xlfn.IFS(Table1[[#This Row],[Previous Marks]]&gt;90,"A1",Table1[[#This Row],[Previous Marks]]&gt;80,"A2",Table1[[#This Row],[Previous Marks]]&gt;70,"B1",Table1[[#This Row],[Previous Marks]]&gt;60,"B2",Table1[[#This Row],[Previous Marks]]&gt;50,"C1",Table1[[#This Row],[Previous Marks]]&gt;40,"C2")</f>
        <v>A2</v>
      </c>
      <c r="F499">
        <v>91</v>
      </c>
    </row>
    <row r="500" spans="2:6" x14ac:dyDescent="0.3">
      <c r="B500">
        <v>62</v>
      </c>
      <c r="C500" t="str" cm="1">
        <f t="array" ref="C500">_xlfn.IFS(B500&gt;90,"A1",B500&gt;80,"A2",B500&gt;70,"B1",B500&gt;60,"B2",B500&gt;50,"C1",B500&gt;40,"C2")</f>
        <v>B2</v>
      </c>
      <c r="D500">
        <v>86</v>
      </c>
      <c r="E500" t="str" cm="1">
        <f t="array" ref="E500">_xlfn.IFS(Table1[[#This Row],[Previous Marks]]&gt;90,"A1",Table1[[#This Row],[Previous Marks]]&gt;80,"A2",Table1[[#This Row],[Previous Marks]]&gt;70,"B1",Table1[[#This Row],[Previous Marks]]&gt;60,"B2",Table1[[#This Row],[Previous Marks]]&gt;50,"C1",Table1[[#This Row],[Previous Marks]]&gt;40,"C2")</f>
        <v>A2</v>
      </c>
      <c r="F500">
        <v>82</v>
      </c>
    </row>
    <row r="501" spans="2:6" x14ac:dyDescent="0.3">
      <c r="B501">
        <v>87</v>
      </c>
      <c r="C501" t="str" cm="1">
        <f t="array" ref="C501">_xlfn.IFS(B501&gt;90,"A1",B501&gt;80,"A2",B501&gt;70,"B1",B501&gt;60,"B2",B501&gt;50,"C1",B501&gt;40,"C2")</f>
        <v>A2</v>
      </c>
      <c r="D501">
        <v>65</v>
      </c>
      <c r="E501" t="str" cm="1">
        <f t="array" ref="E501">_xlfn.IFS(Table1[[#This Row],[Previous Marks]]&gt;90,"A1",Table1[[#This Row],[Previous Marks]]&gt;80,"A2",Table1[[#This Row],[Previous Marks]]&gt;70,"B1",Table1[[#This Row],[Previous Marks]]&gt;60,"B2",Table1[[#This Row],[Previous Marks]]&gt;50,"C1",Table1[[#This Row],[Previous Marks]]&gt;40,"C2")</f>
        <v>B2</v>
      </c>
      <c r="F501">
        <v>85</v>
      </c>
    </row>
    <row r="502" spans="2:6" x14ac:dyDescent="0.3">
      <c r="B502">
        <v>90</v>
      </c>
      <c r="C502" t="str" cm="1">
        <f t="array" ref="C502">_xlfn.IFS(B502&gt;90,"A1",B502&gt;80,"A2",B502&gt;70,"B1",B502&gt;60,"B2",B502&gt;50,"C1",B502&gt;40,"C2")</f>
        <v>A2</v>
      </c>
      <c r="D502">
        <v>86</v>
      </c>
      <c r="E502" t="str" cm="1">
        <f t="array" ref="E502">_xlfn.IFS(Table1[[#This Row],[Previous Marks]]&gt;90,"A1",Table1[[#This Row],[Previous Marks]]&gt;80,"A2",Table1[[#This Row],[Previous Marks]]&gt;70,"B1",Table1[[#This Row],[Previous Marks]]&gt;60,"B2",Table1[[#This Row],[Previous Marks]]&gt;50,"C1",Table1[[#This Row],[Previous Marks]]&gt;40,"C2")</f>
        <v>A2</v>
      </c>
      <c r="F502">
        <v>82</v>
      </c>
    </row>
    <row r="503" spans="2:6" x14ac:dyDescent="0.3">
      <c r="B503">
        <v>72</v>
      </c>
      <c r="C503" t="str" cm="1">
        <f t="array" ref="C503">_xlfn.IFS(B503&gt;90,"A1",B503&gt;80,"A2",B503&gt;70,"B1",B503&gt;60,"B2",B503&gt;50,"C1",B503&gt;40,"C2")</f>
        <v>B1</v>
      </c>
      <c r="D503">
        <v>77</v>
      </c>
      <c r="E503" t="str" cm="1">
        <f t="array" ref="E503">_xlfn.IFS(Table1[[#This Row],[Previous Marks]]&gt;90,"A1",Table1[[#This Row],[Previous Marks]]&gt;80,"A2",Table1[[#This Row],[Previous Marks]]&gt;70,"B1",Table1[[#This Row],[Previous Marks]]&gt;60,"B2",Table1[[#This Row],[Previous Marks]]&gt;50,"C1",Table1[[#This Row],[Previous Marks]]&gt;40,"C2")</f>
        <v>B1</v>
      </c>
      <c r="F503">
        <v>85</v>
      </c>
    </row>
    <row r="504" spans="2:6" x14ac:dyDescent="0.3">
      <c r="B504">
        <v>92</v>
      </c>
      <c r="C504" t="str" cm="1">
        <f t="array" ref="C504">_xlfn.IFS(B504&gt;90,"A1",B504&gt;80,"A2",B504&gt;70,"B1",B504&gt;60,"B2",B504&gt;50,"C1",B504&gt;40,"C2")</f>
        <v>A1</v>
      </c>
      <c r="D504">
        <v>85</v>
      </c>
      <c r="E504" t="str" cm="1">
        <f t="array" ref="E504">_xlfn.IFS(Table1[[#This Row],[Previous Marks]]&gt;90,"A1",Table1[[#This Row],[Previous Marks]]&gt;80,"A2",Table1[[#This Row],[Previous Marks]]&gt;70,"B1",Table1[[#This Row],[Previous Marks]]&gt;60,"B2",Table1[[#This Row],[Previous Marks]]&gt;50,"C1",Table1[[#This Row],[Previous Marks]]&gt;40,"C2")</f>
        <v>A2</v>
      </c>
      <c r="F504">
        <v>82</v>
      </c>
    </row>
    <row r="505" spans="2:6" x14ac:dyDescent="0.3">
      <c r="B505">
        <v>68</v>
      </c>
      <c r="C505" t="str" cm="1">
        <f t="array" ref="C505">_xlfn.IFS(B505&gt;90,"A1",B505&gt;80,"A2",B505&gt;70,"B1",B505&gt;60,"B2",B505&gt;50,"C1",B505&gt;40,"C2")</f>
        <v>B2</v>
      </c>
      <c r="D505">
        <v>70</v>
      </c>
      <c r="E505" t="str" cm="1">
        <f t="array" ref="E505">_xlfn.IFS(Table1[[#This Row],[Previous Marks]]&gt;90,"A1",Table1[[#This Row],[Previous Marks]]&gt;80,"A2",Table1[[#This Row],[Previous Marks]]&gt;70,"B1",Table1[[#This Row],[Previous Marks]]&gt;60,"B2",Table1[[#This Row],[Previous Marks]]&gt;50,"C1",Table1[[#This Row],[Previous Marks]]&gt;40,"C2")</f>
        <v>B2</v>
      </c>
      <c r="F505">
        <v>92</v>
      </c>
    </row>
    <row r="506" spans="2:6" x14ac:dyDescent="0.3">
      <c r="B506">
        <v>72</v>
      </c>
      <c r="C506" t="str" cm="1">
        <f t="array" ref="C506">_xlfn.IFS(B506&gt;90,"A1",B506&gt;80,"A2",B506&gt;70,"B1",B506&gt;60,"B2",B506&gt;50,"C1",B506&gt;40,"C2")</f>
        <v>B1</v>
      </c>
      <c r="D506">
        <v>85</v>
      </c>
      <c r="E506" t="str" cm="1">
        <f t="array" ref="E506">_xlfn.IFS(Table1[[#This Row],[Previous Marks]]&gt;90,"A1",Table1[[#This Row],[Previous Marks]]&gt;80,"A2",Table1[[#This Row],[Previous Marks]]&gt;70,"B1",Table1[[#This Row],[Previous Marks]]&gt;60,"B2",Table1[[#This Row],[Previous Marks]]&gt;50,"C1",Table1[[#This Row],[Previous Marks]]&gt;40,"C2")</f>
        <v>A2</v>
      </c>
      <c r="F506">
        <v>85</v>
      </c>
    </row>
    <row r="507" spans="2:6" x14ac:dyDescent="0.3">
      <c r="B507">
        <v>62</v>
      </c>
      <c r="C507" t="str" cm="1">
        <f t="array" ref="C507">_xlfn.IFS(B507&gt;90,"A1",B507&gt;80,"A2",B507&gt;70,"B1",B507&gt;60,"B2",B507&gt;50,"C1",B507&gt;40,"C2")</f>
        <v>B2</v>
      </c>
      <c r="D507">
        <v>70</v>
      </c>
      <c r="E507" t="str" cm="1">
        <f t="array" ref="E507">_xlfn.IFS(Table1[[#This Row],[Previous Marks]]&gt;90,"A1",Table1[[#This Row],[Previous Marks]]&gt;80,"A2",Table1[[#This Row],[Previous Marks]]&gt;70,"B1",Table1[[#This Row],[Previous Marks]]&gt;60,"B2",Table1[[#This Row],[Previous Marks]]&gt;50,"C1",Table1[[#This Row],[Previous Marks]]&gt;40,"C2")</f>
        <v>B2</v>
      </c>
      <c r="F507">
        <v>95</v>
      </c>
    </row>
    <row r="508" spans="2:6" x14ac:dyDescent="0.3">
      <c r="B508">
        <v>78</v>
      </c>
      <c r="C508" t="str" cm="1">
        <f t="array" ref="C508">_xlfn.IFS(B508&gt;90,"A1",B508&gt;80,"A2",B508&gt;70,"B1",B508&gt;60,"B2",B508&gt;50,"C1",B508&gt;40,"C2")</f>
        <v>B1</v>
      </c>
      <c r="D508">
        <v>82</v>
      </c>
      <c r="E508" t="str" cm="1">
        <f t="array" ref="E508">_xlfn.IFS(Table1[[#This Row],[Previous Marks]]&gt;90,"A1",Table1[[#This Row],[Previous Marks]]&gt;80,"A2",Table1[[#This Row],[Previous Marks]]&gt;70,"B1",Table1[[#This Row],[Previous Marks]]&gt;60,"B2",Table1[[#This Row],[Previous Marks]]&gt;50,"C1",Table1[[#This Row],[Previous Marks]]&gt;40,"C2")</f>
        <v>A2</v>
      </c>
      <c r="F508">
        <v>70</v>
      </c>
    </row>
    <row r="509" spans="2:6" x14ac:dyDescent="0.3">
      <c r="B509">
        <v>92</v>
      </c>
      <c r="C509" t="str" cm="1">
        <f t="array" ref="C509">_xlfn.IFS(B509&gt;90,"A1",B509&gt;80,"A2",B509&gt;70,"B1",B509&gt;60,"B2",B509&gt;50,"C1",B509&gt;40,"C2")</f>
        <v>A1</v>
      </c>
      <c r="D509">
        <v>82</v>
      </c>
      <c r="E509" t="str" cm="1">
        <f t="array" ref="E509">_xlfn.IFS(Table1[[#This Row],[Previous Marks]]&gt;90,"A1",Table1[[#This Row],[Previous Marks]]&gt;80,"A2",Table1[[#This Row],[Previous Marks]]&gt;70,"B1",Table1[[#This Row],[Previous Marks]]&gt;60,"B2",Table1[[#This Row],[Previous Marks]]&gt;50,"C1",Table1[[#This Row],[Previous Marks]]&gt;40,"C2")</f>
        <v>A2</v>
      </c>
      <c r="F509">
        <v>82</v>
      </c>
    </row>
    <row r="510" spans="2:6" x14ac:dyDescent="0.3">
      <c r="B510">
        <v>68</v>
      </c>
      <c r="C510" t="str" cm="1">
        <f t="array" ref="C510">_xlfn.IFS(B510&gt;90,"A1",B510&gt;80,"A2",B510&gt;70,"B1",B510&gt;60,"B2",B510&gt;50,"C1",B510&gt;40,"C2")</f>
        <v>B2</v>
      </c>
      <c r="D510">
        <v>77</v>
      </c>
      <c r="E510" t="str" cm="1">
        <f t="array" ref="E510">_xlfn.IFS(Table1[[#This Row],[Previous Marks]]&gt;90,"A1",Table1[[#This Row],[Previous Marks]]&gt;80,"A2",Table1[[#This Row],[Previous Marks]]&gt;70,"B1",Table1[[#This Row],[Previous Marks]]&gt;60,"B2",Table1[[#This Row],[Previous Marks]]&gt;50,"C1",Table1[[#This Row],[Previous Marks]]&gt;40,"C2")</f>
        <v>B1</v>
      </c>
      <c r="F510">
        <v>90</v>
      </c>
    </row>
    <row r="511" spans="2:6" x14ac:dyDescent="0.3">
      <c r="B511">
        <v>92</v>
      </c>
      <c r="C511" t="str" cm="1">
        <f t="array" ref="C511">_xlfn.IFS(B511&gt;90,"A1",B511&gt;80,"A2",B511&gt;70,"B1",B511&gt;60,"B2",B511&gt;50,"C1",B511&gt;40,"C2")</f>
        <v>A1</v>
      </c>
      <c r="D511">
        <v>86</v>
      </c>
      <c r="E511" t="str" cm="1">
        <f t="array" ref="E511">_xlfn.IFS(Table1[[#This Row],[Previous Marks]]&gt;90,"A1",Table1[[#This Row],[Previous Marks]]&gt;80,"A2",Table1[[#This Row],[Previous Marks]]&gt;70,"B1",Table1[[#This Row],[Previous Marks]]&gt;60,"B2",Table1[[#This Row],[Previous Marks]]&gt;50,"C1",Table1[[#This Row],[Previous Marks]]&gt;40,"C2")</f>
        <v>A2</v>
      </c>
      <c r="F511">
        <v>88</v>
      </c>
    </row>
    <row r="512" spans="2:6" x14ac:dyDescent="0.3">
      <c r="B512">
        <v>85</v>
      </c>
      <c r="C512" t="str" cm="1">
        <f t="array" ref="C512">_xlfn.IFS(B512&gt;90,"A1",B512&gt;80,"A2",B512&gt;70,"B1",B512&gt;60,"B2",B512&gt;50,"C1",B512&gt;40,"C2")</f>
        <v>A2</v>
      </c>
      <c r="D512">
        <v>85</v>
      </c>
      <c r="E512" t="str" cm="1">
        <f t="array" ref="E512">_xlfn.IFS(Table1[[#This Row],[Previous Marks]]&gt;90,"A1",Table1[[#This Row],[Previous Marks]]&gt;80,"A2",Table1[[#This Row],[Previous Marks]]&gt;70,"B1",Table1[[#This Row],[Previous Marks]]&gt;60,"B2",Table1[[#This Row],[Previous Marks]]&gt;50,"C1",Table1[[#This Row],[Previous Marks]]&gt;40,"C2")</f>
        <v>A2</v>
      </c>
      <c r="F512">
        <v>85</v>
      </c>
    </row>
    <row r="513" spans="2:6" x14ac:dyDescent="0.3">
      <c r="B513">
        <v>92</v>
      </c>
      <c r="C513" t="str" cm="1">
        <f t="array" ref="C513">_xlfn.IFS(B513&gt;90,"A1",B513&gt;80,"A2",B513&gt;70,"B1",B513&gt;60,"B2",B513&gt;50,"C1",B513&gt;40,"C2")</f>
        <v>A1</v>
      </c>
      <c r="D513">
        <v>60</v>
      </c>
      <c r="E513" t="str" cm="1">
        <f t="array" ref="E513">_xlfn.IFS(Table1[[#This Row],[Previous Marks]]&gt;90,"A1",Table1[[#This Row],[Previous Marks]]&gt;80,"A2",Table1[[#This Row],[Previous Marks]]&gt;70,"B1",Table1[[#This Row],[Previous Marks]]&gt;60,"B2",Table1[[#This Row],[Previous Marks]]&gt;50,"C1",Table1[[#This Row],[Previous Marks]]&gt;40,"C2")</f>
        <v>C1</v>
      </c>
      <c r="F513">
        <v>95</v>
      </c>
    </row>
    <row r="514" spans="2:6" x14ac:dyDescent="0.3">
      <c r="B514">
        <v>88</v>
      </c>
      <c r="C514" t="str" cm="1">
        <f t="array" ref="C514">_xlfn.IFS(B514&gt;90,"A1",B514&gt;80,"A2",B514&gt;70,"B1",B514&gt;60,"B2",B514&gt;50,"C1",B514&gt;40,"C2")</f>
        <v>A2</v>
      </c>
      <c r="D514">
        <v>78</v>
      </c>
      <c r="E514" t="str" cm="1">
        <f t="array" ref="E514">_xlfn.IFS(Table1[[#This Row],[Previous Marks]]&gt;90,"A1",Table1[[#This Row],[Previous Marks]]&gt;80,"A2",Table1[[#This Row],[Previous Marks]]&gt;70,"B1",Table1[[#This Row],[Previous Marks]]&gt;60,"B2",Table1[[#This Row],[Previous Marks]]&gt;50,"C1",Table1[[#This Row],[Previous Marks]]&gt;40,"C2")</f>
        <v>B1</v>
      </c>
      <c r="F514">
        <v>88</v>
      </c>
    </row>
    <row r="515" spans="2:6" x14ac:dyDescent="0.3">
      <c r="B515">
        <v>87</v>
      </c>
      <c r="C515" t="str" cm="1">
        <f t="array" ref="C515">_xlfn.IFS(B515&gt;90,"A1",B515&gt;80,"A2",B515&gt;70,"B1",B515&gt;60,"B2",B515&gt;50,"C1",B515&gt;40,"C2")</f>
        <v>A2</v>
      </c>
      <c r="D515">
        <v>86</v>
      </c>
      <c r="E515" t="str" cm="1">
        <f t="array" ref="E515">_xlfn.IFS(Table1[[#This Row],[Previous Marks]]&gt;90,"A1",Table1[[#This Row],[Previous Marks]]&gt;80,"A2",Table1[[#This Row],[Previous Marks]]&gt;70,"B1",Table1[[#This Row],[Previous Marks]]&gt;60,"B2",Table1[[#This Row],[Previous Marks]]&gt;50,"C1",Table1[[#This Row],[Previous Marks]]&gt;40,"C2")</f>
        <v>A2</v>
      </c>
      <c r="F515">
        <v>70</v>
      </c>
    </row>
    <row r="516" spans="2:6" x14ac:dyDescent="0.3">
      <c r="B516">
        <v>80</v>
      </c>
      <c r="C516" t="str" cm="1">
        <f t="array" ref="C516">_xlfn.IFS(B516&gt;90,"A1",B516&gt;80,"A2",B516&gt;70,"B1",B516&gt;60,"B2",B516&gt;50,"C1",B516&gt;40,"C2")</f>
        <v>B1</v>
      </c>
      <c r="D516">
        <v>77</v>
      </c>
      <c r="E516" t="str" cm="1">
        <f t="array" ref="E516">_xlfn.IFS(Table1[[#This Row],[Previous Marks]]&gt;90,"A1",Table1[[#This Row],[Previous Marks]]&gt;80,"A2",Table1[[#This Row],[Previous Marks]]&gt;70,"B1",Table1[[#This Row],[Previous Marks]]&gt;60,"B2",Table1[[#This Row],[Previous Marks]]&gt;50,"C1",Table1[[#This Row],[Previous Marks]]&gt;40,"C2")</f>
        <v>B1</v>
      </c>
      <c r="F516">
        <v>95</v>
      </c>
    </row>
    <row r="517" spans="2:6" x14ac:dyDescent="0.3">
      <c r="B517">
        <v>78</v>
      </c>
      <c r="C517" t="str" cm="1">
        <f t="array" ref="C517">_xlfn.IFS(B517&gt;90,"A1",B517&gt;80,"A2",B517&gt;70,"B1",B517&gt;60,"B2",B517&gt;50,"C1",B517&gt;40,"C2")</f>
        <v>B1</v>
      </c>
      <c r="D517">
        <v>77</v>
      </c>
      <c r="E517" t="str" cm="1">
        <f t="array" ref="E517">_xlfn.IFS(Table1[[#This Row],[Previous Marks]]&gt;90,"A1",Table1[[#This Row],[Previous Marks]]&gt;80,"A2",Table1[[#This Row],[Previous Marks]]&gt;70,"B1",Table1[[#This Row],[Previous Marks]]&gt;60,"B2",Table1[[#This Row],[Previous Marks]]&gt;50,"C1",Table1[[#This Row],[Previous Marks]]&gt;40,"C2")</f>
        <v>B1</v>
      </c>
      <c r="F517">
        <v>78</v>
      </c>
    </row>
    <row r="518" spans="2:6" x14ac:dyDescent="0.3">
      <c r="B518">
        <v>88</v>
      </c>
      <c r="C518" t="str" cm="1">
        <f t="array" ref="C518">_xlfn.IFS(B518&gt;90,"A1",B518&gt;80,"A2",B518&gt;70,"B1",B518&gt;60,"B2",B518&gt;50,"C1",B518&gt;40,"C2")</f>
        <v>A2</v>
      </c>
      <c r="D518">
        <v>82</v>
      </c>
      <c r="E518" t="str" cm="1">
        <f t="array" ref="E518">_xlfn.IFS(Table1[[#This Row],[Previous Marks]]&gt;90,"A1",Table1[[#This Row],[Previous Marks]]&gt;80,"A2",Table1[[#This Row],[Previous Marks]]&gt;70,"B1",Table1[[#This Row],[Previous Marks]]&gt;60,"B2",Table1[[#This Row],[Previous Marks]]&gt;50,"C1",Table1[[#This Row],[Previous Marks]]&gt;40,"C2")</f>
        <v>A2</v>
      </c>
      <c r="F518">
        <v>92</v>
      </c>
    </row>
    <row r="519" spans="2:6" x14ac:dyDescent="0.3">
      <c r="B519">
        <v>80</v>
      </c>
      <c r="C519" t="str" cm="1">
        <f t="array" ref="C519">_xlfn.IFS(B519&gt;90,"A1",B519&gt;80,"A2",B519&gt;70,"B1",B519&gt;60,"B2",B519&gt;50,"C1",B519&gt;40,"C2")</f>
        <v>B1</v>
      </c>
      <c r="D519">
        <v>88</v>
      </c>
      <c r="E519" t="str" cm="1">
        <f t="array" ref="E519">_xlfn.IFS(Table1[[#This Row],[Previous Marks]]&gt;90,"A1",Table1[[#This Row],[Previous Marks]]&gt;80,"A2",Table1[[#This Row],[Previous Marks]]&gt;70,"B1",Table1[[#This Row],[Previous Marks]]&gt;60,"B2",Table1[[#This Row],[Previous Marks]]&gt;50,"C1",Table1[[#This Row],[Previous Marks]]&gt;40,"C2")</f>
        <v>A2</v>
      </c>
      <c r="F519">
        <v>95</v>
      </c>
    </row>
    <row r="520" spans="2:6" x14ac:dyDescent="0.3">
      <c r="B520">
        <v>90</v>
      </c>
      <c r="C520" t="str" cm="1">
        <f t="array" ref="C520">_xlfn.IFS(B520&gt;90,"A1",B520&gt;80,"A2",B520&gt;70,"B1",B520&gt;60,"B2",B520&gt;50,"C1",B520&gt;40,"C2")</f>
        <v>A2</v>
      </c>
      <c r="D520">
        <v>90</v>
      </c>
      <c r="E520" t="str" cm="1">
        <f t="array" ref="E520">_xlfn.IFS(Table1[[#This Row],[Previous Marks]]&gt;90,"A1",Table1[[#This Row],[Previous Marks]]&gt;80,"A2",Table1[[#This Row],[Previous Marks]]&gt;70,"B1",Table1[[#This Row],[Previous Marks]]&gt;60,"B2",Table1[[#This Row],[Previous Marks]]&gt;50,"C1",Table1[[#This Row],[Previous Marks]]&gt;40,"C2")</f>
        <v>A2</v>
      </c>
      <c r="F520">
        <v>85</v>
      </c>
    </row>
    <row r="521" spans="2:6" x14ac:dyDescent="0.3">
      <c r="B521">
        <v>90</v>
      </c>
      <c r="C521" t="str" cm="1">
        <f t="array" ref="C521">_xlfn.IFS(B521&gt;90,"A1",B521&gt;80,"A2",B521&gt;70,"B1",B521&gt;60,"B2",B521&gt;50,"C1",B521&gt;40,"C2")</f>
        <v>A2</v>
      </c>
      <c r="D521">
        <v>65</v>
      </c>
      <c r="E521" t="str" cm="1">
        <f t="array" ref="E521">_xlfn.IFS(Table1[[#This Row],[Previous Marks]]&gt;90,"A1",Table1[[#This Row],[Previous Marks]]&gt;80,"A2",Table1[[#This Row],[Previous Marks]]&gt;70,"B1",Table1[[#This Row],[Previous Marks]]&gt;60,"B2",Table1[[#This Row],[Previous Marks]]&gt;50,"C1",Table1[[#This Row],[Previous Marks]]&gt;40,"C2")</f>
        <v>B2</v>
      </c>
      <c r="F521">
        <v>85.510416666666671</v>
      </c>
    </row>
    <row r="522" spans="2:6" x14ac:dyDescent="0.3">
      <c r="B522">
        <v>92</v>
      </c>
      <c r="C522" t="str" cm="1">
        <f t="array" ref="C522">_xlfn.IFS(B522&gt;90,"A1",B522&gt;80,"A2",B522&gt;70,"B1",B522&gt;60,"B2",B522&gt;50,"C1",B522&gt;40,"C2")</f>
        <v>A1</v>
      </c>
      <c r="D522">
        <v>90</v>
      </c>
      <c r="E522" t="str" cm="1">
        <f t="array" ref="E522">_xlfn.IFS(Table1[[#This Row],[Previous Marks]]&gt;90,"A1",Table1[[#This Row],[Previous Marks]]&gt;80,"A2",Table1[[#This Row],[Previous Marks]]&gt;70,"B1",Table1[[#This Row],[Previous Marks]]&gt;60,"B2",Table1[[#This Row],[Previous Marks]]&gt;50,"C1",Table1[[#This Row],[Previous Marks]]&gt;40,"C2")</f>
        <v>A2</v>
      </c>
      <c r="F522">
        <v>85</v>
      </c>
    </row>
    <row r="523" spans="2:6" x14ac:dyDescent="0.3">
      <c r="B523">
        <v>72</v>
      </c>
      <c r="C523" t="str" cm="1">
        <f t="array" ref="C523">_xlfn.IFS(B523&gt;90,"A1",B523&gt;80,"A2",B523&gt;70,"B1",B523&gt;60,"B2",B523&gt;50,"C1",B523&gt;40,"C2")</f>
        <v>B1</v>
      </c>
      <c r="D523">
        <v>78</v>
      </c>
      <c r="E523" t="str" cm="1">
        <f t="array" ref="E523">_xlfn.IFS(Table1[[#This Row],[Previous Marks]]&gt;90,"A1",Table1[[#This Row],[Previous Marks]]&gt;80,"A2",Table1[[#This Row],[Previous Marks]]&gt;70,"B1",Table1[[#This Row],[Previous Marks]]&gt;60,"B2",Table1[[#This Row],[Previous Marks]]&gt;50,"C1",Table1[[#This Row],[Previous Marks]]&gt;40,"C2")</f>
        <v>B1</v>
      </c>
      <c r="F523">
        <v>91</v>
      </c>
    </row>
    <row r="524" spans="2:6" x14ac:dyDescent="0.3">
      <c r="B524">
        <v>80</v>
      </c>
      <c r="C524" t="str" cm="1">
        <f t="array" ref="C524">_xlfn.IFS(B524&gt;90,"A1",B524&gt;80,"A2",B524&gt;70,"B1",B524&gt;60,"B2",B524&gt;50,"C1",B524&gt;40,"C2")</f>
        <v>B1</v>
      </c>
      <c r="D524">
        <v>78</v>
      </c>
      <c r="E524" t="str" cm="1">
        <f t="array" ref="E524">_xlfn.IFS(Table1[[#This Row],[Previous Marks]]&gt;90,"A1",Table1[[#This Row],[Previous Marks]]&gt;80,"A2",Table1[[#This Row],[Previous Marks]]&gt;70,"B1",Table1[[#This Row],[Previous Marks]]&gt;60,"B2",Table1[[#This Row],[Previous Marks]]&gt;50,"C1",Table1[[#This Row],[Previous Marks]]&gt;40,"C2")</f>
        <v>B1</v>
      </c>
      <c r="F524">
        <v>91</v>
      </c>
    </row>
    <row r="525" spans="2:6" x14ac:dyDescent="0.3">
      <c r="B525">
        <v>72</v>
      </c>
      <c r="C525" t="str" cm="1">
        <f t="array" ref="C525">_xlfn.IFS(B525&gt;90,"A1",B525&gt;80,"A2",B525&gt;70,"B1",B525&gt;60,"B2",B525&gt;50,"C1",B525&gt;40,"C2")</f>
        <v>B1</v>
      </c>
      <c r="D525">
        <v>60</v>
      </c>
      <c r="E525" t="str" cm="1">
        <f t="array" ref="E525">_xlfn.IFS(Table1[[#This Row],[Previous Marks]]&gt;90,"A1",Table1[[#This Row],[Previous Marks]]&gt;80,"A2",Table1[[#This Row],[Previous Marks]]&gt;70,"B1",Table1[[#This Row],[Previous Marks]]&gt;60,"B2",Table1[[#This Row],[Previous Marks]]&gt;50,"C1",Table1[[#This Row],[Previous Marks]]&gt;40,"C2")</f>
        <v>C1</v>
      </c>
      <c r="F525">
        <v>85</v>
      </c>
    </row>
    <row r="526" spans="2:6" x14ac:dyDescent="0.3">
      <c r="B526">
        <v>80.030208333333334</v>
      </c>
      <c r="C526" t="str" cm="1">
        <f t="array" ref="C526">_xlfn.IFS(B526&gt;90,"A1",B526&gt;80,"A2",B526&gt;70,"B1",B526&gt;60,"B2",B526&gt;50,"C1",B526&gt;40,"C2")</f>
        <v>A2</v>
      </c>
      <c r="D526">
        <v>70</v>
      </c>
      <c r="E526" t="str" cm="1">
        <f t="array" ref="E526">_xlfn.IFS(Table1[[#This Row],[Previous Marks]]&gt;90,"A1",Table1[[#This Row],[Previous Marks]]&gt;80,"A2",Table1[[#This Row],[Previous Marks]]&gt;70,"B1",Table1[[#This Row],[Previous Marks]]&gt;60,"B2",Table1[[#This Row],[Previous Marks]]&gt;50,"C1",Table1[[#This Row],[Previous Marks]]&gt;40,"C2")</f>
        <v>B2</v>
      </c>
      <c r="F526">
        <v>78</v>
      </c>
    </row>
    <row r="527" spans="2:6" x14ac:dyDescent="0.3">
      <c r="B527">
        <v>90</v>
      </c>
      <c r="C527" t="str" cm="1">
        <f t="array" ref="C527">_xlfn.IFS(B527&gt;90,"A1",B527&gt;80,"A2",B527&gt;70,"B1",B527&gt;60,"B2",B527&gt;50,"C1",B527&gt;40,"C2")</f>
        <v>A2</v>
      </c>
      <c r="D527">
        <v>78</v>
      </c>
      <c r="E527" t="str" cm="1">
        <f t="array" ref="E527">_xlfn.IFS(Table1[[#This Row],[Previous Marks]]&gt;90,"A1",Table1[[#This Row],[Previous Marks]]&gt;80,"A2",Table1[[#This Row],[Previous Marks]]&gt;70,"B1",Table1[[#This Row],[Previous Marks]]&gt;60,"B2",Table1[[#This Row],[Previous Marks]]&gt;50,"C1",Table1[[#This Row],[Previous Marks]]&gt;40,"C2")</f>
        <v>B1</v>
      </c>
      <c r="F527">
        <v>70</v>
      </c>
    </row>
    <row r="528" spans="2:6" x14ac:dyDescent="0.3">
      <c r="B528">
        <v>85</v>
      </c>
      <c r="C528" t="str" cm="1">
        <f t="array" ref="C528">_xlfn.IFS(B528&gt;90,"A1",B528&gt;80,"A2",B528&gt;70,"B1",B528&gt;60,"B2",B528&gt;50,"C1",B528&gt;40,"C2")</f>
        <v>A2</v>
      </c>
      <c r="D528">
        <v>60</v>
      </c>
      <c r="E528" t="str" cm="1">
        <f t="array" ref="E528">_xlfn.IFS(Table1[[#This Row],[Previous Marks]]&gt;90,"A1",Table1[[#This Row],[Previous Marks]]&gt;80,"A2",Table1[[#This Row],[Previous Marks]]&gt;70,"B1",Table1[[#This Row],[Previous Marks]]&gt;60,"B2",Table1[[#This Row],[Previous Marks]]&gt;50,"C1",Table1[[#This Row],[Previous Marks]]&gt;40,"C2")</f>
        <v>C1</v>
      </c>
      <c r="F528">
        <v>85</v>
      </c>
    </row>
    <row r="529" spans="2:6" x14ac:dyDescent="0.3">
      <c r="B529">
        <v>92</v>
      </c>
      <c r="C529" t="str" cm="1">
        <f t="array" ref="C529">_xlfn.IFS(B529&gt;90,"A1",B529&gt;80,"A2",B529&gt;70,"B1",B529&gt;60,"B2",B529&gt;50,"C1",B529&gt;40,"C2")</f>
        <v>A1</v>
      </c>
      <c r="D529">
        <v>86</v>
      </c>
      <c r="E529" t="str" cm="1">
        <f t="array" ref="E529">_xlfn.IFS(Table1[[#This Row],[Previous Marks]]&gt;90,"A1",Table1[[#This Row],[Previous Marks]]&gt;80,"A2",Table1[[#This Row],[Previous Marks]]&gt;70,"B1",Table1[[#This Row],[Previous Marks]]&gt;60,"B2",Table1[[#This Row],[Previous Marks]]&gt;50,"C1",Table1[[#This Row],[Previous Marks]]&gt;40,"C2")</f>
        <v>A2</v>
      </c>
      <c r="F529">
        <v>70</v>
      </c>
    </row>
    <row r="530" spans="2:6" x14ac:dyDescent="0.3">
      <c r="B530">
        <v>72</v>
      </c>
      <c r="C530" t="str" cm="1">
        <f t="array" ref="C530">_xlfn.IFS(B530&gt;90,"A1",B530&gt;80,"A2",B530&gt;70,"B1",B530&gt;60,"B2",B530&gt;50,"C1",B530&gt;40,"C2")</f>
        <v>B1</v>
      </c>
      <c r="D530">
        <v>90</v>
      </c>
      <c r="E530" t="str" cm="1">
        <f t="array" ref="E530">_xlfn.IFS(Table1[[#This Row],[Previous Marks]]&gt;90,"A1",Table1[[#This Row],[Previous Marks]]&gt;80,"A2",Table1[[#This Row],[Previous Marks]]&gt;70,"B1",Table1[[#This Row],[Previous Marks]]&gt;60,"B2",Table1[[#This Row],[Previous Marks]]&gt;50,"C1",Table1[[#This Row],[Previous Marks]]&gt;40,"C2")</f>
        <v>A2</v>
      </c>
      <c r="F530">
        <v>82</v>
      </c>
    </row>
    <row r="531" spans="2:6" x14ac:dyDescent="0.3">
      <c r="B531">
        <v>87</v>
      </c>
      <c r="C531" t="str" cm="1">
        <f t="array" ref="C531">_xlfn.IFS(B531&gt;90,"A1",B531&gt;80,"A2",B531&gt;70,"B1",B531&gt;60,"B2",B531&gt;50,"C1",B531&gt;40,"C2")</f>
        <v>A2</v>
      </c>
      <c r="D531">
        <v>86</v>
      </c>
      <c r="E531" t="str" cm="1">
        <f t="array" ref="E531">_xlfn.IFS(Table1[[#This Row],[Previous Marks]]&gt;90,"A1",Table1[[#This Row],[Previous Marks]]&gt;80,"A2",Table1[[#This Row],[Previous Marks]]&gt;70,"B1",Table1[[#This Row],[Previous Marks]]&gt;60,"B2",Table1[[#This Row],[Previous Marks]]&gt;50,"C1",Table1[[#This Row],[Previous Marks]]&gt;40,"C2")</f>
        <v>A2</v>
      </c>
      <c r="F531">
        <v>70</v>
      </c>
    </row>
    <row r="532" spans="2:6" x14ac:dyDescent="0.3">
      <c r="B532">
        <v>80.030208333333334</v>
      </c>
      <c r="C532" t="str" cm="1">
        <f t="array" ref="C532">_xlfn.IFS(B532&gt;90,"A1",B532&gt;80,"A2",B532&gt;70,"B1",B532&gt;60,"B2",B532&gt;50,"C1",B532&gt;40,"C2")</f>
        <v>A2</v>
      </c>
      <c r="D532">
        <v>88</v>
      </c>
      <c r="E532" t="str" cm="1">
        <f t="array" ref="E532">_xlfn.IFS(Table1[[#This Row],[Previous Marks]]&gt;90,"A1",Table1[[#This Row],[Previous Marks]]&gt;80,"A2",Table1[[#This Row],[Previous Marks]]&gt;70,"B1",Table1[[#This Row],[Previous Marks]]&gt;60,"B2",Table1[[#This Row],[Previous Marks]]&gt;50,"C1",Table1[[#This Row],[Previous Marks]]&gt;40,"C2")</f>
        <v>A2</v>
      </c>
      <c r="F532">
        <v>78</v>
      </c>
    </row>
    <row r="533" spans="2:6" x14ac:dyDescent="0.3">
      <c r="B533">
        <v>88</v>
      </c>
      <c r="C533" t="str" cm="1">
        <f t="array" ref="C533">_xlfn.IFS(B533&gt;90,"A1",B533&gt;80,"A2",B533&gt;70,"B1",B533&gt;60,"B2",B533&gt;50,"C1",B533&gt;40,"C2")</f>
        <v>A2</v>
      </c>
      <c r="D533">
        <v>65</v>
      </c>
      <c r="E533" t="str" cm="1">
        <f t="array" ref="E533">_xlfn.IFS(Table1[[#This Row],[Previous Marks]]&gt;90,"A1",Table1[[#This Row],[Previous Marks]]&gt;80,"A2",Table1[[#This Row],[Previous Marks]]&gt;70,"B1",Table1[[#This Row],[Previous Marks]]&gt;60,"B2",Table1[[#This Row],[Previous Marks]]&gt;50,"C1",Table1[[#This Row],[Previous Marks]]&gt;40,"C2")</f>
        <v>B2</v>
      </c>
      <c r="F533">
        <v>85.510416666666671</v>
      </c>
    </row>
    <row r="534" spans="2:6" x14ac:dyDescent="0.3">
      <c r="B534">
        <v>72</v>
      </c>
      <c r="C534" t="str" cm="1">
        <f t="array" ref="C534">_xlfn.IFS(B534&gt;90,"A1",B534&gt;80,"A2",B534&gt;70,"B1",B534&gt;60,"B2",B534&gt;50,"C1",B534&gt;40,"C2")</f>
        <v>B1</v>
      </c>
      <c r="D534">
        <v>85</v>
      </c>
      <c r="E534" t="str" cm="1">
        <f t="array" ref="E534">_xlfn.IFS(Table1[[#This Row],[Previous Marks]]&gt;90,"A1",Table1[[#This Row],[Previous Marks]]&gt;80,"A2",Table1[[#This Row],[Previous Marks]]&gt;70,"B1",Table1[[#This Row],[Previous Marks]]&gt;60,"B2",Table1[[#This Row],[Previous Marks]]&gt;50,"C1",Table1[[#This Row],[Previous Marks]]&gt;40,"C2")</f>
        <v>A2</v>
      </c>
      <c r="F534">
        <v>85</v>
      </c>
    </row>
    <row r="535" spans="2:6" x14ac:dyDescent="0.3">
      <c r="B535">
        <v>92</v>
      </c>
      <c r="C535" t="str" cm="1">
        <f t="array" ref="C535">_xlfn.IFS(B535&gt;90,"A1",B535&gt;80,"A2",B535&gt;70,"B1",B535&gt;60,"B2",B535&gt;50,"C1",B535&gt;40,"C2")</f>
        <v>A1</v>
      </c>
      <c r="D535">
        <v>65</v>
      </c>
      <c r="E535" t="str" cm="1">
        <f t="array" ref="E535">_xlfn.IFS(Table1[[#This Row],[Previous Marks]]&gt;90,"A1",Table1[[#This Row],[Previous Marks]]&gt;80,"A2",Table1[[#This Row],[Previous Marks]]&gt;70,"B1",Table1[[#This Row],[Previous Marks]]&gt;60,"B2",Table1[[#This Row],[Previous Marks]]&gt;50,"C1",Table1[[#This Row],[Previous Marks]]&gt;40,"C2")</f>
        <v>B2</v>
      </c>
      <c r="F535">
        <v>85</v>
      </c>
    </row>
    <row r="536" spans="2:6" x14ac:dyDescent="0.3">
      <c r="B536">
        <v>80.030208333333334</v>
      </c>
      <c r="C536" t="str" cm="1">
        <f t="array" ref="C536">_xlfn.IFS(B536&gt;90,"A1",B536&gt;80,"A2",B536&gt;70,"B1",B536&gt;60,"B2",B536&gt;50,"C1",B536&gt;40,"C2")</f>
        <v>A2</v>
      </c>
      <c r="D536">
        <v>90</v>
      </c>
      <c r="E536" t="str" cm="1">
        <f t="array" ref="E536">_xlfn.IFS(Table1[[#This Row],[Previous Marks]]&gt;90,"A1",Table1[[#This Row],[Previous Marks]]&gt;80,"A2",Table1[[#This Row],[Previous Marks]]&gt;70,"B1",Table1[[#This Row],[Previous Marks]]&gt;60,"B2",Table1[[#This Row],[Previous Marks]]&gt;50,"C1",Table1[[#This Row],[Previous Marks]]&gt;40,"C2")</f>
        <v>A2</v>
      </c>
      <c r="F536">
        <v>92</v>
      </c>
    </row>
    <row r="537" spans="2:6" x14ac:dyDescent="0.3">
      <c r="B537">
        <v>62</v>
      </c>
      <c r="C537" t="str" cm="1">
        <f t="array" ref="C537">_xlfn.IFS(B537&gt;90,"A1",B537&gt;80,"A2",B537&gt;70,"B1",B537&gt;60,"B2",B537&gt;50,"C1",B537&gt;40,"C2")</f>
        <v>B2</v>
      </c>
      <c r="D537">
        <v>78</v>
      </c>
      <c r="E537" t="str" cm="1">
        <f t="array" ref="E537">_xlfn.IFS(Table1[[#This Row],[Previous Marks]]&gt;90,"A1",Table1[[#This Row],[Previous Marks]]&gt;80,"A2",Table1[[#This Row],[Previous Marks]]&gt;70,"B1",Table1[[#This Row],[Previous Marks]]&gt;60,"B2",Table1[[#This Row],[Previous Marks]]&gt;50,"C1",Table1[[#This Row],[Previous Marks]]&gt;40,"C2")</f>
        <v>B1</v>
      </c>
      <c r="F537">
        <v>70</v>
      </c>
    </row>
    <row r="538" spans="2:6" x14ac:dyDescent="0.3">
      <c r="B538">
        <v>72</v>
      </c>
      <c r="C538" t="str" cm="1">
        <f t="array" ref="C538">_xlfn.IFS(B538&gt;90,"A1",B538&gt;80,"A2",B538&gt;70,"B1",B538&gt;60,"B2",B538&gt;50,"C1",B538&gt;40,"C2")</f>
        <v>B1</v>
      </c>
      <c r="D538">
        <v>78</v>
      </c>
      <c r="E538" t="str" cm="1">
        <f t="array" ref="E538">_xlfn.IFS(Table1[[#This Row],[Previous Marks]]&gt;90,"A1",Table1[[#This Row],[Previous Marks]]&gt;80,"A2",Table1[[#This Row],[Previous Marks]]&gt;70,"B1",Table1[[#This Row],[Previous Marks]]&gt;60,"B2",Table1[[#This Row],[Previous Marks]]&gt;50,"C1",Table1[[#This Row],[Previous Marks]]&gt;40,"C2")</f>
        <v>B1</v>
      </c>
      <c r="F538">
        <v>85</v>
      </c>
    </row>
    <row r="539" spans="2:6" x14ac:dyDescent="0.3">
      <c r="B539">
        <v>85</v>
      </c>
      <c r="C539" t="str" cm="1">
        <f t="array" ref="C539">_xlfn.IFS(B539&gt;90,"A1",B539&gt;80,"A2",B539&gt;70,"B1",B539&gt;60,"B2",B539&gt;50,"C1",B539&gt;40,"C2")</f>
        <v>A2</v>
      </c>
      <c r="D539">
        <v>77</v>
      </c>
      <c r="E539" t="str" cm="1">
        <f t="array" ref="E539">_xlfn.IFS(Table1[[#This Row],[Previous Marks]]&gt;90,"A1",Table1[[#This Row],[Previous Marks]]&gt;80,"A2",Table1[[#This Row],[Previous Marks]]&gt;70,"B1",Table1[[#This Row],[Previous Marks]]&gt;60,"B2",Table1[[#This Row],[Previous Marks]]&gt;50,"C1",Table1[[#This Row],[Previous Marks]]&gt;40,"C2")</f>
        <v>B1</v>
      </c>
      <c r="F539">
        <v>92</v>
      </c>
    </row>
    <row r="540" spans="2:6" x14ac:dyDescent="0.3">
      <c r="B540">
        <v>68</v>
      </c>
      <c r="C540" t="str" cm="1">
        <f t="array" ref="C540">_xlfn.IFS(B540&gt;90,"A1",B540&gt;80,"A2",B540&gt;70,"B1",B540&gt;60,"B2",B540&gt;50,"C1",B540&gt;40,"C2")</f>
        <v>B2</v>
      </c>
      <c r="D540">
        <v>85</v>
      </c>
      <c r="E540" t="str" cm="1">
        <f t="array" ref="E540">_xlfn.IFS(Table1[[#This Row],[Previous Marks]]&gt;90,"A1",Table1[[#This Row],[Previous Marks]]&gt;80,"A2",Table1[[#This Row],[Previous Marks]]&gt;70,"B1",Table1[[#This Row],[Previous Marks]]&gt;60,"B2",Table1[[#This Row],[Previous Marks]]&gt;50,"C1",Table1[[#This Row],[Previous Marks]]&gt;40,"C2")</f>
        <v>A2</v>
      </c>
      <c r="F540">
        <v>85</v>
      </c>
    </row>
    <row r="541" spans="2:6" x14ac:dyDescent="0.3">
      <c r="B541">
        <v>88</v>
      </c>
      <c r="C541" t="str" cm="1">
        <f t="array" ref="C541">_xlfn.IFS(B541&gt;90,"A1",B541&gt;80,"A2",B541&gt;70,"B1",B541&gt;60,"B2",B541&gt;50,"C1",B541&gt;40,"C2")</f>
        <v>A2</v>
      </c>
      <c r="D541">
        <v>78</v>
      </c>
      <c r="E541" t="str" cm="1">
        <f t="array" ref="E541">_xlfn.IFS(Table1[[#This Row],[Previous Marks]]&gt;90,"A1",Table1[[#This Row],[Previous Marks]]&gt;80,"A2",Table1[[#This Row],[Previous Marks]]&gt;70,"B1",Table1[[#This Row],[Previous Marks]]&gt;60,"B2",Table1[[#This Row],[Previous Marks]]&gt;50,"C1",Table1[[#This Row],[Previous Marks]]&gt;40,"C2")</f>
        <v>B1</v>
      </c>
      <c r="F541">
        <v>95</v>
      </c>
    </row>
    <row r="542" spans="2:6" x14ac:dyDescent="0.3">
      <c r="B542">
        <v>78</v>
      </c>
      <c r="C542" t="str" cm="1">
        <f t="array" ref="C542">_xlfn.IFS(B542&gt;90,"A1",B542&gt;80,"A2",B542&gt;70,"B1",B542&gt;60,"B2",B542&gt;50,"C1",B542&gt;40,"C2")</f>
        <v>B1</v>
      </c>
      <c r="D542">
        <v>85</v>
      </c>
      <c r="E542" t="str" cm="1">
        <f t="array" ref="E542">_xlfn.IFS(Table1[[#This Row],[Previous Marks]]&gt;90,"A1",Table1[[#This Row],[Previous Marks]]&gt;80,"A2",Table1[[#This Row],[Previous Marks]]&gt;70,"B1",Table1[[#This Row],[Previous Marks]]&gt;60,"B2",Table1[[#This Row],[Previous Marks]]&gt;50,"C1",Table1[[#This Row],[Previous Marks]]&gt;40,"C2")</f>
        <v>A2</v>
      </c>
      <c r="F542">
        <v>95</v>
      </c>
    </row>
    <row r="543" spans="2:6" x14ac:dyDescent="0.3">
      <c r="B543">
        <v>90</v>
      </c>
      <c r="C543" t="str" cm="1">
        <f t="array" ref="C543">_xlfn.IFS(B543&gt;90,"A1",B543&gt;80,"A2",B543&gt;70,"B1",B543&gt;60,"B2",B543&gt;50,"C1",B543&gt;40,"C2")</f>
        <v>A2</v>
      </c>
      <c r="D543">
        <v>60</v>
      </c>
      <c r="E543" t="str" cm="1">
        <f t="array" ref="E543">_xlfn.IFS(Table1[[#This Row],[Previous Marks]]&gt;90,"A1",Table1[[#This Row],[Previous Marks]]&gt;80,"A2",Table1[[#This Row],[Previous Marks]]&gt;70,"B1",Table1[[#This Row],[Previous Marks]]&gt;60,"B2",Table1[[#This Row],[Previous Marks]]&gt;50,"C1",Table1[[#This Row],[Previous Marks]]&gt;40,"C2")</f>
        <v>C1</v>
      </c>
      <c r="F543">
        <v>70</v>
      </c>
    </row>
    <row r="544" spans="2:6" x14ac:dyDescent="0.3">
      <c r="B544">
        <v>78</v>
      </c>
      <c r="C544" t="str" cm="1">
        <f t="array" ref="C544">_xlfn.IFS(B544&gt;90,"A1",B544&gt;80,"A2",B544&gt;70,"B1",B544&gt;60,"B2",B544&gt;50,"C1",B544&gt;40,"C2")</f>
        <v>B1</v>
      </c>
      <c r="D544">
        <v>60</v>
      </c>
      <c r="E544" t="str" cm="1">
        <f t="array" ref="E544">_xlfn.IFS(Table1[[#This Row],[Previous Marks]]&gt;90,"A1",Table1[[#This Row],[Previous Marks]]&gt;80,"A2",Table1[[#This Row],[Previous Marks]]&gt;70,"B1",Table1[[#This Row],[Previous Marks]]&gt;60,"B2",Table1[[#This Row],[Previous Marks]]&gt;50,"C1",Table1[[#This Row],[Previous Marks]]&gt;40,"C2")</f>
        <v>C1</v>
      </c>
      <c r="F544">
        <v>78</v>
      </c>
    </row>
    <row r="545" spans="2:6" x14ac:dyDescent="0.3">
      <c r="B545">
        <v>78</v>
      </c>
      <c r="C545" t="str" cm="1">
        <f t="array" ref="C545">_xlfn.IFS(B545&gt;90,"A1",B545&gt;80,"A2",B545&gt;70,"B1",B545&gt;60,"B2",B545&gt;50,"C1",B545&gt;40,"C2")</f>
        <v>B1</v>
      </c>
      <c r="D545">
        <v>82</v>
      </c>
      <c r="E545" t="str" cm="1">
        <f t="array" ref="E545">_xlfn.IFS(Table1[[#This Row],[Previous Marks]]&gt;90,"A1",Table1[[#This Row],[Previous Marks]]&gt;80,"A2",Table1[[#This Row],[Previous Marks]]&gt;70,"B1",Table1[[#This Row],[Previous Marks]]&gt;60,"B2",Table1[[#This Row],[Previous Marks]]&gt;50,"C1",Table1[[#This Row],[Previous Marks]]&gt;40,"C2")</f>
        <v>A2</v>
      </c>
      <c r="F545">
        <v>85</v>
      </c>
    </row>
    <row r="546" spans="2:6" x14ac:dyDescent="0.3">
      <c r="B546">
        <v>78</v>
      </c>
      <c r="C546" t="str" cm="1">
        <f t="array" ref="C546">_xlfn.IFS(B546&gt;90,"A1",B546&gt;80,"A2",B546&gt;70,"B1",B546&gt;60,"B2",B546&gt;50,"C1",B546&gt;40,"C2")</f>
        <v>B1</v>
      </c>
      <c r="D546">
        <v>77</v>
      </c>
      <c r="E546" t="str" cm="1">
        <f t="array" ref="E546">_xlfn.IFS(Table1[[#This Row],[Previous Marks]]&gt;90,"A1",Table1[[#This Row],[Previous Marks]]&gt;80,"A2",Table1[[#This Row],[Previous Marks]]&gt;70,"B1",Table1[[#This Row],[Previous Marks]]&gt;60,"B2",Table1[[#This Row],[Previous Marks]]&gt;50,"C1",Table1[[#This Row],[Previous Marks]]&gt;40,"C2")</f>
        <v>B1</v>
      </c>
      <c r="F546">
        <v>92</v>
      </c>
    </row>
    <row r="547" spans="2:6" x14ac:dyDescent="0.3">
      <c r="B547">
        <v>68</v>
      </c>
      <c r="C547" t="str" cm="1">
        <f t="array" ref="C547">_xlfn.IFS(B547&gt;90,"A1",B547&gt;80,"A2",B547&gt;70,"B1",B547&gt;60,"B2",B547&gt;50,"C1",B547&gt;40,"C2")</f>
        <v>B2</v>
      </c>
      <c r="D547">
        <v>90</v>
      </c>
      <c r="E547" t="str" cm="1">
        <f t="array" ref="E547">_xlfn.IFS(Table1[[#This Row],[Previous Marks]]&gt;90,"A1",Table1[[#This Row],[Previous Marks]]&gt;80,"A2",Table1[[#This Row],[Previous Marks]]&gt;70,"B1",Table1[[#This Row],[Previous Marks]]&gt;60,"B2",Table1[[#This Row],[Previous Marks]]&gt;50,"C1",Table1[[#This Row],[Previous Marks]]&gt;40,"C2")</f>
        <v>A2</v>
      </c>
      <c r="F547">
        <v>91</v>
      </c>
    </row>
    <row r="548" spans="2:6" x14ac:dyDescent="0.3">
      <c r="B548">
        <v>80</v>
      </c>
      <c r="C548" t="str" cm="1">
        <f t="array" ref="C548">_xlfn.IFS(B548&gt;90,"A1",B548&gt;80,"A2",B548&gt;70,"B1",B548&gt;60,"B2",B548&gt;50,"C1",B548&gt;40,"C2")</f>
        <v>B1</v>
      </c>
      <c r="D548">
        <v>82</v>
      </c>
      <c r="E548" t="str" cm="1">
        <f t="array" ref="E548">_xlfn.IFS(Table1[[#This Row],[Previous Marks]]&gt;90,"A1",Table1[[#This Row],[Previous Marks]]&gt;80,"A2",Table1[[#This Row],[Previous Marks]]&gt;70,"B1",Table1[[#This Row],[Previous Marks]]&gt;60,"B2",Table1[[#This Row],[Previous Marks]]&gt;50,"C1",Table1[[#This Row],[Previous Marks]]&gt;40,"C2")</f>
        <v>A2</v>
      </c>
      <c r="F548">
        <v>91</v>
      </c>
    </row>
    <row r="549" spans="2:6" x14ac:dyDescent="0.3">
      <c r="B549">
        <v>85</v>
      </c>
      <c r="C549" t="str" cm="1">
        <f t="array" ref="C549">_xlfn.IFS(B549&gt;90,"A1",B549&gt;80,"A2",B549&gt;70,"B1",B549&gt;60,"B2",B549&gt;50,"C1",B549&gt;40,"C2")</f>
        <v>A2</v>
      </c>
      <c r="D549">
        <v>88</v>
      </c>
      <c r="E549" t="str" cm="1">
        <f t="array" ref="E549">_xlfn.IFS(Table1[[#This Row],[Previous Marks]]&gt;90,"A1",Table1[[#This Row],[Previous Marks]]&gt;80,"A2",Table1[[#This Row],[Previous Marks]]&gt;70,"B1",Table1[[#This Row],[Previous Marks]]&gt;60,"B2",Table1[[#This Row],[Previous Marks]]&gt;50,"C1",Table1[[#This Row],[Previous Marks]]&gt;40,"C2")</f>
        <v>A2</v>
      </c>
      <c r="F549">
        <v>85</v>
      </c>
    </row>
    <row r="550" spans="2:6" x14ac:dyDescent="0.3">
      <c r="B550">
        <v>80.030208333333334</v>
      </c>
      <c r="C550" t="str" cm="1">
        <f t="array" ref="C550">_xlfn.IFS(B550&gt;90,"A1",B550&gt;80,"A2",B550&gt;70,"B1",B550&gt;60,"B2",B550&gt;50,"C1",B550&gt;40,"C2")</f>
        <v>A2</v>
      </c>
      <c r="D550">
        <v>77.598759048603924</v>
      </c>
      <c r="E550" t="str" cm="1">
        <f t="array" ref="E550">_xlfn.IFS(Table1[[#This Row],[Previous Marks]]&gt;90,"A1",Table1[[#This Row],[Previous Marks]]&gt;80,"A2",Table1[[#This Row],[Previous Marks]]&gt;70,"B1",Table1[[#This Row],[Previous Marks]]&gt;60,"B2",Table1[[#This Row],[Previous Marks]]&gt;50,"C1",Table1[[#This Row],[Previous Marks]]&gt;40,"C2")</f>
        <v>B1</v>
      </c>
      <c r="F550">
        <v>88</v>
      </c>
    </row>
    <row r="551" spans="2:6" x14ac:dyDescent="0.3">
      <c r="B551">
        <v>88</v>
      </c>
      <c r="C551" t="str" cm="1">
        <f t="array" ref="C551">_xlfn.IFS(B551&gt;90,"A1",B551&gt;80,"A2",B551&gt;70,"B1",B551&gt;60,"B2",B551&gt;50,"C1",B551&gt;40,"C2")</f>
        <v>A2</v>
      </c>
      <c r="D551">
        <v>70</v>
      </c>
      <c r="E551" t="str" cm="1">
        <f t="array" ref="E551">_xlfn.IFS(Table1[[#This Row],[Previous Marks]]&gt;90,"A1",Table1[[#This Row],[Previous Marks]]&gt;80,"A2",Table1[[#This Row],[Previous Marks]]&gt;70,"B1",Table1[[#This Row],[Previous Marks]]&gt;60,"B2",Table1[[#This Row],[Previous Marks]]&gt;50,"C1",Table1[[#This Row],[Previous Marks]]&gt;40,"C2")</f>
        <v>B2</v>
      </c>
      <c r="F551">
        <v>90</v>
      </c>
    </row>
    <row r="552" spans="2:6" x14ac:dyDescent="0.3">
      <c r="B552">
        <v>68</v>
      </c>
      <c r="C552" t="str" cm="1">
        <f t="array" ref="C552">_xlfn.IFS(B552&gt;90,"A1",B552&gt;80,"A2",B552&gt;70,"B1",B552&gt;60,"B2",B552&gt;50,"C1",B552&gt;40,"C2")</f>
        <v>B2</v>
      </c>
      <c r="D552">
        <v>86</v>
      </c>
      <c r="E552" t="str" cm="1">
        <f t="array" ref="E552">_xlfn.IFS(Table1[[#This Row],[Previous Marks]]&gt;90,"A1",Table1[[#This Row],[Previous Marks]]&gt;80,"A2",Table1[[#This Row],[Previous Marks]]&gt;70,"B1",Table1[[#This Row],[Previous Marks]]&gt;60,"B2",Table1[[#This Row],[Previous Marks]]&gt;50,"C1",Table1[[#This Row],[Previous Marks]]&gt;40,"C2")</f>
        <v>A2</v>
      </c>
      <c r="F552">
        <v>88</v>
      </c>
    </row>
    <row r="553" spans="2:6" x14ac:dyDescent="0.3">
      <c r="B553">
        <v>87</v>
      </c>
      <c r="C553" t="str" cm="1">
        <f t="array" ref="C553">_xlfn.IFS(B553&gt;90,"A1",B553&gt;80,"A2",B553&gt;70,"B1",B553&gt;60,"B2",B553&gt;50,"C1",B553&gt;40,"C2")</f>
        <v>A2</v>
      </c>
      <c r="D553">
        <v>82</v>
      </c>
      <c r="E553" t="str" cm="1">
        <f t="array" ref="E553">_xlfn.IFS(Table1[[#This Row],[Previous Marks]]&gt;90,"A1",Table1[[#This Row],[Previous Marks]]&gt;80,"A2",Table1[[#This Row],[Previous Marks]]&gt;70,"B1",Table1[[#This Row],[Previous Marks]]&gt;60,"B2",Table1[[#This Row],[Previous Marks]]&gt;50,"C1",Table1[[#This Row],[Previous Marks]]&gt;40,"C2")</f>
        <v>A2</v>
      </c>
      <c r="F553">
        <v>91</v>
      </c>
    </row>
    <row r="554" spans="2:6" x14ac:dyDescent="0.3">
      <c r="B554">
        <v>92</v>
      </c>
      <c r="C554" t="str" cm="1">
        <f t="array" ref="C554">_xlfn.IFS(B554&gt;90,"A1",B554&gt;80,"A2",B554&gt;70,"B1",B554&gt;60,"B2",B554&gt;50,"C1",B554&gt;40,"C2")</f>
        <v>A1</v>
      </c>
      <c r="D554">
        <v>88</v>
      </c>
      <c r="E554" t="str" cm="1">
        <f t="array" ref="E554">_xlfn.IFS(Table1[[#This Row],[Previous Marks]]&gt;90,"A1",Table1[[#This Row],[Previous Marks]]&gt;80,"A2",Table1[[#This Row],[Previous Marks]]&gt;70,"B1",Table1[[#This Row],[Previous Marks]]&gt;60,"B2",Table1[[#This Row],[Previous Marks]]&gt;50,"C1",Table1[[#This Row],[Previous Marks]]&gt;40,"C2")</f>
        <v>A2</v>
      </c>
      <c r="F554">
        <v>70</v>
      </c>
    </row>
    <row r="555" spans="2:6" x14ac:dyDescent="0.3">
      <c r="B555">
        <v>80</v>
      </c>
      <c r="C555" t="str" cm="1">
        <f t="array" ref="C555">_xlfn.IFS(B555&gt;90,"A1",B555&gt;80,"A2",B555&gt;70,"B1",B555&gt;60,"B2",B555&gt;50,"C1",B555&gt;40,"C2")</f>
        <v>B1</v>
      </c>
      <c r="D555">
        <v>70</v>
      </c>
      <c r="E555" t="str" cm="1">
        <f t="array" ref="E555">_xlfn.IFS(Table1[[#This Row],[Previous Marks]]&gt;90,"A1",Table1[[#This Row],[Previous Marks]]&gt;80,"A2",Table1[[#This Row],[Previous Marks]]&gt;70,"B1",Table1[[#This Row],[Previous Marks]]&gt;60,"B2",Table1[[#This Row],[Previous Marks]]&gt;50,"C1",Table1[[#This Row],[Previous Marks]]&gt;40,"C2")</f>
        <v>B2</v>
      </c>
      <c r="F555">
        <v>88</v>
      </c>
    </row>
    <row r="556" spans="2:6" x14ac:dyDescent="0.3">
      <c r="B556">
        <v>78</v>
      </c>
      <c r="C556" t="str" cm="1">
        <f t="array" ref="C556">_xlfn.IFS(B556&gt;90,"A1",B556&gt;80,"A2",B556&gt;70,"B1",B556&gt;60,"B2",B556&gt;50,"C1",B556&gt;40,"C2")</f>
        <v>B1</v>
      </c>
      <c r="D556">
        <v>88</v>
      </c>
      <c r="E556" t="str" cm="1">
        <f t="array" ref="E556">_xlfn.IFS(Table1[[#This Row],[Previous Marks]]&gt;90,"A1",Table1[[#This Row],[Previous Marks]]&gt;80,"A2",Table1[[#This Row],[Previous Marks]]&gt;70,"B1",Table1[[#This Row],[Previous Marks]]&gt;60,"B2",Table1[[#This Row],[Previous Marks]]&gt;50,"C1",Table1[[#This Row],[Previous Marks]]&gt;40,"C2")</f>
        <v>A2</v>
      </c>
      <c r="F556">
        <v>78</v>
      </c>
    </row>
    <row r="557" spans="2:6" x14ac:dyDescent="0.3">
      <c r="B557">
        <v>80</v>
      </c>
      <c r="C557" t="str" cm="1">
        <f t="array" ref="C557">_xlfn.IFS(B557&gt;90,"A1",B557&gt;80,"A2",B557&gt;70,"B1",B557&gt;60,"B2",B557&gt;50,"C1",B557&gt;40,"C2")</f>
        <v>B1</v>
      </c>
      <c r="D557">
        <v>88</v>
      </c>
      <c r="E557" t="str" cm="1">
        <f t="array" ref="E557">_xlfn.IFS(Table1[[#This Row],[Previous Marks]]&gt;90,"A1",Table1[[#This Row],[Previous Marks]]&gt;80,"A2",Table1[[#This Row],[Previous Marks]]&gt;70,"B1",Table1[[#This Row],[Previous Marks]]&gt;60,"B2",Table1[[#This Row],[Previous Marks]]&gt;50,"C1",Table1[[#This Row],[Previous Marks]]&gt;40,"C2")</f>
        <v>A2</v>
      </c>
      <c r="F557">
        <v>85</v>
      </c>
    </row>
    <row r="558" spans="2:6" x14ac:dyDescent="0.3">
      <c r="B558">
        <v>68</v>
      </c>
      <c r="C558" t="str" cm="1">
        <f t="array" ref="C558">_xlfn.IFS(B558&gt;90,"A1",B558&gt;80,"A2",B558&gt;70,"B1",B558&gt;60,"B2",B558&gt;50,"C1",B558&gt;40,"C2")</f>
        <v>B2</v>
      </c>
      <c r="D558">
        <v>77.598759048603924</v>
      </c>
      <c r="E558" t="str" cm="1">
        <f t="array" ref="E558">_xlfn.IFS(Table1[[#This Row],[Previous Marks]]&gt;90,"A1",Table1[[#This Row],[Previous Marks]]&gt;80,"A2",Table1[[#This Row],[Previous Marks]]&gt;70,"B1",Table1[[#This Row],[Previous Marks]]&gt;60,"B2",Table1[[#This Row],[Previous Marks]]&gt;50,"C1",Table1[[#This Row],[Previous Marks]]&gt;40,"C2")</f>
        <v>B1</v>
      </c>
      <c r="F558">
        <v>92</v>
      </c>
    </row>
    <row r="559" spans="2:6" x14ac:dyDescent="0.3">
      <c r="B559">
        <v>87</v>
      </c>
      <c r="C559" t="str" cm="1">
        <f t="array" ref="C559">_xlfn.IFS(B559&gt;90,"A1",B559&gt;80,"A2",B559&gt;70,"B1",B559&gt;60,"B2",B559&gt;50,"C1",B559&gt;40,"C2")</f>
        <v>A2</v>
      </c>
      <c r="D559">
        <v>60</v>
      </c>
      <c r="E559" t="str" cm="1">
        <f t="array" ref="E559">_xlfn.IFS(Table1[[#This Row],[Previous Marks]]&gt;90,"A1",Table1[[#This Row],[Previous Marks]]&gt;80,"A2",Table1[[#This Row],[Previous Marks]]&gt;70,"B1",Table1[[#This Row],[Previous Marks]]&gt;60,"B2",Table1[[#This Row],[Previous Marks]]&gt;50,"C1",Table1[[#This Row],[Previous Marks]]&gt;40,"C2")</f>
        <v>C1</v>
      </c>
      <c r="F559">
        <v>91</v>
      </c>
    </row>
    <row r="560" spans="2:6" x14ac:dyDescent="0.3">
      <c r="B560">
        <v>90</v>
      </c>
      <c r="C560" t="str" cm="1">
        <f t="array" ref="C560">_xlfn.IFS(B560&gt;90,"A1",B560&gt;80,"A2",B560&gt;70,"B1",B560&gt;60,"B2",B560&gt;50,"C1",B560&gt;40,"C2")</f>
        <v>A2</v>
      </c>
      <c r="D560">
        <v>85</v>
      </c>
      <c r="E560" t="str" cm="1">
        <f t="array" ref="E560">_xlfn.IFS(Table1[[#This Row],[Previous Marks]]&gt;90,"A1",Table1[[#This Row],[Previous Marks]]&gt;80,"A2",Table1[[#This Row],[Previous Marks]]&gt;70,"B1",Table1[[#This Row],[Previous Marks]]&gt;60,"B2",Table1[[#This Row],[Previous Marks]]&gt;50,"C1",Table1[[#This Row],[Previous Marks]]&gt;40,"C2")</f>
        <v>A2</v>
      </c>
      <c r="F560">
        <v>88</v>
      </c>
    </row>
    <row r="561" spans="2:6" x14ac:dyDescent="0.3">
      <c r="B561">
        <v>80.030208333333334</v>
      </c>
      <c r="C561" t="str" cm="1">
        <f t="array" ref="C561">_xlfn.IFS(B561&gt;90,"A1",B561&gt;80,"A2",B561&gt;70,"B1",B561&gt;60,"B2",B561&gt;50,"C1",B561&gt;40,"C2")</f>
        <v>A2</v>
      </c>
      <c r="D561">
        <v>88</v>
      </c>
      <c r="E561" t="str" cm="1">
        <f t="array" ref="E561">_xlfn.IFS(Table1[[#This Row],[Previous Marks]]&gt;90,"A1",Table1[[#This Row],[Previous Marks]]&gt;80,"A2",Table1[[#This Row],[Previous Marks]]&gt;70,"B1",Table1[[#This Row],[Previous Marks]]&gt;60,"B2",Table1[[#This Row],[Previous Marks]]&gt;50,"C1",Table1[[#This Row],[Previous Marks]]&gt;40,"C2")</f>
        <v>A2</v>
      </c>
      <c r="F561">
        <v>78</v>
      </c>
    </row>
    <row r="562" spans="2:6" x14ac:dyDescent="0.3">
      <c r="B562">
        <v>90</v>
      </c>
      <c r="C562" t="str" cm="1">
        <f t="array" ref="C562">_xlfn.IFS(B562&gt;90,"A1",B562&gt;80,"A2",B562&gt;70,"B1",B562&gt;60,"B2",B562&gt;50,"C1",B562&gt;40,"C2")</f>
        <v>A2</v>
      </c>
      <c r="D562">
        <v>77</v>
      </c>
      <c r="E562" t="str" cm="1">
        <f t="array" ref="E562">_xlfn.IFS(Table1[[#This Row],[Previous Marks]]&gt;90,"A1",Table1[[#This Row],[Previous Marks]]&gt;80,"A2",Table1[[#This Row],[Previous Marks]]&gt;70,"B1",Table1[[#This Row],[Previous Marks]]&gt;60,"B2",Table1[[#This Row],[Previous Marks]]&gt;50,"C1",Table1[[#This Row],[Previous Marks]]&gt;40,"C2")</f>
        <v>B1</v>
      </c>
      <c r="F562">
        <v>92</v>
      </c>
    </row>
    <row r="563" spans="2:6" x14ac:dyDescent="0.3">
      <c r="B563">
        <v>85</v>
      </c>
      <c r="C563" t="str" cm="1">
        <f t="array" ref="C563">_xlfn.IFS(B563&gt;90,"A1",B563&gt;80,"A2",B563&gt;70,"B1",B563&gt;60,"B2",B563&gt;50,"C1",B563&gt;40,"C2")</f>
        <v>A2</v>
      </c>
      <c r="D563">
        <v>70</v>
      </c>
      <c r="E563" t="str" cm="1">
        <f t="array" ref="E563">_xlfn.IFS(Table1[[#This Row],[Previous Marks]]&gt;90,"A1",Table1[[#This Row],[Previous Marks]]&gt;80,"A2",Table1[[#This Row],[Previous Marks]]&gt;70,"B1",Table1[[#This Row],[Previous Marks]]&gt;60,"B2",Table1[[#This Row],[Previous Marks]]&gt;50,"C1",Table1[[#This Row],[Previous Marks]]&gt;40,"C2")</f>
        <v>B2</v>
      </c>
      <c r="F563">
        <v>85</v>
      </c>
    </row>
    <row r="564" spans="2:6" x14ac:dyDescent="0.3">
      <c r="B564">
        <v>88</v>
      </c>
      <c r="C564" t="str" cm="1">
        <f t="array" ref="C564">_xlfn.IFS(B564&gt;90,"A1",B564&gt;80,"A2",B564&gt;70,"B1",B564&gt;60,"B2",B564&gt;50,"C1",B564&gt;40,"C2")</f>
        <v>A2</v>
      </c>
      <c r="D564">
        <v>70</v>
      </c>
      <c r="E564" t="str" cm="1">
        <f t="array" ref="E564">_xlfn.IFS(Table1[[#This Row],[Previous Marks]]&gt;90,"A1",Table1[[#This Row],[Previous Marks]]&gt;80,"A2",Table1[[#This Row],[Previous Marks]]&gt;70,"B1",Table1[[#This Row],[Previous Marks]]&gt;60,"B2",Table1[[#This Row],[Previous Marks]]&gt;50,"C1",Table1[[#This Row],[Previous Marks]]&gt;40,"C2")</f>
        <v>B2</v>
      </c>
      <c r="F564">
        <v>85</v>
      </c>
    </row>
    <row r="565" spans="2:6" x14ac:dyDescent="0.3">
      <c r="B565">
        <v>78</v>
      </c>
      <c r="C565" t="str" cm="1">
        <f t="array" ref="C565">_xlfn.IFS(B565&gt;90,"A1",B565&gt;80,"A2",B565&gt;70,"B1",B565&gt;60,"B2",B565&gt;50,"C1",B565&gt;40,"C2")</f>
        <v>B1</v>
      </c>
      <c r="D565">
        <v>82</v>
      </c>
      <c r="E565" t="str" cm="1">
        <f t="array" ref="E565">_xlfn.IFS(Table1[[#This Row],[Previous Marks]]&gt;90,"A1",Table1[[#This Row],[Previous Marks]]&gt;80,"A2",Table1[[#This Row],[Previous Marks]]&gt;70,"B1",Table1[[#This Row],[Previous Marks]]&gt;60,"B2",Table1[[#This Row],[Previous Marks]]&gt;50,"C1",Table1[[#This Row],[Previous Marks]]&gt;40,"C2")</f>
        <v>A2</v>
      </c>
      <c r="F565">
        <v>92</v>
      </c>
    </row>
    <row r="566" spans="2:6" x14ac:dyDescent="0.3">
      <c r="B566">
        <v>87</v>
      </c>
      <c r="C566" t="str" cm="1">
        <f t="array" ref="C566">_xlfn.IFS(B566&gt;90,"A1",B566&gt;80,"A2",B566&gt;70,"B1",B566&gt;60,"B2",B566&gt;50,"C1",B566&gt;40,"C2")</f>
        <v>A2</v>
      </c>
      <c r="D566">
        <v>86</v>
      </c>
      <c r="E566" t="str" cm="1">
        <f t="array" ref="E566">_xlfn.IFS(Table1[[#This Row],[Previous Marks]]&gt;90,"A1",Table1[[#This Row],[Previous Marks]]&gt;80,"A2",Table1[[#This Row],[Previous Marks]]&gt;70,"B1",Table1[[#This Row],[Previous Marks]]&gt;60,"B2",Table1[[#This Row],[Previous Marks]]&gt;50,"C1",Table1[[#This Row],[Previous Marks]]&gt;40,"C2")</f>
        <v>A2</v>
      </c>
      <c r="F566">
        <v>90</v>
      </c>
    </row>
    <row r="567" spans="2:6" x14ac:dyDescent="0.3">
      <c r="B567">
        <v>85</v>
      </c>
      <c r="C567" t="str" cm="1">
        <f t="array" ref="C567">_xlfn.IFS(B567&gt;90,"A1",B567&gt;80,"A2",B567&gt;70,"B1",B567&gt;60,"B2",B567&gt;50,"C1",B567&gt;40,"C2")</f>
        <v>A2</v>
      </c>
      <c r="D567">
        <v>90</v>
      </c>
      <c r="E567" t="str" cm="1">
        <f t="array" ref="E567">_xlfn.IFS(Table1[[#This Row],[Previous Marks]]&gt;90,"A1",Table1[[#This Row],[Previous Marks]]&gt;80,"A2",Table1[[#This Row],[Previous Marks]]&gt;70,"B1",Table1[[#This Row],[Previous Marks]]&gt;60,"B2",Table1[[#This Row],[Previous Marks]]&gt;50,"C1",Table1[[#This Row],[Previous Marks]]&gt;40,"C2")</f>
        <v>A2</v>
      </c>
      <c r="F567">
        <v>88</v>
      </c>
    </row>
    <row r="568" spans="2:6" x14ac:dyDescent="0.3">
      <c r="B568">
        <v>80</v>
      </c>
      <c r="C568" t="str" cm="1">
        <f t="array" ref="C568">_xlfn.IFS(B568&gt;90,"A1",B568&gt;80,"A2",B568&gt;70,"B1",B568&gt;60,"B2",B568&gt;50,"C1",B568&gt;40,"C2")</f>
        <v>B1</v>
      </c>
      <c r="D568">
        <v>78</v>
      </c>
      <c r="E568" t="str" cm="1">
        <f t="array" ref="E568">_xlfn.IFS(Table1[[#This Row],[Previous Marks]]&gt;90,"A1",Table1[[#This Row],[Previous Marks]]&gt;80,"A2",Table1[[#This Row],[Previous Marks]]&gt;70,"B1",Table1[[#This Row],[Previous Marks]]&gt;60,"B2",Table1[[#This Row],[Previous Marks]]&gt;50,"C1",Table1[[#This Row],[Previous Marks]]&gt;40,"C2")</f>
        <v>B1</v>
      </c>
      <c r="F568">
        <v>85</v>
      </c>
    </row>
    <row r="569" spans="2:6" x14ac:dyDescent="0.3">
      <c r="B569">
        <v>78</v>
      </c>
      <c r="C569" t="str" cm="1">
        <f t="array" ref="C569">_xlfn.IFS(B569&gt;90,"A1",B569&gt;80,"A2",B569&gt;70,"B1",B569&gt;60,"B2",B569&gt;50,"C1",B569&gt;40,"C2")</f>
        <v>B1</v>
      </c>
      <c r="D569">
        <v>90</v>
      </c>
      <c r="E569" t="str" cm="1">
        <f t="array" ref="E569">_xlfn.IFS(Table1[[#This Row],[Previous Marks]]&gt;90,"A1",Table1[[#This Row],[Previous Marks]]&gt;80,"A2",Table1[[#This Row],[Previous Marks]]&gt;70,"B1",Table1[[#This Row],[Previous Marks]]&gt;60,"B2",Table1[[#This Row],[Previous Marks]]&gt;50,"C1",Table1[[#This Row],[Previous Marks]]&gt;40,"C2")</f>
        <v>A2</v>
      </c>
      <c r="F569">
        <v>88</v>
      </c>
    </row>
    <row r="570" spans="2:6" x14ac:dyDescent="0.3">
      <c r="B570">
        <v>68</v>
      </c>
      <c r="C570" t="str" cm="1">
        <f t="array" ref="C570">_xlfn.IFS(B570&gt;90,"A1",B570&gt;80,"A2",B570&gt;70,"B1",B570&gt;60,"B2",B570&gt;50,"C1",B570&gt;40,"C2")</f>
        <v>B2</v>
      </c>
      <c r="D570">
        <v>77</v>
      </c>
      <c r="E570" t="str" cm="1">
        <f t="array" ref="E570">_xlfn.IFS(Table1[[#This Row],[Previous Marks]]&gt;90,"A1",Table1[[#This Row],[Previous Marks]]&gt;80,"A2",Table1[[#This Row],[Previous Marks]]&gt;70,"B1",Table1[[#This Row],[Previous Marks]]&gt;60,"B2",Table1[[#This Row],[Previous Marks]]&gt;50,"C1",Table1[[#This Row],[Previous Marks]]&gt;40,"C2")</f>
        <v>B1</v>
      </c>
      <c r="F570">
        <v>88</v>
      </c>
    </row>
    <row r="571" spans="2:6" x14ac:dyDescent="0.3">
      <c r="B571">
        <v>80</v>
      </c>
      <c r="C571" t="str" cm="1">
        <f t="array" ref="C571">_xlfn.IFS(B571&gt;90,"A1",B571&gt;80,"A2",B571&gt;70,"B1",B571&gt;60,"B2",B571&gt;50,"C1",B571&gt;40,"C2")</f>
        <v>B1</v>
      </c>
      <c r="D571">
        <v>88</v>
      </c>
      <c r="E571" t="str" cm="1">
        <f t="array" ref="E571">_xlfn.IFS(Table1[[#This Row],[Previous Marks]]&gt;90,"A1",Table1[[#This Row],[Previous Marks]]&gt;80,"A2",Table1[[#This Row],[Previous Marks]]&gt;70,"B1",Table1[[#This Row],[Previous Marks]]&gt;60,"B2",Table1[[#This Row],[Previous Marks]]&gt;50,"C1",Table1[[#This Row],[Previous Marks]]&gt;40,"C2")</f>
        <v>A2</v>
      </c>
      <c r="F571">
        <v>78</v>
      </c>
    </row>
    <row r="572" spans="2:6" x14ac:dyDescent="0.3">
      <c r="B572">
        <v>68</v>
      </c>
      <c r="C572" t="str" cm="1">
        <f t="array" ref="C572">_xlfn.IFS(B572&gt;90,"A1",B572&gt;80,"A2",B572&gt;70,"B1",B572&gt;60,"B2",B572&gt;50,"C1",B572&gt;40,"C2")</f>
        <v>B2</v>
      </c>
      <c r="D572">
        <v>88</v>
      </c>
      <c r="E572" t="str" cm="1">
        <f t="array" ref="E572">_xlfn.IFS(Table1[[#This Row],[Previous Marks]]&gt;90,"A1",Table1[[#This Row],[Previous Marks]]&gt;80,"A2",Table1[[#This Row],[Previous Marks]]&gt;70,"B1",Table1[[#This Row],[Previous Marks]]&gt;60,"B2",Table1[[#This Row],[Previous Marks]]&gt;50,"C1",Table1[[#This Row],[Previous Marks]]&gt;40,"C2")</f>
        <v>A2</v>
      </c>
      <c r="F572">
        <v>78</v>
      </c>
    </row>
    <row r="573" spans="2:6" x14ac:dyDescent="0.3">
      <c r="B573">
        <v>62</v>
      </c>
      <c r="C573" t="str" cm="1">
        <f t="array" ref="C573">_xlfn.IFS(B573&gt;90,"A1",B573&gt;80,"A2",B573&gt;70,"B1",B573&gt;60,"B2",B573&gt;50,"C1",B573&gt;40,"C2")</f>
        <v>B2</v>
      </c>
      <c r="D573">
        <v>77</v>
      </c>
      <c r="E573" t="str" cm="1">
        <f t="array" ref="E573">_xlfn.IFS(Table1[[#This Row],[Previous Marks]]&gt;90,"A1",Table1[[#This Row],[Previous Marks]]&gt;80,"A2",Table1[[#This Row],[Previous Marks]]&gt;70,"B1",Table1[[#This Row],[Previous Marks]]&gt;60,"B2",Table1[[#This Row],[Previous Marks]]&gt;50,"C1",Table1[[#This Row],[Previous Marks]]&gt;40,"C2")</f>
        <v>B1</v>
      </c>
      <c r="F573">
        <v>88</v>
      </c>
    </row>
    <row r="574" spans="2:6" x14ac:dyDescent="0.3">
      <c r="B574">
        <v>62</v>
      </c>
      <c r="C574" t="str" cm="1">
        <f t="array" ref="C574">_xlfn.IFS(B574&gt;90,"A1",B574&gt;80,"A2",B574&gt;70,"B1",B574&gt;60,"B2",B574&gt;50,"C1",B574&gt;40,"C2")</f>
        <v>B2</v>
      </c>
      <c r="D574">
        <v>90</v>
      </c>
      <c r="E574" t="str" cm="1">
        <f t="array" ref="E574">_xlfn.IFS(Table1[[#This Row],[Previous Marks]]&gt;90,"A1",Table1[[#This Row],[Previous Marks]]&gt;80,"A2",Table1[[#This Row],[Previous Marks]]&gt;70,"B1",Table1[[#This Row],[Previous Marks]]&gt;60,"B2",Table1[[#This Row],[Previous Marks]]&gt;50,"C1",Table1[[#This Row],[Previous Marks]]&gt;40,"C2")</f>
        <v>A2</v>
      </c>
      <c r="F574">
        <v>90</v>
      </c>
    </row>
    <row r="575" spans="2:6" x14ac:dyDescent="0.3">
      <c r="B575">
        <v>78</v>
      </c>
      <c r="C575" t="str" cm="1">
        <f t="array" ref="C575">_xlfn.IFS(B575&gt;90,"A1",B575&gt;80,"A2",B575&gt;70,"B1",B575&gt;60,"B2",B575&gt;50,"C1",B575&gt;40,"C2")</f>
        <v>B1</v>
      </c>
      <c r="D575">
        <v>85</v>
      </c>
      <c r="E575" t="str" cm="1">
        <f t="array" ref="E575">_xlfn.IFS(Table1[[#This Row],[Previous Marks]]&gt;90,"A1",Table1[[#This Row],[Previous Marks]]&gt;80,"A2",Table1[[#This Row],[Previous Marks]]&gt;70,"B1",Table1[[#This Row],[Previous Marks]]&gt;60,"B2",Table1[[#This Row],[Previous Marks]]&gt;50,"C1",Table1[[#This Row],[Previous Marks]]&gt;40,"C2")</f>
        <v>A2</v>
      </c>
      <c r="F575">
        <v>91</v>
      </c>
    </row>
    <row r="576" spans="2:6" x14ac:dyDescent="0.3">
      <c r="B576">
        <v>88</v>
      </c>
      <c r="C576" t="str" cm="1">
        <f t="array" ref="C576">_xlfn.IFS(B576&gt;90,"A1",B576&gt;80,"A2",B576&gt;70,"B1",B576&gt;60,"B2",B576&gt;50,"C1",B576&gt;40,"C2")</f>
        <v>A2</v>
      </c>
      <c r="D576">
        <v>86</v>
      </c>
      <c r="E576" t="str" cm="1">
        <f t="array" ref="E576">_xlfn.IFS(Table1[[#This Row],[Previous Marks]]&gt;90,"A1",Table1[[#This Row],[Previous Marks]]&gt;80,"A2",Table1[[#This Row],[Previous Marks]]&gt;70,"B1",Table1[[#This Row],[Previous Marks]]&gt;60,"B2",Table1[[#This Row],[Previous Marks]]&gt;50,"C1",Table1[[#This Row],[Previous Marks]]&gt;40,"C2")</f>
        <v>A2</v>
      </c>
      <c r="F576">
        <v>70</v>
      </c>
    </row>
    <row r="577" spans="2:6" x14ac:dyDescent="0.3">
      <c r="B577">
        <v>80</v>
      </c>
      <c r="C577" t="str" cm="1">
        <f t="array" ref="C577">_xlfn.IFS(B577&gt;90,"A1",B577&gt;80,"A2",B577&gt;70,"B1",B577&gt;60,"B2",B577&gt;50,"C1",B577&gt;40,"C2")</f>
        <v>B1</v>
      </c>
      <c r="D577">
        <v>65</v>
      </c>
      <c r="E577" t="str" cm="1">
        <f t="array" ref="E577">_xlfn.IFS(Table1[[#This Row],[Previous Marks]]&gt;90,"A1",Table1[[#This Row],[Previous Marks]]&gt;80,"A2",Table1[[#This Row],[Previous Marks]]&gt;70,"B1",Table1[[#This Row],[Previous Marks]]&gt;60,"B2",Table1[[#This Row],[Previous Marks]]&gt;50,"C1",Table1[[#This Row],[Previous Marks]]&gt;40,"C2")</f>
        <v>B2</v>
      </c>
      <c r="F577">
        <v>90</v>
      </c>
    </row>
    <row r="578" spans="2:6" x14ac:dyDescent="0.3">
      <c r="B578">
        <v>92</v>
      </c>
      <c r="C578" t="str" cm="1">
        <f t="array" ref="C578">_xlfn.IFS(B578&gt;90,"A1",B578&gt;80,"A2",B578&gt;70,"B1",B578&gt;60,"B2",B578&gt;50,"C1",B578&gt;40,"C2")</f>
        <v>A1</v>
      </c>
      <c r="D578">
        <v>86</v>
      </c>
      <c r="E578" t="str" cm="1">
        <f t="array" ref="E578">_xlfn.IFS(Table1[[#This Row],[Previous Marks]]&gt;90,"A1",Table1[[#This Row],[Previous Marks]]&gt;80,"A2",Table1[[#This Row],[Previous Marks]]&gt;70,"B1",Table1[[#This Row],[Previous Marks]]&gt;60,"B2",Table1[[#This Row],[Previous Marks]]&gt;50,"C1",Table1[[#This Row],[Previous Marks]]&gt;40,"C2")</f>
        <v>A2</v>
      </c>
      <c r="F578">
        <v>70</v>
      </c>
    </row>
    <row r="579" spans="2:6" x14ac:dyDescent="0.3">
      <c r="B579">
        <v>72</v>
      </c>
      <c r="C579" t="str" cm="1">
        <f t="array" ref="C579">_xlfn.IFS(B579&gt;90,"A1",B579&gt;80,"A2",B579&gt;70,"B1",B579&gt;60,"B2",B579&gt;50,"C1",B579&gt;40,"C2")</f>
        <v>B1</v>
      </c>
      <c r="D579">
        <v>86</v>
      </c>
      <c r="E579" t="str" cm="1">
        <f t="array" ref="E579">_xlfn.IFS(Table1[[#This Row],[Previous Marks]]&gt;90,"A1",Table1[[#This Row],[Previous Marks]]&gt;80,"A2",Table1[[#This Row],[Previous Marks]]&gt;70,"B1",Table1[[#This Row],[Previous Marks]]&gt;60,"B2",Table1[[#This Row],[Previous Marks]]&gt;50,"C1",Table1[[#This Row],[Previous Marks]]&gt;40,"C2")</f>
        <v>A2</v>
      </c>
      <c r="F579">
        <v>95</v>
      </c>
    </row>
    <row r="580" spans="2:6" x14ac:dyDescent="0.3">
      <c r="B580">
        <v>87</v>
      </c>
      <c r="C580" t="str" cm="1">
        <f t="array" ref="C580">_xlfn.IFS(B580&gt;90,"A1",B580&gt;80,"A2",B580&gt;70,"B1",B580&gt;60,"B2",B580&gt;50,"C1",B580&gt;40,"C2")</f>
        <v>A2</v>
      </c>
      <c r="D580">
        <v>78</v>
      </c>
      <c r="E580" t="str" cm="1">
        <f t="array" ref="E580">_xlfn.IFS(Table1[[#This Row],[Previous Marks]]&gt;90,"A1",Table1[[#This Row],[Previous Marks]]&gt;80,"A2",Table1[[#This Row],[Previous Marks]]&gt;70,"B1",Table1[[#This Row],[Previous Marks]]&gt;60,"B2",Table1[[#This Row],[Previous Marks]]&gt;50,"C1",Table1[[#This Row],[Previous Marks]]&gt;40,"C2")</f>
        <v>B1</v>
      </c>
      <c r="F580">
        <v>82</v>
      </c>
    </row>
    <row r="581" spans="2:6" x14ac:dyDescent="0.3">
      <c r="B581">
        <v>72</v>
      </c>
      <c r="C581" t="str" cm="1">
        <f t="array" ref="C581">_xlfn.IFS(B581&gt;90,"A1",B581&gt;80,"A2",B581&gt;70,"B1",B581&gt;60,"B2",B581&gt;50,"C1",B581&gt;40,"C2")</f>
        <v>B1</v>
      </c>
      <c r="D581">
        <v>60</v>
      </c>
      <c r="E581" t="str" cm="1">
        <f t="array" ref="E581">_xlfn.IFS(Table1[[#This Row],[Previous Marks]]&gt;90,"A1",Table1[[#This Row],[Previous Marks]]&gt;80,"A2",Table1[[#This Row],[Previous Marks]]&gt;70,"B1",Table1[[#This Row],[Previous Marks]]&gt;60,"B2",Table1[[#This Row],[Previous Marks]]&gt;50,"C1",Table1[[#This Row],[Previous Marks]]&gt;40,"C2")</f>
        <v>C1</v>
      </c>
      <c r="F581">
        <v>95</v>
      </c>
    </row>
    <row r="582" spans="2:6" x14ac:dyDescent="0.3">
      <c r="B582">
        <v>85</v>
      </c>
      <c r="C582" t="str" cm="1">
        <f t="array" ref="C582">_xlfn.IFS(B582&gt;90,"A1",B582&gt;80,"A2",B582&gt;70,"B1",B582&gt;60,"B2",B582&gt;50,"C1",B582&gt;40,"C2")</f>
        <v>A2</v>
      </c>
      <c r="D582">
        <v>88</v>
      </c>
      <c r="E582" t="str" cm="1">
        <f t="array" ref="E582">_xlfn.IFS(Table1[[#This Row],[Previous Marks]]&gt;90,"A1",Table1[[#This Row],[Previous Marks]]&gt;80,"A2",Table1[[#This Row],[Previous Marks]]&gt;70,"B1",Table1[[#This Row],[Previous Marks]]&gt;60,"B2",Table1[[#This Row],[Previous Marks]]&gt;50,"C1",Table1[[#This Row],[Previous Marks]]&gt;40,"C2")</f>
        <v>A2</v>
      </c>
      <c r="F582">
        <v>82</v>
      </c>
    </row>
    <row r="583" spans="2:6" x14ac:dyDescent="0.3">
      <c r="B583">
        <v>62</v>
      </c>
      <c r="C583" t="str" cm="1">
        <f t="array" ref="C583">_xlfn.IFS(B583&gt;90,"A1",B583&gt;80,"A2",B583&gt;70,"B1",B583&gt;60,"B2",B583&gt;50,"C1",B583&gt;40,"C2")</f>
        <v>B2</v>
      </c>
      <c r="D583">
        <v>65</v>
      </c>
      <c r="E583" t="str" cm="1">
        <f t="array" ref="E583">_xlfn.IFS(Table1[[#This Row],[Previous Marks]]&gt;90,"A1",Table1[[#This Row],[Previous Marks]]&gt;80,"A2",Table1[[#This Row],[Previous Marks]]&gt;70,"B1",Table1[[#This Row],[Previous Marks]]&gt;60,"B2",Table1[[#This Row],[Previous Marks]]&gt;50,"C1",Table1[[#This Row],[Previous Marks]]&gt;40,"C2")</f>
        <v>B2</v>
      </c>
      <c r="F583">
        <v>90</v>
      </c>
    </row>
    <row r="584" spans="2:6" x14ac:dyDescent="0.3">
      <c r="B584">
        <v>78</v>
      </c>
      <c r="C584" t="str" cm="1">
        <f t="array" ref="C584">_xlfn.IFS(B584&gt;90,"A1",B584&gt;80,"A2",B584&gt;70,"B1",B584&gt;60,"B2",B584&gt;50,"C1",B584&gt;40,"C2")</f>
        <v>B1</v>
      </c>
      <c r="D584">
        <v>60</v>
      </c>
      <c r="E584" t="str" cm="1">
        <f t="array" ref="E584">_xlfn.IFS(Table1[[#This Row],[Previous Marks]]&gt;90,"A1",Table1[[#This Row],[Previous Marks]]&gt;80,"A2",Table1[[#This Row],[Previous Marks]]&gt;70,"B1",Table1[[#This Row],[Previous Marks]]&gt;60,"B2",Table1[[#This Row],[Previous Marks]]&gt;50,"C1",Table1[[#This Row],[Previous Marks]]&gt;40,"C2")</f>
        <v>C1</v>
      </c>
      <c r="F584">
        <v>85</v>
      </c>
    </row>
    <row r="585" spans="2:6" x14ac:dyDescent="0.3">
      <c r="B585">
        <v>88</v>
      </c>
      <c r="C585" t="str" cm="1">
        <f t="array" ref="C585">_xlfn.IFS(B585&gt;90,"A1",B585&gt;80,"A2",B585&gt;70,"B1",B585&gt;60,"B2",B585&gt;50,"C1",B585&gt;40,"C2")</f>
        <v>A2</v>
      </c>
      <c r="D585">
        <v>60</v>
      </c>
      <c r="E585" t="str" cm="1">
        <f t="array" ref="E585">_xlfn.IFS(Table1[[#This Row],[Previous Marks]]&gt;90,"A1",Table1[[#This Row],[Previous Marks]]&gt;80,"A2",Table1[[#This Row],[Previous Marks]]&gt;70,"B1",Table1[[#This Row],[Previous Marks]]&gt;60,"B2",Table1[[#This Row],[Previous Marks]]&gt;50,"C1",Table1[[#This Row],[Previous Marks]]&gt;40,"C2")</f>
        <v>C1</v>
      </c>
      <c r="F585">
        <v>92</v>
      </c>
    </row>
    <row r="586" spans="2:6" x14ac:dyDescent="0.3">
      <c r="B586">
        <v>80</v>
      </c>
      <c r="C586" t="str" cm="1">
        <f t="array" ref="C586">_xlfn.IFS(B586&gt;90,"A1",B586&gt;80,"A2",B586&gt;70,"B1",B586&gt;60,"B2",B586&gt;50,"C1",B586&gt;40,"C2")</f>
        <v>B1</v>
      </c>
      <c r="D586">
        <v>86</v>
      </c>
      <c r="E586" t="str" cm="1">
        <f t="array" ref="E586">_xlfn.IFS(Table1[[#This Row],[Previous Marks]]&gt;90,"A1",Table1[[#This Row],[Previous Marks]]&gt;80,"A2",Table1[[#This Row],[Previous Marks]]&gt;70,"B1",Table1[[#This Row],[Previous Marks]]&gt;60,"B2",Table1[[#This Row],[Previous Marks]]&gt;50,"C1",Table1[[#This Row],[Previous Marks]]&gt;40,"C2")</f>
        <v>A2</v>
      </c>
      <c r="F586">
        <v>70</v>
      </c>
    </row>
    <row r="587" spans="2:6" x14ac:dyDescent="0.3">
      <c r="B587">
        <v>72</v>
      </c>
      <c r="C587" t="str" cm="1">
        <f t="array" ref="C587">_xlfn.IFS(B587&gt;90,"A1",B587&gt;80,"A2",B587&gt;70,"B1",B587&gt;60,"B2",B587&gt;50,"C1",B587&gt;40,"C2")</f>
        <v>B1</v>
      </c>
      <c r="D587">
        <v>77.598759048603924</v>
      </c>
      <c r="E587" t="str" cm="1">
        <f t="array" ref="E587">_xlfn.IFS(Table1[[#This Row],[Previous Marks]]&gt;90,"A1",Table1[[#This Row],[Previous Marks]]&gt;80,"A2",Table1[[#This Row],[Previous Marks]]&gt;70,"B1",Table1[[#This Row],[Previous Marks]]&gt;60,"B2",Table1[[#This Row],[Previous Marks]]&gt;50,"C1",Table1[[#This Row],[Previous Marks]]&gt;40,"C2")</f>
        <v>B1</v>
      </c>
      <c r="F587">
        <v>90</v>
      </c>
    </row>
    <row r="588" spans="2:6" x14ac:dyDescent="0.3">
      <c r="B588">
        <v>80</v>
      </c>
      <c r="C588" t="str" cm="1">
        <f t="array" ref="C588">_xlfn.IFS(B588&gt;90,"A1",B588&gt;80,"A2",B588&gt;70,"B1",B588&gt;60,"B2",B588&gt;50,"C1",B588&gt;40,"C2")</f>
        <v>B1</v>
      </c>
      <c r="D588">
        <v>86</v>
      </c>
      <c r="E588" t="str" cm="1">
        <f t="array" ref="E588">_xlfn.IFS(Table1[[#This Row],[Previous Marks]]&gt;90,"A1",Table1[[#This Row],[Previous Marks]]&gt;80,"A2",Table1[[#This Row],[Previous Marks]]&gt;70,"B1",Table1[[#This Row],[Previous Marks]]&gt;60,"B2",Table1[[#This Row],[Previous Marks]]&gt;50,"C1",Table1[[#This Row],[Previous Marks]]&gt;40,"C2")</f>
        <v>A2</v>
      </c>
      <c r="F588">
        <v>90</v>
      </c>
    </row>
    <row r="589" spans="2:6" x14ac:dyDescent="0.3">
      <c r="B589">
        <v>90</v>
      </c>
      <c r="C589" t="str" cm="1">
        <f t="array" ref="C589">_xlfn.IFS(B589&gt;90,"A1",B589&gt;80,"A2",B589&gt;70,"B1",B589&gt;60,"B2",B589&gt;50,"C1",B589&gt;40,"C2")</f>
        <v>A2</v>
      </c>
      <c r="D589">
        <v>86</v>
      </c>
      <c r="E589" t="str" cm="1">
        <f t="array" ref="E589">_xlfn.IFS(Table1[[#This Row],[Previous Marks]]&gt;90,"A1",Table1[[#This Row],[Previous Marks]]&gt;80,"A2",Table1[[#This Row],[Previous Marks]]&gt;70,"B1",Table1[[#This Row],[Previous Marks]]&gt;60,"B2",Table1[[#This Row],[Previous Marks]]&gt;50,"C1",Table1[[#This Row],[Previous Marks]]&gt;40,"C2")</f>
        <v>A2</v>
      </c>
      <c r="F589">
        <v>82</v>
      </c>
    </row>
    <row r="590" spans="2:6" x14ac:dyDescent="0.3">
      <c r="B590">
        <v>78</v>
      </c>
      <c r="C590" t="str" cm="1">
        <f t="array" ref="C590">_xlfn.IFS(B590&gt;90,"A1",B590&gt;80,"A2",B590&gt;70,"B1",B590&gt;60,"B2",B590&gt;50,"C1",B590&gt;40,"C2")</f>
        <v>B1</v>
      </c>
      <c r="D590">
        <v>86</v>
      </c>
      <c r="E590" t="str" cm="1">
        <f t="array" ref="E590">_xlfn.IFS(Table1[[#This Row],[Previous Marks]]&gt;90,"A1",Table1[[#This Row],[Previous Marks]]&gt;80,"A2",Table1[[#This Row],[Previous Marks]]&gt;70,"B1",Table1[[#This Row],[Previous Marks]]&gt;60,"B2",Table1[[#This Row],[Previous Marks]]&gt;50,"C1",Table1[[#This Row],[Previous Marks]]&gt;40,"C2")</f>
        <v>A2</v>
      </c>
      <c r="F590">
        <v>91</v>
      </c>
    </row>
    <row r="591" spans="2:6" x14ac:dyDescent="0.3">
      <c r="B591">
        <v>87</v>
      </c>
      <c r="C591" t="str" cm="1">
        <f t="array" ref="C591">_xlfn.IFS(B591&gt;90,"A1",B591&gt;80,"A2",B591&gt;70,"B1",B591&gt;60,"B2",B591&gt;50,"C1",B591&gt;40,"C2")</f>
        <v>A2</v>
      </c>
      <c r="D591">
        <v>85</v>
      </c>
      <c r="E591" t="str" cm="1">
        <f t="array" ref="E591">_xlfn.IFS(Table1[[#This Row],[Previous Marks]]&gt;90,"A1",Table1[[#This Row],[Previous Marks]]&gt;80,"A2",Table1[[#This Row],[Previous Marks]]&gt;70,"B1",Table1[[#This Row],[Previous Marks]]&gt;60,"B2",Table1[[#This Row],[Previous Marks]]&gt;50,"C1",Table1[[#This Row],[Previous Marks]]&gt;40,"C2")</f>
        <v>A2</v>
      </c>
      <c r="F591">
        <v>88</v>
      </c>
    </row>
    <row r="592" spans="2:6" x14ac:dyDescent="0.3">
      <c r="B592">
        <v>68</v>
      </c>
      <c r="C592" t="str" cm="1">
        <f t="array" ref="C592">_xlfn.IFS(B592&gt;90,"A1",B592&gt;80,"A2",B592&gt;70,"B1",B592&gt;60,"B2",B592&gt;50,"C1",B592&gt;40,"C2")</f>
        <v>B2</v>
      </c>
      <c r="D592">
        <v>78</v>
      </c>
      <c r="E592" t="str" cm="1">
        <f t="array" ref="E592">_xlfn.IFS(Table1[[#This Row],[Previous Marks]]&gt;90,"A1",Table1[[#This Row],[Previous Marks]]&gt;80,"A2",Table1[[#This Row],[Previous Marks]]&gt;70,"B1",Table1[[#This Row],[Previous Marks]]&gt;60,"B2",Table1[[#This Row],[Previous Marks]]&gt;50,"C1",Table1[[#This Row],[Previous Marks]]&gt;40,"C2")</f>
        <v>B1</v>
      </c>
      <c r="F592">
        <v>88</v>
      </c>
    </row>
    <row r="593" spans="2:6" x14ac:dyDescent="0.3">
      <c r="B593">
        <v>72</v>
      </c>
      <c r="C593" t="str" cm="1">
        <f t="array" ref="C593">_xlfn.IFS(B593&gt;90,"A1",B593&gt;80,"A2",B593&gt;70,"B1",B593&gt;60,"B2",B593&gt;50,"C1",B593&gt;40,"C2")</f>
        <v>B1</v>
      </c>
      <c r="D593">
        <v>90</v>
      </c>
      <c r="E593" t="str" cm="1">
        <f t="array" ref="E593">_xlfn.IFS(Table1[[#This Row],[Previous Marks]]&gt;90,"A1",Table1[[#This Row],[Previous Marks]]&gt;80,"A2",Table1[[#This Row],[Previous Marks]]&gt;70,"B1",Table1[[#This Row],[Previous Marks]]&gt;60,"B2",Table1[[#This Row],[Previous Marks]]&gt;50,"C1",Table1[[#This Row],[Previous Marks]]&gt;40,"C2")</f>
        <v>A2</v>
      </c>
      <c r="F593">
        <v>78</v>
      </c>
    </row>
    <row r="594" spans="2:6" x14ac:dyDescent="0.3">
      <c r="B594">
        <v>78</v>
      </c>
      <c r="C594" t="str" cm="1">
        <f t="array" ref="C594">_xlfn.IFS(B594&gt;90,"A1",B594&gt;80,"A2",B594&gt;70,"B1",B594&gt;60,"B2",B594&gt;50,"C1",B594&gt;40,"C2")</f>
        <v>B1</v>
      </c>
      <c r="D594">
        <v>60</v>
      </c>
      <c r="E594" t="str" cm="1">
        <f t="array" ref="E594">_xlfn.IFS(Table1[[#This Row],[Previous Marks]]&gt;90,"A1",Table1[[#This Row],[Previous Marks]]&gt;80,"A2",Table1[[#This Row],[Previous Marks]]&gt;70,"B1",Table1[[#This Row],[Previous Marks]]&gt;60,"B2",Table1[[#This Row],[Previous Marks]]&gt;50,"C1",Table1[[#This Row],[Previous Marks]]&gt;40,"C2")</f>
        <v>C1</v>
      </c>
      <c r="F594">
        <v>85</v>
      </c>
    </row>
    <row r="595" spans="2:6" x14ac:dyDescent="0.3">
      <c r="B595">
        <v>62</v>
      </c>
      <c r="C595" t="str" cm="1">
        <f t="array" ref="C595">_xlfn.IFS(B595&gt;90,"A1",B595&gt;80,"A2",B595&gt;70,"B1",B595&gt;60,"B2",B595&gt;50,"C1",B595&gt;40,"C2")</f>
        <v>B2</v>
      </c>
      <c r="D595">
        <v>78</v>
      </c>
      <c r="E595" t="str" cm="1">
        <f t="array" ref="E595">_xlfn.IFS(Table1[[#This Row],[Previous Marks]]&gt;90,"A1",Table1[[#This Row],[Previous Marks]]&gt;80,"A2",Table1[[#This Row],[Previous Marks]]&gt;70,"B1",Table1[[#This Row],[Previous Marks]]&gt;60,"B2",Table1[[#This Row],[Previous Marks]]&gt;50,"C1",Table1[[#This Row],[Previous Marks]]&gt;40,"C2")</f>
        <v>B1</v>
      </c>
      <c r="F595">
        <v>88</v>
      </c>
    </row>
    <row r="596" spans="2:6" x14ac:dyDescent="0.3">
      <c r="B596">
        <v>80</v>
      </c>
      <c r="C596" t="str" cm="1">
        <f t="array" ref="C596">_xlfn.IFS(B596&gt;90,"A1",B596&gt;80,"A2",B596&gt;70,"B1",B596&gt;60,"B2",B596&gt;50,"C1",B596&gt;40,"C2")</f>
        <v>B1</v>
      </c>
      <c r="D596">
        <v>65</v>
      </c>
      <c r="E596" t="str" cm="1">
        <f t="array" ref="E596">_xlfn.IFS(Table1[[#This Row],[Previous Marks]]&gt;90,"A1",Table1[[#This Row],[Previous Marks]]&gt;80,"A2",Table1[[#This Row],[Previous Marks]]&gt;70,"B1",Table1[[#This Row],[Previous Marks]]&gt;60,"B2",Table1[[#This Row],[Previous Marks]]&gt;50,"C1",Table1[[#This Row],[Previous Marks]]&gt;40,"C2")</f>
        <v>B2</v>
      </c>
      <c r="F596">
        <v>85</v>
      </c>
    </row>
    <row r="597" spans="2:6" x14ac:dyDescent="0.3">
      <c r="B597">
        <v>85</v>
      </c>
      <c r="C597" t="str" cm="1">
        <f t="array" ref="C597">_xlfn.IFS(B597&gt;90,"A1",B597&gt;80,"A2",B597&gt;70,"B1",B597&gt;60,"B2",B597&gt;50,"C1",B597&gt;40,"C2")</f>
        <v>A2</v>
      </c>
      <c r="D597">
        <v>88</v>
      </c>
      <c r="E597" t="str" cm="1">
        <f t="array" ref="E597">_xlfn.IFS(Table1[[#This Row],[Previous Marks]]&gt;90,"A1",Table1[[#This Row],[Previous Marks]]&gt;80,"A2",Table1[[#This Row],[Previous Marks]]&gt;70,"B1",Table1[[#This Row],[Previous Marks]]&gt;60,"B2",Table1[[#This Row],[Previous Marks]]&gt;50,"C1",Table1[[#This Row],[Previous Marks]]&gt;40,"C2")</f>
        <v>A2</v>
      </c>
      <c r="F597">
        <v>90</v>
      </c>
    </row>
    <row r="598" spans="2:6" x14ac:dyDescent="0.3">
      <c r="B598">
        <v>90</v>
      </c>
      <c r="C598" t="str" cm="1">
        <f t="array" ref="C598">_xlfn.IFS(B598&gt;90,"A1",B598&gt;80,"A2",B598&gt;70,"B1",B598&gt;60,"B2",B598&gt;50,"C1",B598&gt;40,"C2")</f>
        <v>A2</v>
      </c>
      <c r="D598">
        <v>86</v>
      </c>
      <c r="E598" t="str" cm="1">
        <f t="array" ref="E598">_xlfn.IFS(Table1[[#This Row],[Previous Marks]]&gt;90,"A1",Table1[[#This Row],[Previous Marks]]&gt;80,"A2",Table1[[#This Row],[Previous Marks]]&gt;70,"B1",Table1[[#This Row],[Previous Marks]]&gt;60,"B2",Table1[[#This Row],[Previous Marks]]&gt;50,"C1",Table1[[#This Row],[Previous Marks]]&gt;40,"C2")</f>
        <v>A2</v>
      </c>
      <c r="F598">
        <v>85</v>
      </c>
    </row>
    <row r="599" spans="2:6" x14ac:dyDescent="0.3">
      <c r="B599">
        <v>72</v>
      </c>
      <c r="C599" t="str" cm="1">
        <f t="array" ref="C599">_xlfn.IFS(B599&gt;90,"A1",B599&gt;80,"A2",B599&gt;70,"B1",B599&gt;60,"B2",B599&gt;50,"C1",B599&gt;40,"C2")</f>
        <v>B1</v>
      </c>
      <c r="D599">
        <v>78</v>
      </c>
      <c r="E599" t="str" cm="1">
        <f t="array" ref="E599">_xlfn.IFS(Table1[[#This Row],[Previous Marks]]&gt;90,"A1",Table1[[#This Row],[Previous Marks]]&gt;80,"A2",Table1[[#This Row],[Previous Marks]]&gt;70,"B1",Table1[[#This Row],[Previous Marks]]&gt;60,"B2",Table1[[#This Row],[Previous Marks]]&gt;50,"C1",Table1[[#This Row],[Previous Marks]]&gt;40,"C2")</f>
        <v>B1</v>
      </c>
      <c r="F599">
        <v>85</v>
      </c>
    </row>
    <row r="600" spans="2:6" x14ac:dyDescent="0.3">
      <c r="B600">
        <v>87</v>
      </c>
      <c r="C600" t="str" cm="1">
        <f t="array" ref="C600">_xlfn.IFS(B600&gt;90,"A1",B600&gt;80,"A2",B600&gt;70,"B1",B600&gt;60,"B2",B600&gt;50,"C1",B600&gt;40,"C2")</f>
        <v>A2</v>
      </c>
      <c r="D600">
        <v>78</v>
      </c>
      <c r="E600" t="str" cm="1">
        <f t="array" ref="E600">_xlfn.IFS(Table1[[#This Row],[Previous Marks]]&gt;90,"A1",Table1[[#This Row],[Previous Marks]]&gt;80,"A2",Table1[[#This Row],[Previous Marks]]&gt;70,"B1",Table1[[#This Row],[Previous Marks]]&gt;60,"B2",Table1[[#This Row],[Previous Marks]]&gt;50,"C1",Table1[[#This Row],[Previous Marks]]&gt;40,"C2")</f>
        <v>B1</v>
      </c>
      <c r="F600">
        <v>88</v>
      </c>
    </row>
    <row r="601" spans="2:6" x14ac:dyDescent="0.3">
      <c r="B601">
        <v>88</v>
      </c>
      <c r="C601" t="str" cm="1">
        <f t="array" ref="C601">_xlfn.IFS(B601&gt;90,"A1",B601&gt;80,"A2",B601&gt;70,"B1",B601&gt;60,"B2",B601&gt;50,"C1",B601&gt;40,"C2")</f>
        <v>A2</v>
      </c>
      <c r="D601">
        <v>65</v>
      </c>
      <c r="E601" t="str" cm="1">
        <f t="array" ref="E601">_xlfn.IFS(Table1[[#This Row],[Previous Marks]]&gt;90,"A1",Table1[[#This Row],[Previous Marks]]&gt;80,"A2",Table1[[#This Row],[Previous Marks]]&gt;70,"B1",Table1[[#This Row],[Previous Marks]]&gt;60,"B2",Table1[[#This Row],[Previous Marks]]&gt;50,"C1",Table1[[#This Row],[Previous Marks]]&gt;40,"C2")</f>
        <v>B2</v>
      </c>
      <c r="F601">
        <v>90</v>
      </c>
    </row>
    <row r="602" spans="2:6" x14ac:dyDescent="0.3">
      <c r="B602">
        <v>62</v>
      </c>
      <c r="C602" t="str" cm="1">
        <f t="array" ref="C602">_xlfn.IFS(B602&gt;90,"A1",B602&gt;80,"A2",B602&gt;70,"B1",B602&gt;60,"B2",B602&gt;50,"C1",B602&gt;40,"C2")</f>
        <v>B2</v>
      </c>
      <c r="D602">
        <v>85</v>
      </c>
      <c r="E602" t="str" cm="1">
        <f t="array" ref="E602">_xlfn.IFS(Table1[[#This Row],[Previous Marks]]&gt;90,"A1",Table1[[#This Row],[Previous Marks]]&gt;80,"A2",Table1[[#This Row],[Previous Marks]]&gt;70,"B1",Table1[[#This Row],[Previous Marks]]&gt;60,"B2",Table1[[#This Row],[Previous Marks]]&gt;50,"C1",Table1[[#This Row],[Previous Marks]]&gt;40,"C2")</f>
        <v>A2</v>
      </c>
      <c r="F602">
        <v>88</v>
      </c>
    </row>
    <row r="603" spans="2:6" x14ac:dyDescent="0.3">
      <c r="B603">
        <v>90</v>
      </c>
      <c r="C603" t="str" cm="1">
        <f t="array" ref="C603">_xlfn.IFS(B603&gt;90,"A1",B603&gt;80,"A2",B603&gt;70,"B1",B603&gt;60,"B2",B603&gt;50,"C1",B603&gt;40,"C2")</f>
        <v>A2</v>
      </c>
      <c r="D603">
        <v>78</v>
      </c>
      <c r="E603" t="str" cm="1">
        <f t="array" ref="E603">_xlfn.IFS(Table1[[#This Row],[Previous Marks]]&gt;90,"A1",Table1[[#This Row],[Previous Marks]]&gt;80,"A2",Table1[[#This Row],[Previous Marks]]&gt;70,"B1",Table1[[#This Row],[Previous Marks]]&gt;60,"B2",Table1[[#This Row],[Previous Marks]]&gt;50,"C1",Table1[[#This Row],[Previous Marks]]&gt;40,"C2")</f>
        <v>B1</v>
      </c>
      <c r="F603">
        <v>90</v>
      </c>
    </row>
    <row r="604" spans="2:6" x14ac:dyDescent="0.3">
      <c r="B604">
        <v>68</v>
      </c>
      <c r="C604" t="str" cm="1">
        <f t="array" ref="C604">_xlfn.IFS(B604&gt;90,"A1",B604&gt;80,"A2",B604&gt;70,"B1",B604&gt;60,"B2",B604&gt;50,"C1",B604&gt;40,"C2")</f>
        <v>B2</v>
      </c>
      <c r="D604">
        <v>90</v>
      </c>
      <c r="E604" t="str" cm="1">
        <f t="array" ref="E604">_xlfn.IFS(Table1[[#This Row],[Previous Marks]]&gt;90,"A1",Table1[[#This Row],[Previous Marks]]&gt;80,"A2",Table1[[#This Row],[Previous Marks]]&gt;70,"B1",Table1[[#This Row],[Previous Marks]]&gt;60,"B2",Table1[[#This Row],[Previous Marks]]&gt;50,"C1",Table1[[#This Row],[Previous Marks]]&gt;40,"C2")</f>
        <v>A2</v>
      </c>
      <c r="F604">
        <v>90</v>
      </c>
    </row>
    <row r="605" spans="2:6" x14ac:dyDescent="0.3">
      <c r="B605">
        <v>85</v>
      </c>
      <c r="C605" t="str" cm="1">
        <f t="array" ref="C605">_xlfn.IFS(B605&gt;90,"A1",B605&gt;80,"A2",B605&gt;70,"B1",B605&gt;60,"B2",B605&gt;50,"C1",B605&gt;40,"C2")</f>
        <v>A2</v>
      </c>
      <c r="D605">
        <v>85</v>
      </c>
      <c r="E605" t="str" cm="1">
        <f t="array" ref="E605">_xlfn.IFS(Table1[[#This Row],[Previous Marks]]&gt;90,"A1",Table1[[#This Row],[Previous Marks]]&gt;80,"A2",Table1[[#This Row],[Previous Marks]]&gt;70,"B1",Table1[[#This Row],[Previous Marks]]&gt;60,"B2",Table1[[#This Row],[Previous Marks]]&gt;50,"C1",Table1[[#This Row],[Previous Marks]]&gt;40,"C2")</f>
        <v>A2</v>
      </c>
      <c r="F605">
        <v>92</v>
      </c>
    </row>
    <row r="606" spans="2:6" x14ac:dyDescent="0.3">
      <c r="B606">
        <v>62</v>
      </c>
      <c r="C606" t="str" cm="1">
        <f t="array" ref="C606">_xlfn.IFS(B606&gt;90,"A1",B606&gt;80,"A2",B606&gt;70,"B1",B606&gt;60,"B2",B606&gt;50,"C1",B606&gt;40,"C2")</f>
        <v>B2</v>
      </c>
      <c r="D606">
        <v>65</v>
      </c>
      <c r="E606" t="str" cm="1">
        <f t="array" ref="E606">_xlfn.IFS(Table1[[#This Row],[Previous Marks]]&gt;90,"A1",Table1[[#This Row],[Previous Marks]]&gt;80,"A2",Table1[[#This Row],[Previous Marks]]&gt;70,"B1",Table1[[#This Row],[Previous Marks]]&gt;60,"B2",Table1[[#This Row],[Previous Marks]]&gt;50,"C1",Table1[[#This Row],[Previous Marks]]&gt;40,"C2")</f>
        <v>B2</v>
      </c>
      <c r="F606">
        <v>85</v>
      </c>
    </row>
    <row r="607" spans="2:6" x14ac:dyDescent="0.3">
      <c r="B607">
        <v>87</v>
      </c>
      <c r="C607" t="str" cm="1">
        <f t="array" ref="C607">_xlfn.IFS(B607&gt;90,"A1",B607&gt;80,"A2",B607&gt;70,"B1",B607&gt;60,"B2",B607&gt;50,"C1",B607&gt;40,"C2")</f>
        <v>A2</v>
      </c>
      <c r="D607">
        <v>77</v>
      </c>
      <c r="E607" t="str" cm="1">
        <f t="array" ref="E607">_xlfn.IFS(Table1[[#This Row],[Previous Marks]]&gt;90,"A1",Table1[[#This Row],[Previous Marks]]&gt;80,"A2",Table1[[#This Row],[Previous Marks]]&gt;70,"B1",Table1[[#This Row],[Previous Marks]]&gt;60,"B2",Table1[[#This Row],[Previous Marks]]&gt;50,"C1",Table1[[#This Row],[Previous Marks]]&gt;40,"C2")</f>
        <v>B1</v>
      </c>
      <c r="F607">
        <v>82</v>
      </c>
    </row>
    <row r="608" spans="2:6" x14ac:dyDescent="0.3">
      <c r="B608">
        <v>85</v>
      </c>
      <c r="C608" t="str" cm="1">
        <f t="array" ref="C608">_xlfn.IFS(B608&gt;90,"A1",B608&gt;80,"A2",B608&gt;70,"B1",B608&gt;60,"B2",B608&gt;50,"C1",B608&gt;40,"C2")</f>
        <v>A2</v>
      </c>
      <c r="D608">
        <v>88</v>
      </c>
      <c r="E608" t="str" cm="1">
        <f t="array" ref="E608">_xlfn.IFS(Table1[[#This Row],[Previous Marks]]&gt;90,"A1",Table1[[#This Row],[Previous Marks]]&gt;80,"A2",Table1[[#This Row],[Previous Marks]]&gt;70,"B1",Table1[[#This Row],[Previous Marks]]&gt;60,"B2",Table1[[#This Row],[Previous Marks]]&gt;50,"C1",Table1[[#This Row],[Previous Marks]]&gt;40,"C2")</f>
        <v>A2</v>
      </c>
      <c r="F608">
        <v>91</v>
      </c>
    </row>
    <row r="609" spans="2:6" x14ac:dyDescent="0.3">
      <c r="B609">
        <v>72</v>
      </c>
      <c r="C609" t="str" cm="1">
        <f t="array" ref="C609">_xlfn.IFS(B609&gt;90,"A1",B609&gt;80,"A2",B609&gt;70,"B1",B609&gt;60,"B2",B609&gt;50,"C1",B609&gt;40,"C2")</f>
        <v>B1</v>
      </c>
      <c r="D609">
        <v>77.598759048603924</v>
      </c>
      <c r="E609" t="str" cm="1">
        <f t="array" ref="E609">_xlfn.IFS(Table1[[#This Row],[Previous Marks]]&gt;90,"A1",Table1[[#This Row],[Previous Marks]]&gt;80,"A2",Table1[[#This Row],[Previous Marks]]&gt;70,"B1",Table1[[#This Row],[Previous Marks]]&gt;60,"B2",Table1[[#This Row],[Previous Marks]]&gt;50,"C1",Table1[[#This Row],[Previous Marks]]&gt;40,"C2")</f>
        <v>B1</v>
      </c>
      <c r="F609">
        <v>90</v>
      </c>
    </row>
    <row r="610" spans="2:6" x14ac:dyDescent="0.3">
      <c r="B610">
        <v>78</v>
      </c>
      <c r="C610" t="str" cm="1">
        <f t="array" ref="C610">_xlfn.IFS(B610&gt;90,"A1",B610&gt;80,"A2",B610&gt;70,"B1",B610&gt;60,"B2",B610&gt;50,"C1",B610&gt;40,"C2")</f>
        <v>B1</v>
      </c>
      <c r="D610">
        <v>77</v>
      </c>
      <c r="E610" t="str" cm="1">
        <f t="array" ref="E610">_xlfn.IFS(Table1[[#This Row],[Previous Marks]]&gt;90,"A1",Table1[[#This Row],[Previous Marks]]&gt;80,"A2",Table1[[#This Row],[Previous Marks]]&gt;70,"B1",Table1[[#This Row],[Previous Marks]]&gt;60,"B2",Table1[[#This Row],[Previous Marks]]&gt;50,"C1",Table1[[#This Row],[Previous Marks]]&gt;40,"C2")</f>
        <v>B1</v>
      </c>
      <c r="F610">
        <v>90</v>
      </c>
    </row>
    <row r="611" spans="2:6" x14ac:dyDescent="0.3">
      <c r="B611">
        <v>72</v>
      </c>
      <c r="C611" t="str" cm="1">
        <f t="array" ref="C611">_xlfn.IFS(B611&gt;90,"A1",B611&gt;80,"A2",B611&gt;70,"B1",B611&gt;60,"B2",B611&gt;50,"C1",B611&gt;40,"C2")</f>
        <v>B1</v>
      </c>
      <c r="D611">
        <v>77</v>
      </c>
      <c r="E611" t="str" cm="1">
        <f t="array" ref="E611">_xlfn.IFS(Table1[[#This Row],[Previous Marks]]&gt;90,"A1",Table1[[#This Row],[Previous Marks]]&gt;80,"A2",Table1[[#This Row],[Previous Marks]]&gt;70,"B1",Table1[[#This Row],[Previous Marks]]&gt;60,"B2",Table1[[#This Row],[Previous Marks]]&gt;50,"C1",Table1[[#This Row],[Previous Marks]]&gt;40,"C2")</f>
        <v>B1</v>
      </c>
      <c r="F611">
        <v>91</v>
      </c>
    </row>
    <row r="612" spans="2:6" x14ac:dyDescent="0.3">
      <c r="B612">
        <v>87</v>
      </c>
      <c r="C612" t="str" cm="1">
        <f t="array" ref="C612">_xlfn.IFS(B612&gt;90,"A1",B612&gt;80,"A2",B612&gt;70,"B1",B612&gt;60,"B2",B612&gt;50,"C1",B612&gt;40,"C2")</f>
        <v>A2</v>
      </c>
      <c r="D612">
        <v>88</v>
      </c>
      <c r="E612" t="str" cm="1">
        <f t="array" ref="E612">_xlfn.IFS(Table1[[#This Row],[Previous Marks]]&gt;90,"A1",Table1[[#This Row],[Previous Marks]]&gt;80,"A2",Table1[[#This Row],[Previous Marks]]&gt;70,"B1",Table1[[#This Row],[Previous Marks]]&gt;60,"B2",Table1[[#This Row],[Previous Marks]]&gt;50,"C1",Table1[[#This Row],[Previous Marks]]&gt;40,"C2")</f>
        <v>A2</v>
      </c>
      <c r="F612">
        <v>95</v>
      </c>
    </row>
    <row r="613" spans="2:6" x14ac:dyDescent="0.3">
      <c r="B613">
        <v>68</v>
      </c>
      <c r="C613" t="str" cm="1">
        <f t="array" ref="C613">_xlfn.IFS(B613&gt;90,"A1",B613&gt;80,"A2",B613&gt;70,"B1",B613&gt;60,"B2",B613&gt;50,"C1",B613&gt;40,"C2")</f>
        <v>B2</v>
      </c>
      <c r="D613">
        <v>85</v>
      </c>
      <c r="E613" t="str" cm="1">
        <f t="array" ref="E613">_xlfn.IFS(Table1[[#This Row],[Previous Marks]]&gt;90,"A1",Table1[[#This Row],[Previous Marks]]&gt;80,"A2",Table1[[#This Row],[Previous Marks]]&gt;70,"B1",Table1[[#This Row],[Previous Marks]]&gt;60,"B2",Table1[[#This Row],[Previous Marks]]&gt;50,"C1",Table1[[#This Row],[Previous Marks]]&gt;40,"C2")</f>
        <v>A2</v>
      </c>
      <c r="F613">
        <v>91</v>
      </c>
    </row>
    <row r="614" spans="2:6" x14ac:dyDescent="0.3">
      <c r="B614">
        <v>87</v>
      </c>
      <c r="C614" t="str" cm="1">
        <f t="array" ref="C614">_xlfn.IFS(B614&gt;90,"A1",B614&gt;80,"A2",B614&gt;70,"B1",B614&gt;60,"B2",B614&gt;50,"C1",B614&gt;40,"C2")</f>
        <v>A2</v>
      </c>
      <c r="D614">
        <v>65</v>
      </c>
      <c r="E614" t="str" cm="1">
        <f t="array" ref="E614">_xlfn.IFS(Table1[[#This Row],[Previous Marks]]&gt;90,"A1",Table1[[#This Row],[Previous Marks]]&gt;80,"A2",Table1[[#This Row],[Previous Marks]]&gt;70,"B1",Table1[[#This Row],[Previous Marks]]&gt;60,"B2",Table1[[#This Row],[Previous Marks]]&gt;50,"C1",Table1[[#This Row],[Previous Marks]]&gt;40,"C2")</f>
        <v>B2</v>
      </c>
      <c r="F614">
        <v>78</v>
      </c>
    </row>
    <row r="615" spans="2:6" x14ac:dyDescent="0.3">
      <c r="B615">
        <v>92</v>
      </c>
      <c r="C615" t="str" cm="1">
        <f t="array" ref="C615">_xlfn.IFS(B615&gt;90,"A1",B615&gt;80,"A2",B615&gt;70,"B1",B615&gt;60,"B2",B615&gt;50,"C1",B615&gt;40,"C2")</f>
        <v>A1</v>
      </c>
      <c r="D615">
        <v>86</v>
      </c>
      <c r="E615" t="str" cm="1">
        <f t="array" ref="E615">_xlfn.IFS(Table1[[#This Row],[Previous Marks]]&gt;90,"A1",Table1[[#This Row],[Previous Marks]]&gt;80,"A2",Table1[[#This Row],[Previous Marks]]&gt;70,"B1",Table1[[#This Row],[Previous Marks]]&gt;60,"B2",Table1[[#This Row],[Previous Marks]]&gt;50,"C1",Table1[[#This Row],[Previous Marks]]&gt;40,"C2")</f>
        <v>A2</v>
      </c>
      <c r="F615">
        <v>85</v>
      </c>
    </row>
    <row r="616" spans="2:6" x14ac:dyDescent="0.3">
      <c r="B616">
        <v>80.030208333333334</v>
      </c>
      <c r="C616" t="str" cm="1">
        <f t="array" ref="C616">_xlfn.IFS(B616&gt;90,"A1",B616&gt;80,"A2",B616&gt;70,"B1",B616&gt;60,"B2",B616&gt;50,"C1",B616&gt;40,"C2")</f>
        <v>A2</v>
      </c>
      <c r="D616">
        <v>65</v>
      </c>
      <c r="E616" t="str" cm="1">
        <f t="array" ref="E616">_xlfn.IFS(Table1[[#This Row],[Previous Marks]]&gt;90,"A1",Table1[[#This Row],[Previous Marks]]&gt;80,"A2",Table1[[#This Row],[Previous Marks]]&gt;70,"B1",Table1[[#This Row],[Previous Marks]]&gt;60,"B2",Table1[[#This Row],[Previous Marks]]&gt;50,"C1",Table1[[#This Row],[Previous Marks]]&gt;40,"C2")</f>
        <v>B2</v>
      </c>
      <c r="F616">
        <v>85.510416666666671</v>
      </c>
    </row>
    <row r="617" spans="2:6" x14ac:dyDescent="0.3">
      <c r="B617">
        <v>68</v>
      </c>
      <c r="C617" t="str" cm="1">
        <f t="array" ref="C617">_xlfn.IFS(B617&gt;90,"A1",B617&gt;80,"A2",B617&gt;70,"B1",B617&gt;60,"B2",B617&gt;50,"C1",B617&gt;40,"C2")</f>
        <v>B2</v>
      </c>
      <c r="D617">
        <v>65</v>
      </c>
      <c r="E617" t="str" cm="1">
        <f t="array" ref="E617">_xlfn.IFS(Table1[[#This Row],[Previous Marks]]&gt;90,"A1",Table1[[#This Row],[Previous Marks]]&gt;80,"A2",Table1[[#This Row],[Previous Marks]]&gt;70,"B1",Table1[[#This Row],[Previous Marks]]&gt;60,"B2",Table1[[#This Row],[Previous Marks]]&gt;50,"C1",Table1[[#This Row],[Previous Marks]]&gt;40,"C2")</f>
        <v>B2</v>
      </c>
      <c r="F617">
        <v>78</v>
      </c>
    </row>
    <row r="618" spans="2:6" x14ac:dyDescent="0.3">
      <c r="B618">
        <v>87</v>
      </c>
      <c r="C618" t="str" cm="1">
        <f t="array" ref="C618">_xlfn.IFS(B618&gt;90,"A1",B618&gt;80,"A2",B618&gt;70,"B1",B618&gt;60,"B2",B618&gt;50,"C1",B618&gt;40,"C2")</f>
        <v>A2</v>
      </c>
      <c r="D618">
        <v>65</v>
      </c>
      <c r="E618" t="str" cm="1">
        <f t="array" ref="E618">_xlfn.IFS(Table1[[#This Row],[Previous Marks]]&gt;90,"A1",Table1[[#This Row],[Previous Marks]]&gt;80,"A2",Table1[[#This Row],[Previous Marks]]&gt;70,"B1",Table1[[#This Row],[Previous Marks]]&gt;60,"B2",Table1[[#This Row],[Previous Marks]]&gt;50,"C1",Table1[[#This Row],[Previous Marks]]&gt;40,"C2")</f>
        <v>B2</v>
      </c>
      <c r="F618">
        <v>91</v>
      </c>
    </row>
    <row r="619" spans="2:6" x14ac:dyDescent="0.3">
      <c r="B619">
        <v>85</v>
      </c>
      <c r="C619" t="str" cm="1">
        <f t="array" ref="C619">_xlfn.IFS(B619&gt;90,"A1",B619&gt;80,"A2",B619&gt;70,"B1",B619&gt;60,"B2",B619&gt;50,"C1",B619&gt;40,"C2")</f>
        <v>A2</v>
      </c>
      <c r="D619">
        <v>90</v>
      </c>
      <c r="E619" t="str" cm="1">
        <f t="array" ref="E619">_xlfn.IFS(Table1[[#This Row],[Previous Marks]]&gt;90,"A1",Table1[[#This Row],[Previous Marks]]&gt;80,"A2",Table1[[#This Row],[Previous Marks]]&gt;70,"B1",Table1[[#This Row],[Previous Marks]]&gt;60,"B2",Table1[[#This Row],[Previous Marks]]&gt;50,"C1",Table1[[#This Row],[Previous Marks]]&gt;40,"C2")</f>
        <v>A2</v>
      </c>
      <c r="F619">
        <v>85</v>
      </c>
    </row>
    <row r="620" spans="2:6" x14ac:dyDescent="0.3">
      <c r="B620">
        <v>85</v>
      </c>
      <c r="C620" t="str" cm="1">
        <f t="array" ref="C620">_xlfn.IFS(B620&gt;90,"A1",B620&gt;80,"A2",B620&gt;70,"B1",B620&gt;60,"B2",B620&gt;50,"C1",B620&gt;40,"C2")</f>
        <v>A2</v>
      </c>
      <c r="D620">
        <v>77</v>
      </c>
      <c r="E620" t="str" cm="1">
        <f t="array" ref="E620">_xlfn.IFS(Table1[[#This Row],[Previous Marks]]&gt;90,"A1",Table1[[#This Row],[Previous Marks]]&gt;80,"A2",Table1[[#This Row],[Previous Marks]]&gt;70,"B1",Table1[[#This Row],[Previous Marks]]&gt;60,"B2",Table1[[#This Row],[Previous Marks]]&gt;50,"C1",Table1[[#This Row],[Previous Marks]]&gt;40,"C2")</f>
        <v>B1</v>
      </c>
      <c r="F620">
        <v>91</v>
      </c>
    </row>
    <row r="621" spans="2:6" x14ac:dyDescent="0.3">
      <c r="B621">
        <v>72</v>
      </c>
      <c r="C621" t="str" cm="1">
        <f t="array" ref="C621">_xlfn.IFS(B621&gt;90,"A1",B621&gt;80,"A2",B621&gt;70,"B1",B621&gt;60,"B2",B621&gt;50,"C1",B621&gt;40,"C2")</f>
        <v>B1</v>
      </c>
      <c r="D621">
        <v>86</v>
      </c>
      <c r="E621" t="str" cm="1">
        <f t="array" ref="E621">_xlfn.IFS(Table1[[#This Row],[Previous Marks]]&gt;90,"A1",Table1[[#This Row],[Previous Marks]]&gt;80,"A2",Table1[[#This Row],[Previous Marks]]&gt;70,"B1",Table1[[#This Row],[Previous Marks]]&gt;60,"B2",Table1[[#This Row],[Previous Marks]]&gt;50,"C1",Table1[[#This Row],[Previous Marks]]&gt;40,"C2")</f>
        <v>A2</v>
      </c>
      <c r="F621">
        <v>82</v>
      </c>
    </row>
    <row r="622" spans="2:6" x14ac:dyDescent="0.3">
      <c r="B622">
        <v>80.030208333333334</v>
      </c>
      <c r="C622" t="str" cm="1">
        <f t="array" ref="C622">_xlfn.IFS(B622&gt;90,"A1",B622&gt;80,"A2",B622&gt;70,"B1",B622&gt;60,"B2",B622&gt;50,"C1",B622&gt;40,"C2")</f>
        <v>A2</v>
      </c>
      <c r="D622">
        <v>65</v>
      </c>
      <c r="E622" t="str" cm="1">
        <f t="array" ref="E622">_xlfn.IFS(Table1[[#This Row],[Previous Marks]]&gt;90,"A1",Table1[[#This Row],[Previous Marks]]&gt;80,"A2",Table1[[#This Row],[Previous Marks]]&gt;70,"B1",Table1[[#This Row],[Previous Marks]]&gt;60,"B2",Table1[[#This Row],[Previous Marks]]&gt;50,"C1",Table1[[#This Row],[Previous Marks]]&gt;40,"C2")</f>
        <v>B2</v>
      </c>
      <c r="F622">
        <v>92</v>
      </c>
    </row>
    <row r="623" spans="2:6" x14ac:dyDescent="0.3">
      <c r="B623">
        <v>80.030208333333334</v>
      </c>
      <c r="C623" t="str" cm="1">
        <f t="array" ref="C623">_xlfn.IFS(B623&gt;90,"A1",B623&gt;80,"A2",B623&gt;70,"B1",B623&gt;60,"B2",B623&gt;50,"C1",B623&gt;40,"C2")</f>
        <v>A2</v>
      </c>
      <c r="D623">
        <v>82</v>
      </c>
      <c r="E623" t="str" cm="1">
        <f t="array" ref="E623">_xlfn.IFS(Table1[[#This Row],[Previous Marks]]&gt;90,"A1",Table1[[#This Row],[Previous Marks]]&gt;80,"A2",Table1[[#This Row],[Previous Marks]]&gt;70,"B1",Table1[[#This Row],[Previous Marks]]&gt;60,"B2",Table1[[#This Row],[Previous Marks]]&gt;50,"C1",Table1[[#This Row],[Previous Marks]]&gt;40,"C2")</f>
        <v>A2</v>
      </c>
      <c r="F623">
        <v>92</v>
      </c>
    </row>
    <row r="624" spans="2:6" x14ac:dyDescent="0.3">
      <c r="B624">
        <v>87</v>
      </c>
      <c r="C624" t="str" cm="1">
        <f t="array" ref="C624">_xlfn.IFS(B624&gt;90,"A1",B624&gt;80,"A2",B624&gt;70,"B1",B624&gt;60,"B2",B624&gt;50,"C1",B624&gt;40,"C2")</f>
        <v>A2</v>
      </c>
      <c r="D624">
        <v>77</v>
      </c>
      <c r="E624" t="str" cm="1">
        <f t="array" ref="E624">_xlfn.IFS(Table1[[#This Row],[Previous Marks]]&gt;90,"A1",Table1[[#This Row],[Previous Marks]]&gt;80,"A2",Table1[[#This Row],[Previous Marks]]&gt;70,"B1",Table1[[#This Row],[Previous Marks]]&gt;60,"B2",Table1[[#This Row],[Previous Marks]]&gt;50,"C1",Table1[[#This Row],[Previous Marks]]&gt;40,"C2")</f>
        <v>B1</v>
      </c>
      <c r="F624">
        <v>78</v>
      </c>
    </row>
    <row r="625" spans="2:6" x14ac:dyDescent="0.3">
      <c r="B625">
        <v>92</v>
      </c>
      <c r="C625" t="str" cm="1">
        <f t="array" ref="C625">_xlfn.IFS(B625&gt;90,"A1",B625&gt;80,"A2",B625&gt;70,"B1",B625&gt;60,"B2",B625&gt;50,"C1",B625&gt;40,"C2")</f>
        <v>A1</v>
      </c>
      <c r="D625">
        <v>90</v>
      </c>
      <c r="E625" t="str" cm="1">
        <f t="array" ref="E625">_xlfn.IFS(Table1[[#This Row],[Previous Marks]]&gt;90,"A1",Table1[[#This Row],[Previous Marks]]&gt;80,"A2",Table1[[#This Row],[Previous Marks]]&gt;70,"B1",Table1[[#This Row],[Previous Marks]]&gt;60,"B2",Table1[[#This Row],[Previous Marks]]&gt;50,"C1",Table1[[#This Row],[Previous Marks]]&gt;40,"C2")</f>
        <v>A2</v>
      </c>
      <c r="F625">
        <v>92</v>
      </c>
    </row>
    <row r="626" spans="2:6" x14ac:dyDescent="0.3">
      <c r="B626">
        <v>80</v>
      </c>
      <c r="C626" t="str" cm="1">
        <f t="array" ref="C626">_xlfn.IFS(B626&gt;90,"A1",B626&gt;80,"A2",B626&gt;70,"B1",B626&gt;60,"B2",B626&gt;50,"C1",B626&gt;40,"C2")</f>
        <v>B1</v>
      </c>
      <c r="D626">
        <v>77</v>
      </c>
      <c r="E626" t="str" cm="1">
        <f t="array" ref="E626">_xlfn.IFS(Table1[[#This Row],[Previous Marks]]&gt;90,"A1",Table1[[#This Row],[Previous Marks]]&gt;80,"A2",Table1[[#This Row],[Previous Marks]]&gt;70,"B1",Table1[[#This Row],[Previous Marks]]&gt;60,"B2",Table1[[#This Row],[Previous Marks]]&gt;50,"C1",Table1[[#This Row],[Previous Marks]]&gt;40,"C2")</f>
        <v>B1</v>
      </c>
      <c r="F626">
        <v>92</v>
      </c>
    </row>
    <row r="627" spans="2:6" x14ac:dyDescent="0.3">
      <c r="B627">
        <v>92</v>
      </c>
      <c r="C627" t="str" cm="1">
        <f t="array" ref="C627">_xlfn.IFS(B627&gt;90,"A1",B627&gt;80,"A2",B627&gt;70,"B1",B627&gt;60,"B2",B627&gt;50,"C1",B627&gt;40,"C2")</f>
        <v>A1</v>
      </c>
      <c r="D627">
        <v>65</v>
      </c>
      <c r="E627" t="str" cm="1">
        <f t="array" ref="E627">_xlfn.IFS(Table1[[#This Row],[Previous Marks]]&gt;90,"A1",Table1[[#This Row],[Previous Marks]]&gt;80,"A2",Table1[[#This Row],[Previous Marks]]&gt;70,"B1",Table1[[#This Row],[Previous Marks]]&gt;60,"B2",Table1[[#This Row],[Previous Marks]]&gt;50,"C1",Table1[[#This Row],[Previous Marks]]&gt;40,"C2")</f>
        <v>B2</v>
      </c>
      <c r="F627">
        <v>70</v>
      </c>
    </row>
    <row r="628" spans="2:6" x14ac:dyDescent="0.3">
      <c r="B628">
        <v>87</v>
      </c>
      <c r="C628" t="str" cm="1">
        <f t="array" ref="C628">_xlfn.IFS(B628&gt;90,"A1",B628&gt;80,"A2",B628&gt;70,"B1",B628&gt;60,"B2",B628&gt;50,"C1",B628&gt;40,"C2")</f>
        <v>A2</v>
      </c>
      <c r="D628">
        <v>78</v>
      </c>
      <c r="E628" t="str" cm="1">
        <f t="array" ref="E628">_xlfn.IFS(Table1[[#This Row],[Previous Marks]]&gt;90,"A1",Table1[[#This Row],[Previous Marks]]&gt;80,"A2",Table1[[#This Row],[Previous Marks]]&gt;70,"B1",Table1[[#This Row],[Previous Marks]]&gt;60,"B2",Table1[[#This Row],[Previous Marks]]&gt;50,"C1",Table1[[#This Row],[Previous Marks]]&gt;40,"C2")</f>
        <v>B1</v>
      </c>
      <c r="F628">
        <v>85</v>
      </c>
    </row>
    <row r="629" spans="2:6" x14ac:dyDescent="0.3">
      <c r="B629">
        <v>88</v>
      </c>
      <c r="C629" t="str" cm="1">
        <f t="array" ref="C629">_xlfn.IFS(B629&gt;90,"A1",B629&gt;80,"A2",B629&gt;70,"B1",B629&gt;60,"B2",B629&gt;50,"C1",B629&gt;40,"C2")</f>
        <v>A2</v>
      </c>
      <c r="D629">
        <v>86</v>
      </c>
      <c r="E629" t="str" cm="1">
        <f t="array" ref="E629">_xlfn.IFS(Table1[[#This Row],[Previous Marks]]&gt;90,"A1",Table1[[#This Row],[Previous Marks]]&gt;80,"A2",Table1[[#This Row],[Previous Marks]]&gt;70,"B1",Table1[[#This Row],[Previous Marks]]&gt;60,"B2",Table1[[#This Row],[Previous Marks]]&gt;50,"C1",Table1[[#This Row],[Previous Marks]]&gt;40,"C2")</f>
        <v>A2</v>
      </c>
      <c r="F629">
        <v>92</v>
      </c>
    </row>
    <row r="630" spans="2:6" x14ac:dyDescent="0.3">
      <c r="B630">
        <v>80.030208333333334</v>
      </c>
      <c r="C630" t="str" cm="1">
        <f t="array" ref="C630">_xlfn.IFS(B630&gt;90,"A1",B630&gt;80,"A2",B630&gt;70,"B1",B630&gt;60,"B2",B630&gt;50,"C1",B630&gt;40,"C2")</f>
        <v>A2</v>
      </c>
      <c r="D630">
        <v>90</v>
      </c>
      <c r="E630" t="str" cm="1">
        <f t="array" ref="E630">_xlfn.IFS(Table1[[#This Row],[Previous Marks]]&gt;90,"A1",Table1[[#This Row],[Previous Marks]]&gt;80,"A2",Table1[[#This Row],[Previous Marks]]&gt;70,"B1",Table1[[#This Row],[Previous Marks]]&gt;60,"B2",Table1[[#This Row],[Previous Marks]]&gt;50,"C1",Table1[[#This Row],[Previous Marks]]&gt;40,"C2")</f>
        <v>A2</v>
      </c>
      <c r="F630">
        <v>82</v>
      </c>
    </row>
    <row r="631" spans="2:6" x14ac:dyDescent="0.3">
      <c r="B631">
        <v>68</v>
      </c>
      <c r="C631" t="str" cm="1">
        <f t="array" ref="C631">_xlfn.IFS(B631&gt;90,"A1",B631&gt;80,"A2",B631&gt;70,"B1",B631&gt;60,"B2",B631&gt;50,"C1",B631&gt;40,"C2")</f>
        <v>B2</v>
      </c>
      <c r="D631">
        <v>86</v>
      </c>
      <c r="E631" t="str" cm="1">
        <f t="array" ref="E631">_xlfn.IFS(Table1[[#This Row],[Previous Marks]]&gt;90,"A1",Table1[[#This Row],[Previous Marks]]&gt;80,"A2",Table1[[#This Row],[Previous Marks]]&gt;70,"B1",Table1[[#This Row],[Previous Marks]]&gt;60,"B2",Table1[[#This Row],[Previous Marks]]&gt;50,"C1",Table1[[#This Row],[Previous Marks]]&gt;40,"C2")</f>
        <v>A2</v>
      </c>
      <c r="F631">
        <v>95</v>
      </c>
    </row>
    <row r="632" spans="2:6" x14ac:dyDescent="0.3">
      <c r="B632">
        <v>62</v>
      </c>
      <c r="C632" t="str" cm="1">
        <f t="array" ref="C632">_xlfn.IFS(B632&gt;90,"A1",B632&gt;80,"A2",B632&gt;70,"B1",B632&gt;60,"B2",B632&gt;50,"C1",B632&gt;40,"C2")</f>
        <v>B2</v>
      </c>
      <c r="D632">
        <v>78</v>
      </c>
      <c r="E632" t="str" cm="1">
        <f t="array" ref="E632">_xlfn.IFS(Table1[[#This Row],[Previous Marks]]&gt;90,"A1",Table1[[#This Row],[Previous Marks]]&gt;80,"A2",Table1[[#This Row],[Previous Marks]]&gt;70,"B1",Table1[[#This Row],[Previous Marks]]&gt;60,"B2",Table1[[#This Row],[Previous Marks]]&gt;50,"C1",Table1[[#This Row],[Previous Marks]]&gt;40,"C2")</f>
        <v>B1</v>
      </c>
      <c r="F632">
        <v>85</v>
      </c>
    </row>
    <row r="633" spans="2:6" x14ac:dyDescent="0.3">
      <c r="B633">
        <v>62</v>
      </c>
      <c r="C633" t="str" cm="1">
        <f t="array" ref="C633">_xlfn.IFS(B633&gt;90,"A1",B633&gt;80,"A2",B633&gt;70,"B1",B633&gt;60,"B2",B633&gt;50,"C1",B633&gt;40,"C2")</f>
        <v>B2</v>
      </c>
      <c r="D633">
        <v>70</v>
      </c>
      <c r="E633" t="str" cm="1">
        <f t="array" ref="E633">_xlfn.IFS(Table1[[#This Row],[Previous Marks]]&gt;90,"A1",Table1[[#This Row],[Previous Marks]]&gt;80,"A2",Table1[[#This Row],[Previous Marks]]&gt;70,"B1",Table1[[#This Row],[Previous Marks]]&gt;60,"B2",Table1[[#This Row],[Previous Marks]]&gt;50,"C1",Table1[[#This Row],[Previous Marks]]&gt;40,"C2")</f>
        <v>B2</v>
      </c>
      <c r="F633">
        <v>92</v>
      </c>
    </row>
    <row r="634" spans="2:6" x14ac:dyDescent="0.3">
      <c r="B634">
        <v>78</v>
      </c>
      <c r="C634" t="str" cm="1">
        <f t="array" ref="C634">_xlfn.IFS(B634&gt;90,"A1",B634&gt;80,"A2",B634&gt;70,"B1",B634&gt;60,"B2",B634&gt;50,"C1",B634&gt;40,"C2")</f>
        <v>B1</v>
      </c>
      <c r="D634">
        <v>77.598759048603924</v>
      </c>
      <c r="E634" t="str" cm="1">
        <f t="array" ref="E634">_xlfn.IFS(Table1[[#This Row],[Previous Marks]]&gt;90,"A1",Table1[[#This Row],[Previous Marks]]&gt;80,"A2",Table1[[#This Row],[Previous Marks]]&gt;70,"B1",Table1[[#This Row],[Previous Marks]]&gt;60,"B2",Table1[[#This Row],[Previous Marks]]&gt;50,"C1",Table1[[#This Row],[Previous Marks]]&gt;40,"C2")</f>
        <v>B1</v>
      </c>
      <c r="F634">
        <v>90</v>
      </c>
    </row>
    <row r="635" spans="2:6" x14ac:dyDescent="0.3">
      <c r="B635">
        <v>78</v>
      </c>
      <c r="C635" t="str" cm="1">
        <f t="array" ref="C635">_xlfn.IFS(B635&gt;90,"A1",B635&gt;80,"A2",B635&gt;70,"B1",B635&gt;60,"B2",B635&gt;50,"C1",B635&gt;40,"C2")</f>
        <v>B1</v>
      </c>
      <c r="D635">
        <v>65</v>
      </c>
      <c r="E635" t="str" cm="1">
        <f t="array" ref="E635">_xlfn.IFS(Table1[[#This Row],[Previous Marks]]&gt;90,"A1",Table1[[#This Row],[Previous Marks]]&gt;80,"A2",Table1[[#This Row],[Previous Marks]]&gt;70,"B1",Table1[[#This Row],[Previous Marks]]&gt;60,"B2",Table1[[#This Row],[Previous Marks]]&gt;50,"C1",Table1[[#This Row],[Previous Marks]]&gt;40,"C2")</f>
        <v>B2</v>
      </c>
      <c r="F635">
        <v>78</v>
      </c>
    </row>
    <row r="636" spans="2:6" x14ac:dyDescent="0.3">
      <c r="B636">
        <v>88</v>
      </c>
      <c r="C636" t="str" cm="1">
        <f t="array" ref="C636">_xlfn.IFS(B636&gt;90,"A1",B636&gt;80,"A2",B636&gt;70,"B1",B636&gt;60,"B2",B636&gt;50,"C1",B636&gt;40,"C2")</f>
        <v>A2</v>
      </c>
      <c r="D636">
        <v>82</v>
      </c>
      <c r="E636" t="str" cm="1">
        <f t="array" ref="E636">_xlfn.IFS(Table1[[#This Row],[Previous Marks]]&gt;90,"A1",Table1[[#This Row],[Previous Marks]]&gt;80,"A2",Table1[[#This Row],[Previous Marks]]&gt;70,"B1",Table1[[#This Row],[Previous Marks]]&gt;60,"B2",Table1[[#This Row],[Previous Marks]]&gt;50,"C1",Table1[[#This Row],[Previous Marks]]&gt;40,"C2")</f>
        <v>A2</v>
      </c>
      <c r="F636">
        <v>82</v>
      </c>
    </row>
    <row r="637" spans="2:6" x14ac:dyDescent="0.3">
      <c r="B637">
        <v>62</v>
      </c>
      <c r="C637" t="str" cm="1">
        <f t="array" ref="C637">_xlfn.IFS(B637&gt;90,"A1",B637&gt;80,"A2",B637&gt;70,"B1",B637&gt;60,"B2",B637&gt;50,"C1",B637&gt;40,"C2")</f>
        <v>B2</v>
      </c>
      <c r="D637">
        <v>88</v>
      </c>
      <c r="E637" t="str" cm="1">
        <f t="array" ref="E637">_xlfn.IFS(Table1[[#This Row],[Previous Marks]]&gt;90,"A1",Table1[[#This Row],[Previous Marks]]&gt;80,"A2",Table1[[#This Row],[Previous Marks]]&gt;70,"B1",Table1[[#This Row],[Previous Marks]]&gt;60,"B2",Table1[[#This Row],[Previous Marks]]&gt;50,"C1",Table1[[#This Row],[Previous Marks]]&gt;40,"C2")</f>
        <v>A2</v>
      </c>
      <c r="F637">
        <v>85</v>
      </c>
    </row>
    <row r="638" spans="2:6" x14ac:dyDescent="0.3">
      <c r="B638">
        <v>92</v>
      </c>
      <c r="C638" t="str" cm="1">
        <f t="array" ref="C638">_xlfn.IFS(B638&gt;90,"A1",B638&gt;80,"A2",B638&gt;70,"B1",B638&gt;60,"B2",B638&gt;50,"C1",B638&gt;40,"C2")</f>
        <v>A1</v>
      </c>
      <c r="D638">
        <v>85</v>
      </c>
      <c r="E638" t="str" cm="1">
        <f t="array" ref="E638">_xlfn.IFS(Table1[[#This Row],[Previous Marks]]&gt;90,"A1",Table1[[#This Row],[Previous Marks]]&gt;80,"A2",Table1[[#This Row],[Previous Marks]]&gt;70,"B1",Table1[[#This Row],[Previous Marks]]&gt;60,"B2",Table1[[#This Row],[Previous Marks]]&gt;50,"C1",Table1[[#This Row],[Previous Marks]]&gt;40,"C2")</f>
        <v>A2</v>
      </c>
      <c r="F638">
        <v>78</v>
      </c>
    </row>
    <row r="639" spans="2:6" x14ac:dyDescent="0.3">
      <c r="B639">
        <v>90</v>
      </c>
      <c r="C639" t="str" cm="1">
        <f t="array" ref="C639">_xlfn.IFS(B639&gt;90,"A1",B639&gt;80,"A2",B639&gt;70,"B1",B639&gt;60,"B2",B639&gt;50,"C1",B639&gt;40,"C2")</f>
        <v>A2</v>
      </c>
      <c r="D639">
        <v>90</v>
      </c>
      <c r="E639" t="str" cm="1">
        <f t="array" ref="E639">_xlfn.IFS(Table1[[#This Row],[Previous Marks]]&gt;90,"A1",Table1[[#This Row],[Previous Marks]]&gt;80,"A2",Table1[[#This Row],[Previous Marks]]&gt;70,"B1",Table1[[#This Row],[Previous Marks]]&gt;60,"B2",Table1[[#This Row],[Previous Marks]]&gt;50,"C1",Table1[[#This Row],[Previous Marks]]&gt;40,"C2")</f>
        <v>A2</v>
      </c>
      <c r="F639">
        <v>85</v>
      </c>
    </row>
    <row r="640" spans="2:6" x14ac:dyDescent="0.3">
      <c r="B640">
        <v>72</v>
      </c>
      <c r="C640" t="str" cm="1">
        <f t="array" ref="C640">_xlfn.IFS(B640&gt;90,"A1",B640&gt;80,"A2",B640&gt;70,"B1",B640&gt;60,"B2",B640&gt;50,"C1",B640&gt;40,"C2")</f>
        <v>B1</v>
      </c>
      <c r="D640">
        <v>88</v>
      </c>
      <c r="E640" t="str" cm="1">
        <f t="array" ref="E640">_xlfn.IFS(Table1[[#This Row],[Previous Marks]]&gt;90,"A1",Table1[[#This Row],[Previous Marks]]&gt;80,"A2",Table1[[#This Row],[Previous Marks]]&gt;70,"B1",Table1[[#This Row],[Previous Marks]]&gt;60,"B2",Table1[[#This Row],[Previous Marks]]&gt;50,"C1",Table1[[#This Row],[Previous Marks]]&gt;40,"C2")</f>
        <v>A2</v>
      </c>
      <c r="F640">
        <v>90</v>
      </c>
    </row>
    <row r="641" spans="2:6" x14ac:dyDescent="0.3">
      <c r="B641">
        <v>78</v>
      </c>
      <c r="C641" t="str" cm="1">
        <f t="array" ref="C641">_xlfn.IFS(B641&gt;90,"A1",B641&gt;80,"A2",B641&gt;70,"B1",B641&gt;60,"B2",B641&gt;50,"C1",B641&gt;40,"C2")</f>
        <v>B1</v>
      </c>
      <c r="D641">
        <v>88</v>
      </c>
      <c r="E641" t="str" cm="1">
        <f t="array" ref="E641">_xlfn.IFS(Table1[[#This Row],[Previous Marks]]&gt;90,"A1",Table1[[#This Row],[Previous Marks]]&gt;80,"A2",Table1[[#This Row],[Previous Marks]]&gt;70,"B1",Table1[[#This Row],[Previous Marks]]&gt;60,"B2",Table1[[#This Row],[Previous Marks]]&gt;50,"C1",Table1[[#This Row],[Previous Marks]]&gt;40,"C2")</f>
        <v>A2</v>
      </c>
      <c r="F641">
        <v>85</v>
      </c>
    </row>
    <row r="642" spans="2:6" x14ac:dyDescent="0.3">
      <c r="B642">
        <v>68</v>
      </c>
      <c r="C642" t="str" cm="1">
        <f t="array" ref="C642">_xlfn.IFS(B642&gt;90,"A1",B642&gt;80,"A2",B642&gt;70,"B1",B642&gt;60,"B2",B642&gt;50,"C1",B642&gt;40,"C2")</f>
        <v>B2</v>
      </c>
      <c r="D642">
        <v>82</v>
      </c>
      <c r="E642" t="str" cm="1">
        <f t="array" ref="E642">_xlfn.IFS(Table1[[#This Row],[Previous Marks]]&gt;90,"A1",Table1[[#This Row],[Previous Marks]]&gt;80,"A2",Table1[[#This Row],[Previous Marks]]&gt;70,"B1",Table1[[#This Row],[Previous Marks]]&gt;60,"B2",Table1[[#This Row],[Previous Marks]]&gt;50,"C1",Table1[[#This Row],[Previous Marks]]&gt;40,"C2")</f>
        <v>A2</v>
      </c>
      <c r="F642">
        <v>90</v>
      </c>
    </row>
    <row r="643" spans="2:6" x14ac:dyDescent="0.3">
      <c r="B643">
        <v>78</v>
      </c>
      <c r="C643" t="str" cm="1">
        <f t="array" ref="C643">_xlfn.IFS(B643&gt;90,"A1",B643&gt;80,"A2",B643&gt;70,"B1",B643&gt;60,"B2",B643&gt;50,"C1",B643&gt;40,"C2")</f>
        <v>B1</v>
      </c>
      <c r="D643">
        <v>77</v>
      </c>
      <c r="E643" t="str" cm="1">
        <f t="array" ref="E643">_xlfn.IFS(Table1[[#This Row],[Previous Marks]]&gt;90,"A1",Table1[[#This Row],[Previous Marks]]&gt;80,"A2",Table1[[#This Row],[Previous Marks]]&gt;70,"B1",Table1[[#This Row],[Previous Marks]]&gt;60,"B2",Table1[[#This Row],[Previous Marks]]&gt;50,"C1",Table1[[#This Row],[Previous Marks]]&gt;40,"C2")</f>
        <v>B1</v>
      </c>
      <c r="F643">
        <v>82</v>
      </c>
    </row>
    <row r="644" spans="2:6" x14ac:dyDescent="0.3">
      <c r="B644">
        <v>88</v>
      </c>
      <c r="C644" t="str" cm="1">
        <f t="array" ref="C644">_xlfn.IFS(B644&gt;90,"A1",B644&gt;80,"A2",B644&gt;70,"B1",B644&gt;60,"B2",B644&gt;50,"C1",B644&gt;40,"C2")</f>
        <v>A2</v>
      </c>
      <c r="D644">
        <v>70</v>
      </c>
      <c r="E644" t="str" cm="1">
        <f t="array" ref="E644">_xlfn.IFS(Table1[[#This Row],[Previous Marks]]&gt;90,"A1",Table1[[#This Row],[Previous Marks]]&gt;80,"A2",Table1[[#This Row],[Previous Marks]]&gt;70,"B1",Table1[[#This Row],[Previous Marks]]&gt;60,"B2",Table1[[#This Row],[Previous Marks]]&gt;50,"C1",Table1[[#This Row],[Previous Marks]]&gt;40,"C2")</f>
        <v>B2</v>
      </c>
      <c r="F644">
        <v>85</v>
      </c>
    </row>
    <row r="645" spans="2:6" x14ac:dyDescent="0.3">
      <c r="B645">
        <v>68</v>
      </c>
      <c r="C645" t="str" cm="1">
        <f t="array" ref="C645">_xlfn.IFS(B645&gt;90,"A1",B645&gt;80,"A2",B645&gt;70,"B1",B645&gt;60,"B2",B645&gt;50,"C1",B645&gt;40,"C2")</f>
        <v>B2</v>
      </c>
      <c r="D645">
        <v>77.598759048603924</v>
      </c>
      <c r="E645" t="str" cm="1">
        <f t="array" ref="E645">_xlfn.IFS(Table1[[#This Row],[Previous Marks]]&gt;90,"A1",Table1[[#This Row],[Previous Marks]]&gt;80,"A2",Table1[[#This Row],[Previous Marks]]&gt;70,"B1",Table1[[#This Row],[Previous Marks]]&gt;60,"B2",Table1[[#This Row],[Previous Marks]]&gt;50,"C1",Table1[[#This Row],[Previous Marks]]&gt;40,"C2")</f>
        <v>B1</v>
      </c>
      <c r="F645">
        <v>85</v>
      </c>
    </row>
    <row r="646" spans="2:6" x14ac:dyDescent="0.3">
      <c r="B646">
        <v>68</v>
      </c>
      <c r="C646" t="str" cm="1">
        <f t="array" ref="C646">_xlfn.IFS(B646&gt;90,"A1",B646&gt;80,"A2",B646&gt;70,"B1",B646&gt;60,"B2",B646&gt;50,"C1",B646&gt;40,"C2")</f>
        <v>B2</v>
      </c>
      <c r="D646">
        <v>88</v>
      </c>
      <c r="E646" t="str" cm="1">
        <f t="array" ref="E646">_xlfn.IFS(Table1[[#This Row],[Previous Marks]]&gt;90,"A1",Table1[[#This Row],[Previous Marks]]&gt;80,"A2",Table1[[#This Row],[Previous Marks]]&gt;70,"B1",Table1[[#This Row],[Previous Marks]]&gt;60,"B2",Table1[[#This Row],[Previous Marks]]&gt;50,"C1",Table1[[#This Row],[Previous Marks]]&gt;40,"C2")</f>
        <v>A2</v>
      </c>
      <c r="F646">
        <v>85</v>
      </c>
    </row>
    <row r="647" spans="2:6" x14ac:dyDescent="0.3">
      <c r="B647">
        <v>90</v>
      </c>
      <c r="C647" t="str" cm="1">
        <f t="array" ref="C647">_xlfn.IFS(B647&gt;90,"A1",B647&gt;80,"A2",B647&gt;70,"B1",B647&gt;60,"B2",B647&gt;50,"C1",B647&gt;40,"C2")</f>
        <v>A2</v>
      </c>
      <c r="D647">
        <v>90</v>
      </c>
      <c r="E647" t="str" cm="1">
        <f t="array" ref="E647">_xlfn.IFS(Table1[[#This Row],[Previous Marks]]&gt;90,"A1",Table1[[#This Row],[Previous Marks]]&gt;80,"A2",Table1[[#This Row],[Previous Marks]]&gt;70,"B1",Table1[[#This Row],[Previous Marks]]&gt;60,"B2",Table1[[#This Row],[Previous Marks]]&gt;50,"C1",Table1[[#This Row],[Previous Marks]]&gt;40,"C2")</f>
        <v>A2</v>
      </c>
      <c r="F647">
        <v>78</v>
      </c>
    </row>
    <row r="648" spans="2:6" x14ac:dyDescent="0.3">
      <c r="B648">
        <v>68</v>
      </c>
      <c r="C648" t="str" cm="1">
        <f t="array" ref="C648">_xlfn.IFS(B648&gt;90,"A1",B648&gt;80,"A2",B648&gt;70,"B1",B648&gt;60,"B2",B648&gt;50,"C1",B648&gt;40,"C2")</f>
        <v>B2</v>
      </c>
      <c r="D648">
        <v>77.598759048603924</v>
      </c>
      <c r="E648" t="str" cm="1">
        <f t="array" ref="E648">_xlfn.IFS(Table1[[#This Row],[Previous Marks]]&gt;90,"A1",Table1[[#This Row],[Previous Marks]]&gt;80,"A2",Table1[[#This Row],[Previous Marks]]&gt;70,"B1",Table1[[#This Row],[Previous Marks]]&gt;60,"B2",Table1[[#This Row],[Previous Marks]]&gt;50,"C1",Table1[[#This Row],[Previous Marks]]&gt;40,"C2")</f>
        <v>B1</v>
      </c>
      <c r="F648">
        <v>92</v>
      </c>
    </row>
    <row r="649" spans="2:6" x14ac:dyDescent="0.3">
      <c r="B649">
        <v>78</v>
      </c>
      <c r="C649" t="str" cm="1">
        <f t="array" ref="C649">_xlfn.IFS(B649&gt;90,"A1",B649&gt;80,"A2",B649&gt;70,"B1",B649&gt;60,"B2",B649&gt;50,"C1",B649&gt;40,"C2")</f>
        <v>B1</v>
      </c>
      <c r="D649">
        <v>60</v>
      </c>
      <c r="E649" t="str" cm="1">
        <f t="array" ref="E649">_xlfn.IFS(Table1[[#This Row],[Previous Marks]]&gt;90,"A1",Table1[[#This Row],[Previous Marks]]&gt;80,"A2",Table1[[#This Row],[Previous Marks]]&gt;70,"B1",Table1[[#This Row],[Previous Marks]]&gt;60,"B2",Table1[[#This Row],[Previous Marks]]&gt;50,"C1",Table1[[#This Row],[Previous Marks]]&gt;40,"C2")</f>
        <v>C1</v>
      </c>
      <c r="F649">
        <v>90</v>
      </c>
    </row>
    <row r="650" spans="2:6" x14ac:dyDescent="0.3">
      <c r="B650">
        <v>68</v>
      </c>
      <c r="C650" t="str" cm="1">
        <f t="array" ref="C650">_xlfn.IFS(B650&gt;90,"A1",B650&gt;80,"A2",B650&gt;70,"B1",B650&gt;60,"B2",B650&gt;50,"C1",B650&gt;40,"C2")</f>
        <v>B2</v>
      </c>
      <c r="D650">
        <v>82</v>
      </c>
      <c r="E650" t="str" cm="1">
        <f t="array" ref="E650">_xlfn.IFS(Table1[[#This Row],[Previous Marks]]&gt;90,"A1",Table1[[#This Row],[Previous Marks]]&gt;80,"A2",Table1[[#This Row],[Previous Marks]]&gt;70,"B1",Table1[[#This Row],[Previous Marks]]&gt;60,"B2",Table1[[#This Row],[Previous Marks]]&gt;50,"C1",Table1[[#This Row],[Previous Marks]]&gt;40,"C2")</f>
        <v>A2</v>
      </c>
      <c r="F650">
        <v>88</v>
      </c>
    </row>
    <row r="651" spans="2:6" x14ac:dyDescent="0.3">
      <c r="B651">
        <v>85</v>
      </c>
      <c r="C651" t="str" cm="1">
        <f t="array" ref="C651">_xlfn.IFS(B651&gt;90,"A1",B651&gt;80,"A2",B651&gt;70,"B1",B651&gt;60,"B2",B651&gt;50,"C1",B651&gt;40,"C2")</f>
        <v>A2</v>
      </c>
      <c r="D651">
        <v>77.598759048603924</v>
      </c>
      <c r="E651" t="str" cm="1">
        <f t="array" ref="E651">_xlfn.IFS(Table1[[#This Row],[Previous Marks]]&gt;90,"A1",Table1[[#This Row],[Previous Marks]]&gt;80,"A2",Table1[[#This Row],[Previous Marks]]&gt;70,"B1",Table1[[#This Row],[Previous Marks]]&gt;60,"B2",Table1[[#This Row],[Previous Marks]]&gt;50,"C1",Table1[[#This Row],[Previous Marks]]&gt;40,"C2")</f>
        <v>B1</v>
      </c>
      <c r="F651">
        <v>85</v>
      </c>
    </row>
    <row r="652" spans="2:6" x14ac:dyDescent="0.3">
      <c r="B652">
        <v>92</v>
      </c>
      <c r="C652" t="str" cm="1">
        <f t="array" ref="C652">_xlfn.IFS(B652&gt;90,"A1",B652&gt;80,"A2",B652&gt;70,"B1",B652&gt;60,"B2",B652&gt;50,"C1",B652&gt;40,"C2")</f>
        <v>A1</v>
      </c>
      <c r="D652">
        <v>78</v>
      </c>
      <c r="E652" t="str" cm="1">
        <f t="array" ref="E652">_xlfn.IFS(Table1[[#This Row],[Previous Marks]]&gt;90,"A1",Table1[[#This Row],[Previous Marks]]&gt;80,"A2",Table1[[#This Row],[Previous Marks]]&gt;70,"B1",Table1[[#This Row],[Previous Marks]]&gt;60,"B2",Table1[[#This Row],[Previous Marks]]&gt;50,"C1",Table1[[#This Row],[Previous Marks]]&gt;40,"C2")</f>
        <v>B1</v>
      </c>
      <c r="F652">
        <v>90</v>
      </c>
    </row>
    <row r="653" spans="2:6" x14ac:dyDescent="0.3">
      <c r="B653">
        <v>62</v>
      </c>
      <c r="C653" t="str" cm="1">
        <f t="array" ref="C653">_xlfn.IFS(B653&gt;90,"A1",B653&gt;80,"A2",B653&gt;70,"B1",B653&gt;60,"B2",B653&gt;50,"C1",B653&gt;40,"C2")</f>
        <v>B2</v>
      </c>
      <c r="D653">
        <v>77</v>
      </c>
      <c r="E653" t="str" cm="1">
        <f t="array" ref="E653">_xlfn.IFS(Table1[[#This Row],[Previous Marks]]&gt;90,"A1",Table1[[#This Row],[Previous Marks]]&gt;80,"A2",Table1[[#This Row],[Previous Marks]]&gt;70,"B1",Table1[[#This Row],[Previous Marks]]&gt;60,"B2",Table1[[#This Row],[Previous Marks]]&gt;50,"C1",Table1[[#This Row],[Previous Marks]]&gt;40,"C2")</f>
        <v>B1</v>
      </c>
      <c r="F653">
        <v>90</v>
      </c>
    </row>
    <row r="654" spans="2:6" x14ac:dyDescent="0.3">
      <c r="B654">
        <v>80</v>
      </c>
      <c r="C654" t="str" cm="1">
        <f t="array" ref="C654">_xlfn.IFS(B654&gt;90,"A1",B654&gt;80,"A2",B654&gt;70,"B1",B654&gt;60,"B2",B654&gt;50,"C1",B654&gt;40,"C2")</f>
        <v>B1</v>
      </c>
      <c r="D654">
        <v>88</v>
      </c>
      <c r="E654" t="str" cm="1">
        <f t="array" ref="E654">_xlfn.IFS(Table1[[#This Row],[Previous Marks]]&gt;90,"A1",Table1[[#This Row],[Previous Marks]]&gt;80,"A2",Table1[[#This Row],[Previous Marks]]&gt;70,"B1",Table1[[#This Row],[Previous Marks]]&gt;60,"B2",Table1[[#This Row],[Previous Marks]]&gt;50,"C1",Table1[[#This Row],[Previous Marks]]&gt;40,"C2")</f>
        <v>A2</v>
      </c>
      <c r="F654">
        <v>78</v>
      </c>
    </row>
    <row r="655" spans="2:6" x14ac:dyDescent="0.3">
      <c r="B655">
        <v>68</v>
      </c>
      <c r="C655" t="str" cm="1">
        <f t="array" ref="C655">_xlfn.IFS(B655&gt;90,"A1",B655&gt;80,"A2",B655&gt;70,"B1",B655&gt;60,"B2",B655&gt;50,"C1",B655&gt;40,"C2")</f>
        <v>B2</v>
      </c>
      <c r="D655">
        <v>60</v>
      </c>
      <c r="E655" t="str" cm="1">
        <f t="array" ref="E655">_xlfn.IFS(Table1[[#This Row],[Previous Marks]]&gt;90,"A1",Table1[[#This Row],[Previous Marks]]&gt;80,"A2",Table1[[#This Row],[Previous Marks]]&gt;70,"B1",Table1[[#This Row],[Previous Marks]]&gt;60,"B2",Table1[[#This Row],[Previous Marks]]&gt;50,"C1",Table1[[#This Row],[Previous Marks]]&gt;40,"C2")</f>
        <v>C1</v>
      </c>
      <c r="F655">
        <v>92</v>
      </c>
    </row>
    <row r="656" spans="2:6" x14ac:dyDescent="0.3">
      <c r="B656">
        <v>90</v>
      </c>
      <c r="C656" t="str" cm="1">
        <f t="array" ref="C656">_xlfn.IFS(B656&gt;90,"A1",B656&gt;80,"A2",B656&gt;70,"B1",B656&gt;60,"B2",B656&gt;50,"C1",B656&gt;40,"C2")</f>
        <v>A2</v>
      </c>
      <c r="D656">
        <v>82</v>
      </c>
      <c r="E656" t="str" cm="1">
        <f t="array" ref="E656">_xlfn.IFS(Table1[[#This Row],[Previous Marks]]&gt;90,"A1",Table1[[#This Row],[Previous Marks]]&gt;80,"A2",Table1[[#This Row],[Previous Marks]]&gt;70,"B1",Table1[[#This Row],[Previous Marks]]&gt;60,"B2",Table1[[#This Row],[Previous Marks]]&gt;50,"C1",Table1[[#This Row],[Previous Marks]]&gt;40,"C2")</f>
        <v>A2</v>
      </c>
      <c r="F656">
        <v>78</v>
      </c>
    </row>
    <row r="657" spans="2:6" x14ac:dyDescent="0.3">
      <c r="B657">
        <v>78</v>
      </c>
      <c r="C657" t="str" cm="1">
        <f t="array" ref="C657">_xlfn.IFS(B657&gt;90,"A1",B657&gt;80,"A2",B657&gt;70,"B1",B657&gt;60,"B2",B657&gt;50,"C1",B657&gt;40,"C2")</f>
        <v>B1</v>
      </c>
      <c r="D657">
        <v>60</v>
      </c>
      <c r="E657" t="str" cm="1">
        <f t="array" ref="E657">_xlfn.IFS(Table1[[#This Row],[Previous Marks]]&gt;90,"A1",Table1[[#This Row],[Previous Marks]]&gt;80,"A2",Table1[[#This Row],[Previous Marks]]&gt;70,"B1",Table1[[#This Row],[Previous Marks]]&gt;60,"B2",Table1[[#This Row],[Previous Marks]]&gt;50,"C1",Table1[[#This Row],[Previous Marks]]&gt;40,"C2")</f>
        <v>C1</v>
      </c>
      <c r="F657">
        <v>70</v>
      </c>
    </row>
    <row r="658" spans="2:6" x14ac:dyDescent="0.3">
      <c r="B658">
        <v>85</v>
      </c>
      <c r="C658" t="str" cm="1">
        <f t="array" ref="C658">_xlfn.IFS(B658&gt;90,"A1",B658&gt;80,"A2",B658&gt;70,"B1",B658&gt;60,"B2",B658&gt;50,"C1",B658&gt;40,"C2")</f>
        <v>A2</v>
      </c>
      <c r="D658">
        <v>70</v>
      </c>
      <c r="E658" t="str" cm="1">
        <f t="array" ref="E658">_xlfn.IFS(Table1[[#This Row],[Previous Marks]]&gt;90,"A1",Table1[[#This Row],[Previous Marks]]&gt;80,"A2",Table1[[#This Row],[Previous Marks]]&gt;70,"B1",Table1[[#This Row],[Previous Marks]]&gt;60,"B2",Table1[[#This Row],[Previous Marks]]&gt;50,"C1",Table1[[#This Row],[Previous Marks]]&gt;40,"C2")</f>
        <v>B2</v>
      </c>
      <c r="F658">
        <v>70</v>
      </c>
    </row>
    <row r="659" spans="2:6" x14ac:dyDescent="0.3">
      <c r="B659">
        <v>78</v>
      </c>
      <c r="C659" t="str" cm="1">
        <f t="array" ref="C659">_xlfn.IFS(B659&gt;90,"A1",B659&gt;80,"A2",B659&gt;70,"B1",B659&gt;60,"B2",B659&gt;50,"C1",B659&gt;40,"C2")</f>
        <v>B1</v>
      </c>
      <c r="D659">
        <v>65</v>
      </c>
      <c r="E659" t="str" cm="1">
        <f t="array" ref="E659">_xlfn.IFS(Table1[[#This Row],[Previous Marks]]&gt;90,"A1",Table1[[#This Row],[Previous Marks]]&gt;80,"A2",Table1[[#This Row],[Previous Marks]]&gt;70,"B1",Table1[[#This Row],[Previous Marks]]&gt;60,"B2",Table1[[#This Row],[Previous Marks]]&gt;50,"C1",Table1[[#This Row],[Previous Marks]]&gt;40,"C2")</f>
        <v>B2</v>
      </c>
      <c r="F659">
        <v>85</v>
      </c>
    </row>
    <row r="660" spans="2:6" x14ac:dyDescent="0.3">
      <c r="B660">
        <v>78</v>
      </c>
      <c r="C660" t="str" cm="1">
        <f t="array" ref="C660">_xlfn.IFS(B660&gt;90,"A1",B660&gt;80,"A2",B660&gt;70,"B1",B660&gt;60,"B2",B660&gt;50,"C1",B660&gt;40,"C2")</f>
        <v>B1</v>
      </c>
      <c r="D660">
        <v>78</v>
      </c>
      <c r="E660" t="str" cm="1">
        <f t="array" ref="E660">_xlfn.IFS(Table1[[#This Row],[Previous Marks]]&gt;90,"A1",Table1[[#This Row],[Previous Marks]]&gt;80,"A2",Table1[[#This Row],[Previous Marks]]&gt;70,"B1",Table1[[#This Row],[Previous Marks]]&gt;60,"B2",Table1[[#This Row],[Previous Marks]]&gt;50,"C1",Table1[[#This Row],[Previous Marks]]&gt;40,"C2")</f>
        <v>B1</v>
      </c>
      <c r="F660">
        <v>85</v>
      </c>
    </row>
    <row r="661" spans="2:6" x14ac:dyDescent="0.3">
      <c r="B661">
        <v>88</v>
      </c>
      <c r="C661" t="str" cm="1">
        <f t="array" ref="C661">_xlfn.IFS(B661&gt;90,"A1",B661&gt;80,"A2",B661&gt;70,"B1",B661&gt;60,"B2",B661&gt;50,"C1",B661&gt;40,"C2")</f>
        <v>A2</v>
      </c>
      <c r="D661">
        <v>85</v>
      </c>
      <c r="E661" t="str" cm="1">
        <f t="array" ref="E661">_xlfn.IFS(Table1[[#This Row],[Previous Marks]]&gt;90,"A1",Table1[[#This Row],[Previous Marks]]&gt;80,"A2",Table1[[#This Row],[Previous Marks]]&gt;70,"B1",Table1[[#This Row],[Previous Marks]]&gt;60,"B2",Table1[[#This Row],[Previous Marks]]&gt;50,"C1",Table1[[#This Row],[Previous Marks]]&gt;40,"C2")</f>
        <v>A2</v>
      </c>
      <c r="F661">
        <v>88</v>
      </c>
    </row>
    <row r="662" spans="2:6" x14ac:dyDescent="0.3">
      <c r="B662">
        <v>80</v>
      </c>
      <c r="C662" t="str" cm="1">
        <f t="array" ref="C662">_xlfn.IFS(B662&gt;90,"A1",B662&gt;80,"A2",B662&gt;70,"B1",B662&gt;60,"B2",B662&gt;50,"C1",B662&gt;40,"C2")</f>
        <v>B1</v>
      </c>
      <c r="D662">
        <v>65</v>
      </c>
      <c r="E662" t="str" cm="1">
        <f t="array" ref="E662">_xlfn.IFS(Table1[[#This Row],[Previous Marks]]&gt;90,"A1",Table1[[#This Row],[Previous Marks]]&gt;80,"A2",Table1[[#This Row],[Previous Marks]]&gt;70,"B1",Table1[[#This Row],[Previous Marks]]&gt;60,"B2",Table1[[#This Row],[Previous Marks]]&gt;50,"C1",Table1[[#This Row],[Previous Marks]]&gt;40,"C2")</f>
        <v>B2</v>
      </c>
      <c r="F662">
        <v>95</v>
      </c>
    </row>
    <row r="663" spans="2:6" x14ac:dyDescent="0.3">
      <c r="B663">
        <v>68</v>
      </c>
      <c r="C663" t="str" cm="1">
        <f t="array" ref="C663">_xlfn.IFS(B663&gt;90,"A1",B663&gt;80,"A2",B663&gt;70,"B1",B663&gt;60,"B2",B663&gt;50,"C1",B663&gt;40,"C2")</f>
        <v>B2</v>
      </c>
      <c r="D663">
        <v>85</v>
      </c>
      <c r="E663" t="str" cm="1">
        <f t="array" ref="E663">_xlfn.IFS(Table1[[#This Row],[Previous Marks]]&gt;90,"A1",Table1[[#This Row],[Previous Marks]]&gt;80,"A2",Table1[[#This Row],[Previous Marks]]&gt;70,"B1",Table1[[#This Row],[Previous Marks]]&gt;60,"B2",Table1[[#This Row],[Previous Marks]]&gt;50,"C1",Table1[[#This Row],[Previous Marks]]&gt;40,"C2")</f>
        <v>A2</v>
      </c>
      <c r="F663">
        <v>88</v>
      </c>
    </row>
    <row r="664" spans="2:6" x14ac:dyDescent="0.3">
      <c r="B664">
        <v>72</v>
      </c>
      <c r="C664" t="str" cm="1">
        <f t="array" ref="C664">_xlfn.IFS(B664&gt;90,"A1",B664&gt;80,"A2",B664&gt;70,"B1",B664&gt;60,"B2",B664&gt;50,"C1",B664&gt;40,"C2")</f>
        <v>B1</v>
      </c>
      <c r="D664">
        <v>82</v>
      </c>
      <c r="E664" t="str" cm="1">
        <f t="array" ref="E664">_xlfn.IFS(Table1[[#This Row],[Previous Marks]]&gt;90,"A1",Table1[[#This Row],[Previous Marks]]&gt;80,"A2",Table1[[#This Row],[Previous Marks]]&gt;70,"B1",Table1[[#This Row],[Previous Marks]]&gt;60,"B2",Table1[[#This Row],[Previous Marks]]&gt;50,"C1",Table1[[#This Row],[Previous Marks]]&gt;40,"C2")</f>
        <v>A2</v>
      </c>
      <c r="F664">
        <v>95</v>
      </c>
    </row>
    <row r="665" spans="2:6" x14ac:dyDescent="0.3">
      <c r="B665">
        <v>87</v>
      </c>
      <c r="C665" t="str" cm="1">
        <f t="array" ref="C665">_xlfn.IFS(B665&gt;90,"A1",B665&gt;80,"A2",B665&gt;70,"B1",B665&gt;60,"B2",B665&gt;50,"C1",B665&gt;40,"C2")</f>
        <v>A2</v>
      </c>
      <c r="D665">
        <v>60</v>
      </c>
      <c r="E665" t="str" cm="1">
        <f t="array" ref="E665">_xlfn.IFS(Table1[[#This Row],[Previous Marks]]&gt;90,"A1",Table1[[#This Row],[Previous Marks]]&gt;80,"A2",Table1[[#This Row],[Previous Marks]]&gt;70,"B1",Table1[[#This Row],[Previous Marks]]&gt;60,"B2",Table1[[#This Row],[Previous Marks]]&gt;50,"C1",Table1[[#This Row],[Previous Marks]]&gt;40,"C2")</f>
        <v>C1</v>
      </c>
      <c r="F665">
        <v>95</v>
      </c>
    </row>
    <row r="666" spans="2:6" x14ac:dyDescent="0.3">
      <c r="B666">
        <v>80</v>
      </c>
      <c r="C666" t="str" cm="1">
        <f t="array" ref="C666">_xlfn.IFS(B666&gt;90,"A1",B666&gt;80,"A2",B666&gt;70,"B1",B666&gt;60,"B2",B666&gt;50,"C1",B666&gt;40,"C2")</f>
        <v>B1</v>
      </c>
      <c r="D666">
        <v>85</v>
      </c>
      <c r="E666" t="str" cm="1">
        <f t="array" ref="E666">_xlfn.IFS(Table1[[#This Row],[Previous Marks]]&gt;90,"A1",Table1[[#This Row],[Previous Marks]]&gt;80,"A2",Table1[[#This Row],[Previous Marks]]&gt;70,"B1",Table1[[#This Row],[Previous Marks]]&gt;60,"B2",Table1[[#This Row],[Previous Marks]]&gt;50,"C1",Table1[[#This Row],[Previous Marks]]&gt;40,"C2")</f>
        <v>A2</v>
      </c>
      <c r="F666">
        <v>70</v>
      </c>
    </row>
    <row r="667" spans="2:6" x14ac:dyDescent="0.3">
      <c r="B667">
        <v>85</v>
      </c>
      <c r="C667" t="str" cm="1">
        <f t="array" ref="C667">_xlfn.IFS(B667&gt;90,"A1",B667&gt;80,"A2",B667&gt;70,"B1",B667&gt;60,"B2",B667&gt;50,"C1",B667&gt;40,"C2")</f>
        <v>A2</v>
      </c>
      <c r="D667">
        <v>88</v>
      </c>
      <c r="E667" t="str" cm="1">
        <f t="array" ref="E667">_xlfn.IFS(Table1[[#This Row],[Previous Marks]]&gt;90,"A1",Table1[[#This Row],[Previous Marks]]&gt;80,"A2",Table1[[#This Row],[Previous Marks]]&gt;70,"B1",Table1[[#This Row],[Previous Marks]]&gt;60,"B2",Table1[[#This Row],[Previous Marks]]&gt;50,"C1",Table1[[#This Row],[Previous Marks]]&gt;40,"C2")</f>
        <v>A2</v>
      </c>
      <c r="F667">
        <v>91</v>
      </c>
    </row>
    <row r="668" spans="2:6" x14ac:dyDescent="0.3">
      <c r="B668">
        <v>87</v>
      </c>
      <c r="C668" t="str" cm="1">
        <f t="array" ref="C668">_xlfn.IFS(B668&gt;90,"A1",B668&gt;80,"A2",B668&gt;70,"B1",B668&gt;60,"B2",B668&gt;50,"C1",B668&gt;40,"C2")</f>
        <v>A2</v>
      </c>
      <c r="D668">
        <v>65</v>
      </c>
      <c r="E668" t="str" cm="1">
        <f t="array" ref="E668">_xlfn.IFS(Table1[[#This Row],[Previous Marks]]&gt;90,"A1",Table1[[#This Row],[Previous Marks]]&gt;80,"A2",Table1[[#This Row],[Previous Marks]]&gt;70,"B1",Table1[[#This Row],[Previous Marks]]&gt;60,"B2",Table1[[#This Row],[Previous Marks]]&gt;50,"C1",Table1[[#This Row],[Previous Marks]]&gt;40,"C2")</f>
        <v>B2</v>
      </c>
      <c r="F668">
        <v>92</v>
      </c>
    </row>
    <row r="669" spans="2:6" x14ac:dyDescent="0.3">
      <c r="B669">
        <v>80</v>
      </c>
      <c r="C669" t="str" cm="1">
        <f t="array" ref="C669">_xlfn.IFS(B669&gt;90,"A1",B669&gt;80,"A2",B669&gt;70,"B1",B669&gt;60,"B2",B669&gt;50,"C1",B669&gt;40,"C2")</f>
        <v>B1</v>
      </c>
      <c r="D669">
        <v>78</v>
      </c>
      <c r="E669" t="str" cm="1">
        <f t="array" ref="E669">_xlfn.IFS(Table1[[#This Row],[Previous Marks]]&gt;90,"A1",Table1[[#This Row],[Previous Marks]]&gt;80,"A2",Table1[[#This Row],[Previous Marks]]&gt;70,"B1",Table1[[#This Row],[Previous Marks]]&gt;60,"B2",Table1[[#This Row],[Previous Marks]]&gt;50,"C1",Table1[[#This Row],[Previous Marks]]&gt;40,"C2")</f>
        <v>B1</v>
      </c>
      <c r="F669">
        <v>85</v>
      </c>
    </row>
    <row r="670" spans="2:6" x14ac:dyDescent="0.3">
      <c r="B670">
        <v>80</v>
      </c>
      <c r="C670" t="str" cm="1">
        <f t="array" ref="C670">_xlfn.IFS(B670&gt;90,"A1",B670&gt;80,"A2",B670&gt;70,"B1",B670&gt;60,"B2",B670&gt;50,"C1",B670&gt;40,"C2")</f>
        <v>B1</v>
      </c>
      <c r="D670">
        <v>77.598759048603924</v>
      </c>
      <c r="E670" t="str" cm="1">
        <f t="array" ref="E670">_xlfn.IFS(Table1[[#This Row],[Previous Marks]]&gt;90,"A1",Table1[[#This Row],[Previous Marks]]&gt;80,"A2",Table1[[#This Row],[Previous Marks]]&gt;70,"B1",Table1[[#This Row],[Previous Marks]]&gt;60,"B2",Table1[[#This Row],[Previous Marks]]&gt;50,"C1",Table1[[#This Row],[Previous Marks]]&gt;40,"C2")</f>
        <v>B1</v>
      </c>
      <c r="F670">
        <v>88</v>
      </c>
    </row>
    <row r="671" spans="2:6" x14ac:dyDescent="0.3">
      <c r="B671">
        <v>85</v>
      </c>
      <c r="C671" t="str" cm="1">
        <f t="array" ref="C671">_xlfn.IFS(B671&gt;90,"A1",B671&gt;80,"A2",B671&gt;70,"B1",B671&gt;60,"B2",B671&gt;50,"C1",B671&gt;40,"C2")</f>
        <v>A2</v>
      </c>
      <c r="D671">
        <v>78</v>
      </c>
      <c r="E671" t="str" cm="1">
        <f t="array" ref="E671">_xlfn.IFS(Table1[[#This Row],[Previous Marks]]&gt;90,"A1",Table1[[#This Row],[Previous Marks]]&gt;80,"A2",Table1[[#This Row],[Previous Marks]]&gt;70,"B1",Table1[[#This Row],[Previous Marks]]&gt;60,"B2",Table1[[#This Row],[Previous Marks]]&gt;50,"C1",Table1[[#This Row],[Previous Marks]]&gt;40,"C2")</f>
        <v>B1</v>
      </c>
      <c r="F671">
        <v>78</v>
      </c>
    </row>
    <row r="672" spans="2:6" x14ac:dyDescent="0.3">
      <c r="B672">
        <v>80</v>
      </c>
      <c r="C672" t="str" cm="1">
        <f t="array" ref="C672">_xlfn.IFS(B672&gt;90,"A1",B672&gt;80,"A2",B672&gt;70,"B1",B672&gt;60,"B2",B672&gt;50,"C1",B672&gt;40,"C2")</f>
        <v>B1</v>
      </c>
      <c r="D672">
        <v>85</v>
      </c>
      <c r="E672" t="str" cm="1">
        <f t="array" ref="E672">_xlfn.IFS(Table1[[#This Row],[Previous Marks]]&gt;90,"A1",Table1[[#This Row],[Previous Marks]]&gt;80,"A2",Table1[[#This Row],[Previous Marks]]&gt;70,"B1",Table1[[#This Row],[Previous Marks]]&gt;60,"B2",Table1[[#This Row],[Previous Marks]]&gt;50,"C1",Table1[[#This Row],[Previous Marks]]&gt;40,"C2")</f>
        <v>A2</v>
      </c>
      <c r="F672">
        <v>82</v>
      </c>
    </row>
    <row r="673" spans="2:6" x14ac:dyDescent="0.3">
      <c r="B673">
        <v>78</v>
      </c>
      <c r="C673" t="str" cm="1">
        <f t="array" ref="C673">_xlfn.IFS(B673&gt;90,"A1",B673&gt;80,"A2",B673&gt;70,"B1",B673&gt;60,"B2",B673&gt;50,"C1",B673&gt;40,"C2")</f>
        <v>B1</v>
      </c>
      <c r="D673">
        <v>85</v>
      </c>
      <c r="E673" t="str" cm="1">
        <f t="array" ref="E673">_xlfn.IFS(Table1[[#This Row],[Previous Marks]]&gt;90,"A1",Table1[[#This Row],[Previous Marks]]&gt;80,"A2",Table1[[#This Row],[Previous Marks]]&gt;70,"B1",Table1[[#This Row],[Previous Marks]]&gt;60,"B2",Table1[[#This Row],[Previous Marks]]&gt;50,"C1",Table1[[#This Row],[Previous Marks]]&gt;40,"C2")</f>
        <v>A2</v>
      </c>
      <c r="F673">
        <v>82</v>
      </c>
    </row>
    <row r="674" spans="2:6" x14ac:dyDescent="0.3">
      <c r="B674">
        <v>72</v>
      </c>
      <c r="C674" t="str" cm="1">
        <f t="array" ref="C674">_xlfn.IFS(B674&gt;90,"A1",B674&gt;80,"A2",B674&gt;70,"B1",B674&gt;60,"B2",B674&gt;50,"C1",B674&gt;40,"C2")</f>
        <v>B1</v>
      </c>
      <c r="D674">
        <v>60</v>
      </c>
      <c r="E674" t="str" cm="1">
        <f t="array" ref="E674">_xlfn.IFS(Table1[[#This Row],[Previous Marks]]&gt;90,"A1",Table1[[#This Row],[Previous Marks]]&gt;80,"A2",Table1[[#This Row],[Previous Marks]]&gt;70,"B1",Table1[[#This Row],[Previous Marks]]&gt;60,"B2",Table1[[#This Row],[Previous Marks]]&gt;50,"C1",Table1[[#This Row],[Previous Marks]]&gt;40,"C2")</f>
        <v>C1</v>
      </c>
      <c r="F674">
        <v>78</v>
      </c>
    </row>
    <row r="675" spans="2:6" x14ac:dyDescent="0.3">
      <c r="B675">
        <v>85</v>
      </c>
      <c r="C675" t="str" cm="1">
        <f t="array" ref="C675">_xlfn.IFS(B675&gt;90,"A1",B675&gt;80,"A2",B675&gt;70,"B1",B675&gt;60,"B2",B675&gt;50,"C1",B675&gt;40,"C2")</f>
        <v>A2</v>
      </c>
      <c r="D675">
        <v>65</v>
      </c>
      <c r="E675" t="str" cm="1">
        <f t="array" ref="E675">_xlfn.IFS(Table1[[#This Row],[Previous Marks]]&gt;90,"A1",Table1[[#This Row],[Previous Marks]]&gt;80,"A2",Table1[[#This Row],[Previous Marks]]&gt;70,"B1",Table1[[#This Row],[Previous Marks]]&gt;60,"B2",Table1[[#This Row],[Previous Marks]]&gt;50,"C1",Table1[[#This Row],[Previous Marks]]&gt;40,"C2")</f>
        <v>B2</v>
      </c>
      <c r="F675">
        <v>90</v>
      </c>
    </row>
    <row r="676" spans="2:6" x14ac:dyDescent="0.3">
      <c r="B676">
        <v>85</v>
      </c>
      <c r="C676" t="str" cm="1">
        <f t="array" ref="C676">_xlfn.IFS(B676&gt;90,"A1",B676&gt;80,"A2",B676&gt;70,"B1",B676&gt;60,"B2",B676&gt;50,"C1",B676&gt;40,"C2")</f>
        <v>A2</v>
      </c>
      <c r="D676">
        <v>82</v>
      </c>
      <c r="E676" t="str" cm="1">
        <f t="array" ref="E676">_xlfn.IFS(Table1[[#This Row],[Previous Marks]]&gt;90,"A1",Table1[[#This Row],[Previous Marks]]&gt;80,"A2",Table1[[#This Row],[Previous Marks]]&gt;70,"B1",Table1[[#This Row],[Previous Marks]]&gt;60,"B2",Table1[[#This Row],[Previous Marks]]&gt;50,"C1",Table1[[#This Row],[Previous Marks]]&gt;40,"C2")</f>
        <v>A2</v>
      </c>
      <c r="F676">
        <v>85.510416666666671</v>
      </c>
    </row>
    <row r="677" spans="2:6" x14ac:dyDescent="0.3">
      <c r="B677">
        <v>90</v>
      </c>
      <c r="C677" t="str" cm="1">
        <f t="array" ref="C677">_xlfn.IFS(B677&gt;90,"A1",B677&gt;80,"A2",B677&gt;70,"B1",B677&gt;60,"B2",B677&gt;50,"C1",B677&gt;40,"C2")</f>
        <v>A2</v>
      </c>
      <c r="D677">
        <v>85</v>
      </c>
      <c r="E677" t="str" cm="1">
        <f t="array" ref="E677">_xlfn.IFS(Table1[[#This Row],[Previous Marks]]&gt;90,"A1",Table1[[#This Row],[Previous Marks]]&gt;80,"A2",Table1[[#This Row],[Previous Marks]]&gt;70,"B1",Table1[[#This Row],[Previous Marks]]&gt;60,"B2",Table1[[#This Row],[Previous Marks]]&gt;50,"C1",Table1[[#This Row],[Previous Marks]]&gt;40,"C2")</f>
        <v>A2</v>
      </c>
      <c r="F677">
        <v>70</v>
      </c>
    </row>
    <row r="678" spans="2:6" x14ac:dyDescent="0.3">
      <c r="B678">
        <v>62</v>
      </c>
      <c r="C678" t="str" cm="1">
        <f t="array" ref="C678">_xlfn.IFS(B678&gt;90,"A1",B678&gt;80,"A2",B678&gt;70,"B1",B678&gt;60,"B2",B678&gt;50,"C1",B678&gt;40,"C2")</f>
        <v>B2</v>
      </c>
      <c r="D678">
        <v>85</v>
      </c>
      <c r="E678" t="str" cm="1">
        <f t="array" ref="E678">_xlfn.IFS(Table1[[#This Row],[Previous Marks]]&gt;90,"A1",Table1[[#This Row],[Previous Marks]]&gt;80,"A2",Table1[[#This Row],[Previous Marks]]&gt;70,"B1",Table1[[#This Row],[Previous Marks]]&gt;60,"B2",Table1[[#This Row],[Previous Marks]]&gt;50,"C1",Table1[[#This Row],[Previous Marks]]&gt;40,"C2")</f>
        <v>A2</v>
      </c>
      <c r="F678">
        <v>85</v>
      </c>
    </row>
    <row r="679" spans="2:6" x14ac:dyDescent="0.3">
      <c r="B679">
        <v>62</v>
      </c>
      <c r="C679" t="str" cm="1">
        <f t="array" ref="C679">_xlfn.IFS(B679&gt;90,"A1",B679&gt;80,"A2",B679&gt;70,"B1",B679&gt;60,"B2",B679&gt;50,"C1",B679&gt;40,"C2")</f>
        <v>B2</v>
      </c>
      <c r="D679">
        <v>88</v>
      </c>
      <c r="E679" t="str" cm="1">
        <f t="array" ref="E679">_xlfn.IFS(Table1[[#This Row],[Previous Marks]]&gt;90,"A1",Table1[[#This Row],[Previous Marks]]&gt;80,"A2",Table1[[#This Row],[Previous Marks]]&gt;70,"B1",Table1[[#This Row],[Previous Marks]]&gt;60,"B2",Table1[[#This Row],[Previous Marks]]&gt;50,"C1",Table1[[#This Row],[Previous Marks]]&gt;40,"C2")</f>
        <v>A2</v>
      </c>
      <c r="F679">
        <v>95</v>
      </c>
    </row>
    <row r="680" spans="2:6" x14ac:dyDescent="0.3">
      <c r="B680">
        <v>78</v>
      </c>
      <c r="C680" t="str" cm="1">
        <f t="array" ref="C680">_xlfn.IFS(B680&gt;90,"A1",B680&gt;80,"A2",B680&gt;70,"B1",B680&gt;60,"B2",B680&gt;50,"C1",B680&gt;40,"C2")</f>
        <v>B1</v>
      </c>
      <c r="D680">
        <v>77</v>
      </c>
      <c r="E680" t="str" cm="1">
        <f t="array" ref="E680">_xlfn.IFS(Table1[[#This Row],[Previous Marks]]&gt;90,"A1",Table1[[#This Row],[Previous Marks]]&gt;80,"A2",Table1[[#This Row],[Previous Marks]]&gt;70,"B1",Table1[[#This Row],[Previous Marks]]&gt;60,"B2",Table1[[#This Row],[Previous Marks]]&gt;50,"C1",Table1[[#This Row],[Previous Marks]]&gt;40,"C2")</f>
        <v>B1</v>
      </c>
      <c r="F680">
        <v>70</v>
      </c>
    </row>
    <row r="681" spans="2:6" x14ac:dyDescent="0.3">
      <c r="B681">
        <v>68</v>
      </c>
      <c r="C681" t="str" cm="1">
        <f t="array" ref="C681">_xlfn.IFS(B681&gt;90,"A1",B681&gt;80,"A2",B681&gt;70,"B1",B681&gt;60,"B2",B681&gt;50,"C1",B681&gt;40,"C2")</f>
        <v>B2</v>
      </c>
      <c r="D681">
        <v>77</v>
      </c>
      <c r="E681" t="str" cm="1">
        <f t="array" ref="E681">_xlfn.IFS(Table1[[#This Row],[Previous Marks]]&gt;90,"A1",Table1[[#This Row],[Previous Marks]]&gt;80,"A2",Table1[[#This Row],[Previous Marks]]&gt;70,"B1",Table1[[#This Row],[Previous Marks]]&gt;60,"B2",Table1[[#This Row],[Previous Marks]]&gt;50,"C1",Table1[[#This Row],[Previous Marks]]&gt;40,"C2")</f>
        <v>B1</v>
      </c>
      <c r="F681">
        <v>88</v>
      </c>
    </row>
    <row r="682" spans="2:6" x14ac:dyDescent="0.3">
      <c r="B682">
        <v>90</v>
      </c>
      <c r="C682" t="str" cm="1">
        <f t="array" ref="C682">_xlfn.IFS(B682&gt;90,"A1",B682&gt;80,"A2",B682&gt;70,"B1",B682&gt;60,"B2",B682&gt;50,"C1",B682&gt;40,"C2")</f>
        <v>A2</v>
      </c>
      <c r="D682">
        <v>60</v>
      </c>
      <c r="E682" t="str" cm="1">
        <f t="array" ref="E682">_xlfn.IFS(Table1[[#This Row],[Previous Marks]]&gt;90,"A1",Table1[[#This Row],[Previous Marks]]&gt;80,"A2",Table1[[#This Row],[Previous Marks]]&gt;70,"B1",Table1[[#This Row],[Previous Marks]]&gt;60,"B2",Table1[[#This Row],[Previous Marks]]&gt;50,"C1",Table1[[#This Row],[Previous Marks]]&gt;40,"C2")</f>
        <v>C1</v>
      </c>
      <c r="F682">
        <v>85</v>
      </c>
    </row>
    <row r="683" spans="2:6" x14ac:dyDescent="0.3">
      <c r="B683">
        <v>72</v>
      </c>
      <c r="C683" t="str" cm="1">
        <f t="array" ref="C683">_xlfn.IFS(B683&gt;90,"A1",B683&gt;80,"A2",B683&gt;70,"B1",B683&gt;60,"B2",B683&gt;50,"C1",B683&gt;40,"C2")</f>
        <v>B1</v>
      </c>
      <c r="D683">
        <v>82</v>
      </c>
      <c r="E683" t="str" cm="1">
        <f t="array" ref="E683">_xlfn.IFS(Table1[[#This Row],[Previous Marks]]&gt;90,"A1",Table1[[#This Row],[Previous Marks]]&gt;80,"A2",Table1[[#This Row],[Previous Marks]]&gt;70,"B1",Table1[[#This Row],[Previous Marks]]&gt;60,"B2",Table1[[#This Row],[Previous Marks]]&gt;50,"C1",Table1[[#This Row],[Previous Marks]]&gt;40,"C2")</f>
        <v>A2</v>
      </c>
      <c r="F683">
        <v>85</v>
      </c>
    </row>
    <row r="684" spans="2:6" x14ac:dyDescent="0.3">
      <c r="B684">
        <v>78</v>
      </c>
      <c r="C684" t="str" cm="1">
        <f t="array" ref="C684">_xlfn.IFS(B684&gt;90,"A1",B684&gt;80,"A2",B684&gt;70,"B1",B684&gt;60,"B2",B684&gt;50,"C1",B684&gt;40,"C2")</f>
        <v>B1</v>
      </c>
      <c r="D684">
        <v>77</v>
      </c>
      <c r="E684" t="str" cm="1">
        <f t="array" ref="E684">_xlfn.IFS(Table1[[#This Row],[Previous Marks]]&gt;90,"A1",Table1[[#This Row],[Previous Marks]]&gt;80,"A2",Table1[[#This Row],[Previous Marks]]&gt;70,"B1",Table1[[#This Row],[Previous Marks]]&gt;60,"B2",Table1[[#This Row],[Previous Marks]]&gt;50,"C1",Table1[[#This Row],[Previous Marks]]&gt;40,"C2")</f>
        <v>B1</v>
      </c>
      <c r="F684">
        <v>90</v>
      </c>
    </row>
    <row r="685" spans="2:6" x14ac:dyDescent="0.3">
      <c r="B685">
        <v>62</v>
      </c>
      <c r="C685" t="str" cm="1">
        <f t="array" ref="C685">_xlfn.IFS(B685&gt;90,"A1",B685&gt;80,"A2",B685&gt;70,"B1",B685&gt;60,"B2",B685&gt;50,"C1",B685&gt;40,"C2")</f>
        <v>B2</v>
      </c>
      <c r="D685">
        <v>65</v>
      </c>
      <c r="E685" t="str" cm="1">
        <f t="array" ref="E685">_xlfn.IFS(Table1[[#This Row],[Previous Marks]]&gt;90,"A1",Table1[[#This Row],[Previous Marks]]&gt;80,"A2",Table1[[#This Row],[Previous Marks]]&gt;70,"B1",Table1[[#This Row],[Previous Marks]]&gt;60,"B2",Table1[[#This Row],[Previous Marks]]&gt;50,"C1",Table1[[#This Row],[Previous Marks]]&gt;40,"C2")</f>
        <v>B2</v>
      </c>
      <c r="F685">
        <v>85</v>
      </c>
    </row>
    <row r="686" spans="2:6" x14ac:dyDescent="0.3">
      <c r="B686">
        <v>62</v>
      </c>
      <c r="C686" t="str" cm="1">
        <f t="array" ref="C686">_xlfn.IFS(B686&gt;90,"A1",B686&gt;80,"A2",B686&gt;70,"B1",B686&gt;60,"B2",B686&gt;50,"C1",B686&gt;40,"C2")</f>
        <v>B2</v>
      </c>
      <c r="D686">
        <v>65</v>
      </c>
      <c r="E686" t="str" cm="1">
        <f t="array" ref="E686">_xlfn.IFS(Table1[[#This Row],[Previous Marks]]&gt;90,"A1",Table1[[#This Row],[Previous Marks]]&gt;80,"A2",Table1[[#This Row],[Previous Marks]]&gt;70,"B1",Table1[[#This Row],[Previous Marks]]&gt;60,"B2",Table1[[#This Row],[Previous Marks]]&gt;50,"C1",Table1[[#This Row],[Previous Marks]]&gt;40,"C2")</f>
        <v>B2</v>
      </c>
      <c r="F686">
        <v>85</v>
      </c>
    </row>
    <row r="687" spans="2:6" x14ac:dyDescent="0.3">
      <c r="B687">
        <v>68</v>
      </c>
      <c r="C687" t="str" cm="1">
        <f t="array" ref="C687">_xlfn.IFS(B687&gt;90,"A1",B687&gt;80,"A2",B687&gt;70,"B1",B687&gt;60,"B2",B687&gt;50,"C1",B687&gt;40,"C2")</f>
        <v>B2</v>
      </c>
      <c r="D687">
        <v>78</v>
      </c>
      <c r="E687" t="str" cm="1">
        <f t="array" ref="E687">_xlfn.IFS(Table1[[#This Row],[Previous Marks]]&gt;90,"A1",Table1[[#This Row],[Previous Marks]]&gt;80,"A2",Table1[[#This Row],[Previous Marks]]&gt;70,"B1",Table1[[#This Row],[Previous Marks]]&gt;60,"B2",Table1[[#This Row],[Previous Marks]]&gt;50,"C1",Table1[[#This Row],[Previous Marks]]&gt;40,"C2")</f>
        <v>B1</v>
      </c>
      <c r="F687">
        <v>95</v>
      </c>
    </row>
    <row r="688" spans="2:6" x14ac:dyDescent="0.3">
      <c r="B688">
        <v>90</v>
      </c>
      <c r="C688" t="str" cm="1">
        <f t="array" ref="C688">_xlfn.IFS(B688&gt;90,"A1",B688&gt;80,"A2",B688&gt;70,"B1",B688&gt;60,"B2",B688&gt;50,"C1",B688&gt;40,"C2")</f>
        <v>A2</v>
      </c>
      <c r="D688">
        <v>88</v>
      </c>
      <c r="E688" t="str" cm="1">
        <f t="array" ref="E688">_xlfn.IFS(Table1[[#This Row],[Previous Marks]]&gt;90,"A1",Table1[[#This Row],[Previous Marks]]&gt;80,"A2",Table1[[#This Row],[Previous Marks]]&gt;70,"B1",Table1[[#This Row],[Previous Marks]]&gt;60,"B2",Table1[[#This Row],[Previous Marks]]&gt;50,"C1",Table1[[#This Row],[Previous Marks]]&gt;40,"C2")</f>
        <v>A2</v>
      </c>
      <c r="F688">
        <v>90</v>
      </c>
    </row>
    <row r="689" spans="2:6" x14ac:dyDescent="0.3">
      <c r="B689">
        <v>90</v>
      </c>
      <c r="C689" t="str" cm="1">
        <f t="array" ref="C689">_xlfn.IFS(B689&gt;90,"A1",B689&gt;80,"A2",B689&gt;70,"B1",B689&gt;60,"B2",B689&gt;50,"C1",B689&gt;40,"C2")</f>
        <v>A2</v>
      </c>
      <c r="D689">
        <v>85</v>
      </c>
      <c r="E689" t="str" cm="1">
        <f t="array" ref="E689">_xlfn.IFS(Table1[[#This Row],[Previous Marks]]&gt;90,"A1",Table1[[#This Row],[Previous Marks]]&gt;80,"A2",Table1[[#This Row],[Previous Marks]]&gt;70,"B1",Table1[[#This Row],[Previous Marks]]&gt;60,"B2",Table1[[#This Row],[Previous Marks]]&gt;50,"C1",Table1[[#This Row],[Previous Marks]]&gt;40,"C2")</f>
        <v>A2</v>
      </c>
      <c r="F689">
        <v>91</v>
      </c>
    </row>
    <row r="690" spans="2:6" x14ac:dyDescent="0.3">
      <c r="B690">
        <v>80</v>
      </c>
      <c r="C690" t="str" cm="1">
        <f t="array" ref="C690">_xlfn.IFS(B690&gt;90,"A1",B690&gt;80,"A2",B690&gt;70,"B1",B690&gt;60,"B2",B690&gt;50,"C1",B690&gt;40,"C2")</f>
        <v>B1</v>
      </c>
      <c r="D690">
        <v>70</v>
      </c>
      <c r="E690" t="str" cm="1">
        <f t="array" ref="E690">_xlfn.IFS(Table1[[#This Row],[Previous Marks]]&gt;90,"A1",Table1[[#This Row],[Previous Marks]]&gt;80,"A2",Table1[[#This Row],[Previous Marks]]&gt;70,"B1",Table1[[#This Row],[Previous Marks]]&gt;60,"B2",Table1[[#This Row],[Previous Marks]]&gt;50,"C1",Table1[[#This Row],[Previous Marks]]&gt;40,"C2")</f>
        <v>B2</v>
      </c>
      <c r="F690">
        <v>70</v>
      </c>
    </row>
    <row r="691" spans="2:6" x14ac:dyDescent="0.3">
      <c r="B691">
        <v>78</v>
      </c>
      <c r="C691" t="str" cm="1">
        <f t="array" ref="C691">_xlfn.IFS(B691&gt;90,"A1",B691&gt;80,"A2",B691&gt;70,"B1",B691&gt;60,"B2",B691&gt;50,"C1",B691&gt;40,"C2")</f>
        <v>B1</v>
      </c>
      <c r="D691">
        <v>88</v>
      </c>
      <c r="E691" t="str" cm="1">
        <f t="array" ref="E691">_xlfn.IFS(Table1[[#This Row],[Previous Marks]]&gt;90,"A1",Table1[[#This Row],[Previous Marks]]&gt;80,"A2",Table1[[#This Row],[Previous Marks]]&gt;70,"B1",Table1[[#This Row],[Previous Marks]]&gt;60,"B2",Table1[[#This Row],[Previous Marks]]&gt;50,"C1",Table1[[#This Row],[Previous Marks]]&gt;40,"C2")</f>
        <v>A2</v>
      </c>
      <c r="F691">
        <v>85.510416666666671</v>
      </c>
    </row>
    <row r="692" spans="2:6" x14ac:dyDescent="0.3">
      <c r="B692">
        <v>90</v>
      </c>
      <c r="C692" t="str" cm="1">
        <f t="array" ref="C692">_xlfn.IFS(B692&gt;90,"A1",B692&gt;80,"A2",B692&gt;70,"B1",B692&gt;60,"B2",B692&gt;50,"C1",B692&gt;40,"C2")</f>
        <v>A2</v>
      </c>
      <c r="D692">
        <v>65</v>
      </c>
      <c r="E692" t="str" cm="1">
        <f t="array" ref="E692">_xlfn.IFS(Table1[[#This Row],[Previous Marks]]&gt;90,"A1",Table1[[#This Row],[Previous Marks]]&gt;80,"A2",Table1[[#This Row],[Previous Marks]]&gt;70,"B1",Table1[[#This Row],[Previous Marks]]&gt;60,"B2",Table1[[#This Row],[Previous Marks]]&gt;50,"C1",Table1[[#This Row],[Previous Marks]]&gt;40,"C2")</f>
        <v>B2</v>
      </c>
      <c r="F692">
        <v>82</v>
      </c>
    </row>
    <row r="693" spans="2:6" x14ac:dyDescent="0.3">
      <c r="B693">
        <v>62</v>
      </c>
      <c r="C693" t="str" cm="1">
        <f t="array" ref="C693">_xlfn.IFS(B693&gt;90,"A1",B693&gt;80,"A2",B693&gt;70,"B1",B693&gt;60,"B2",B693&gt;50,"C1",B693&gt;40,"C2")</f>
        <v>B2</v>
      </c>
      <c r="D693">
        <v>78</v>
      </c>
      <c r="E693" t="str" cm="1">
        <f t="array" ref="E693">_xlfn.IFS(Table1[[#This Row],[Previous Marks]]&gt;90,"A1",Table1[[#This Row],[Previous Marks]]&gt;80,"A2",Table1[[#This Row],[Previous Marks]]&gt;70,"B1",Table1[[#This Row],[Previous Marks]]&gt;60,"B2",Table1[[#This Row],[Previous Marks]]&gt;50,"C1",Table1[[#This Row],[Previous Marks]]&gt;40,"C2")</f>
        <v>B1</v>
      </c>
      <c r="F693">
        <v>88</v>
      </c>
    </row>
    <row r="694" spans="2:6" x14ac:dyDescent="0.3">
      <c r="B694">
        <v>62</v>
      </c>
      <c r="C694" t="str" cm="1">
        <f t="array" ref="C694">_xlfn.IFS(B694&gt;90,"A1",B694&gt;80,"A2",B694&gt;70,"B1",B694&gt;60,"B2",B694&gt;50,"C1",B694&gt;40,"C2")</f>
        <v>B2</v>
      </c>
      <c r="D694">
        <v>86</v>
      </c>
      <c r="E694" t="str" cm="1">
        <f t="array" ref="E694">_xlfn.IFS(Table1[[#This Row],[Previous Marks]]&gt;90,"A1",Table1[[#This Row],[Previous Marks]]&gt;80,"A2",Table1[[#This Row],[Previous Marks]]&gt;70,"B1",Table1[[#This Row],[Previous Marks]]&gt;60,"B2",Table1[[#This Row],[Previous Marks]]&gt;50,"C1",Table1[[#This Row],[Previous Marks]]&gt;40,"C2")</f>
        <v>A2</v>
      </c>
      <c r="F694">
        <v>88</v>
      </c>
    </row>
    <row r="695" spans="2:6" x14ac:dyDescent="0.3">
      <c r="B695">
        <v>62</v>
      </c>
      <c r="C695" t="str" cm="1">
        <f t="array" ref="C695">_xlfn.IFS(B695&gt;90,"A1",B695&gt;80,"A2",B695&gt;70,"B1",B695&gt;60,"B2",B695&gt;50,"C1",B695&gt;40,"C2")</f>
        <v>B2</v>
      </c>
      <c r="D695">
        <v>88</v>
      </c>
      <c r="E695" t="str" cm="1">
        <f t="array" ref="E695">_xlfn.IFS(Table1[[#This Row],[Previous Marks]]&gt;90,"A1",Table1[[#This Row],[Previous Marks]]&gt;80,"A2",Table1[[#This Row],[Previous Marks]]&gt;70,"B1",Table1[[#This Row],[Previous Marks]]&gt;60,"B2",Table1[[#This Row],[Previous Marks]]&gt;50,"C1",Table1[[#This Row],[Previous Marks]]&gt;40,"C2")</f>
        <v>A2</v>
      </c>
      <c r="F695">
        <v>70</v>
      </c>
    </row>
    <row r="696" spans="2:6" x14ac:dyDescent="0.3">
      <c r="B696">
        <v>92</v>
      </c>
      <c r="C696" t="str" cm="1">
        <f t="array" ref="C696">_xlfn.IFS(B696&gt;90,"A1",B696&gt;80,"A2",B696&gt;70,"B1",B696&gt;60,"B2",B696&gt;50,"C1",B696&gt;40,"C2")</f>
        <v>A1</v>
      </c>
      <c r="D696">
        <v>65</v>
      </c>
      <c r="E696" t="str" cm="1">
        <f t="array" ref="E696">_xlfn.IFS(Table1[[#This Row],[Previous Marks]]&gt;90,"A1",Table1[[#This Row],[Previous Marks]]&gt;80,"A2",Table1[[#This Row],[Previous Marks]]&gt;70,"B1",Table1[[#This Row],[Previous Marks]]&gt;60,"B2",Table1[[#This Row],[Previous Marks]]&gt;50,"C1",Table1[[#This Row],[Previous Marks]]&gt;40,"C2")</f>
        <v>B2</v>
      </c>
      <c r="F696">
        <v>85</v>
      </c>
    </row>
    <row r="697" spans="2:6" x14ac:dyDescent="0.3">
      <c r="B697">
        <v>78</v>
      </c>
      <c r="C697" t="str" cm="1">
        <f t="array" ref="C697">_xlfn.IFS(B697&gt;90,"A1",B697&gt;80,"A2",B697&gt;70,"B1",B697&gt;60,"B2",B697&gt;50,"C1",B697&gt;40,"C2")</f>
        <v>B1</v>
      </c>
      <c r="D697">
        <v>70</v>
      </c>
      <c r="E697" t="str" cm="1">
        <f t="array" ref="E697">_xlfn.IFS(Table1[[#This Row],[Previous Marks]]&gt;90,"A1",Table1[[#This Row],[Previous Marks]]&gt;80,"A2",Table1[[#This Row],[Previous Marks]]&gt;70,"B1",Table1[[#This Row],[Previous Marks]]&gt;60,"B2",Table1[[#This Row],[Previous Marks]]&gt;50,"C1",Table1[[#This Row],[Previous Marks]]&gt;40,"C2")</f>
        <v>B2</v>
      </c>
      <c r="F697">
        <v>91</v>
      </c>
    </row>
    <row r="698" spans="2:6" x14ac:dyDescent="0.3">
      <c r="B698">
        <v>85</v>
      </c>
      <c r="C698" t="str" cm="1">
        <f t="array" ref="C698">_xlfn.IFS(B698&gt;90,"A1",B698&gt;80,"A2",B698&gt;70,"B1",B698&gt;60,"B2",B698&gt;50,"C1",B698&gt;40,"C2")</f>
        <v>A2</v>
      </c>
      <c r="D698">
        <v>90</v>
      </c>
      <c r="E698" t="str" cm="1">
        <f t="array" ref="E698">_xlfn.IFS(Table1[[#This Row],[Previous Marks]]&gt;90,"A1",Table1[[#This Row],[Previous Marks]]&gt;80,"A2",Table1[[#This Row],[Previous Marks]]&gt;70,"B1",Table1[[#This Row],[Previous Marks]]&gt;60,"B2",Table1[[#This Row],[Previous Marks]]&gt;50,"C1",Table1[[#This Row],[Previous Marks]]&gt;40,"C2")</f>
        <v>A2</v>
      </c>
      <c r="F698">
        <v>95</v>
      </c>
    </row>
    <row r="699" spans="2:6" x14ac:dyDescent="0.3">
      <c r="B699">
        <v>85</v>
      </c>
      <c r="C699" t="str" cm="1">
        <f t="array" ref="C699">_xlfn.IFS(B699&gt;90,"A1",B699&gt;80,"A2",B699&gt;70,"B1",B699&gt;60,"B2",B699&gt;50,"C1",B699&gt;40,"C2")</f>
        <v>A2</v>
      </c>
      <c r="D699">
        <v>90</v>
      </c>
      <c r="E699" t="str" cm="1">
        <f t="array" ref="E699">_xlfn.IFS(Table1[[#This Row],[Previous Marks]]&gt;90,"A1",Table1[[#This Row],[Previous Marks]]&gt;80,"A2",Table1[[#This Row],[Previous Marks]]&gt;70,"B1",Table1[[#This Row],[Previous Marks]]&gt;60,"B2",Table1[[#This Row],[Previous Marks]]&gt;50,"C1",Table1[[#This Row],[Previous Marks]]&gt;40,"C2")</f>
        <v>A2</v>
      </c>
      <c r="F699">
        <v>90</v>
      </c>
    </row>
    <row r="700" spans="2:6" x14ac:dyDescent="0.3">
      <c r="B700">
        <v>85</v>
      </c>
      <c r="C700" t="str" cm="1">
        <f t="array" ref="C700">_xlfn.IFS(B700&gt;90,"A1",B700&gt;80,"A2",B700&gt;70,"B1",B700&gt;60,"B2",B700&gt;50,"C1",B700&gt;40,"C2")</f>
        <v>A2</v>
      </c>
      <c r="D700">
        <v>82</v>
      </c>
      <c r="E700" t="str" cm="1">
        <f t="array" ref="E700">_xlfn.IFS(Table1[[#This Row],[Previous Marks]]&gt;90,"A1",Table1[[#This Row],[Previous Marks]]&gt;80,"A2",Table1[[#This Row],[Previous Marks]]&gt;70,"B1",Table1[[#This Row],[Previous Marks]]&gt;60,"B2",Table1[[#This Row],[Previous Marks]]&gt;50,"C1",Table1[[#This Row],[Previous Marks]]&gt;40,"C2")</f>
        <v>A2</v>
      </c>
      <c r="F700">
        <v>92</v>
      </c>
    </row>
    <row r="701" spans="2:6" x14ac:dyDescent="0.3">
      <c r="B701">
        <v>85</v>
      </c>
      <c r="C701" t="str" cm="1">
        <f t="array" ref="C701">_xlfn.IFS(B701&gt;90,"A1",B701&gt;80,"A2",B701&gt;70,"B1",B701&gt;60,"B2",B701&gt;50,"C1",B701&gt;40,"C2")</f>
        <v>A2</v>
      </c>
      <c r="D701">
        <v>85</v>
      </c>
      <c r="E701" t="str" cm="1">
        <f t="array" ref="E701">_xlfn.IFS(Table1[[#This Row],[Previous Marks]]&gt;90,"A1",Table1[[#This Row],[Previous Marks]]&gt;80,"A2",Table1[[#This Row],[Previous Marks]]&gt;70,"B1",Table1[[#This Row],[Previous Marks]]&gt;60,"B2",Table1[[#This Row],[Previous Marks]]&gt;50,"C1",Table1[[#This Row],[Previous Marks]]&gt;40,"C2")</f>
        <v>A2</v>
      </c>
      <c r="F701">
        <v>85</v>
      </c>
    </row>
    <row r="702" spans="2:6" x14ac:dyDescent="0.3">
      <c r="B702">
        <v>72</v>
      </c>
      <c r="C702" t="str" cm="1">
        <f t="array" ref="C702">_xlfn.IFS(B702&gt;90,"A1",B702&gt;80,"A2",B702&gt;70,"B1",B702&gt;60,"B2",B702&gt;50,"C1",B702&gt;40,"C2")</f>
        <v>B1</v>
      </c>
      <c r="D702">
        <v>85</v>
      </c>
      <c r="E702" t="str" cm="1">
        <f t="array" ref="E702">_xlfn.IFS(Table1[[#This Row],[Previous Marks]]&gt;90,"A1",Table1[[#This Row],[Previous Marks]]&gt;80,"A2",Table1[[#This Row],[Previous Marks]]&gt;70,"B1",Table1[[#This Row],[Previous Marks]]&gt;60,"B2",Table1[[#This Row],[Previous Marks]]&gt;50,"C1",Table1[[#This Row],[Previous Marks]]&gt;40,"C2")</f>
        <v>A2</v>
      </c>
      <c r="F702">
        <v>78</v>
      </c>
    </row>
    <row r="703" spans="2:6" x14ac:dyDescent="0.3">
      <c r="B703">
        <v>88</v>
      </c>
      <c r="C703" t="str" cm="1">
        <f t="array" ref="C703">_xlfn.IFS(B703&gt;90,"A1",B703&gt;80,"A2",B703&gt;70,"B1",B703&gt;60,"B2",B703&gt;50,"C1",B703&gt;40,"C2")</f>
        <v>A2</v>
      </c>
      <c r="D703">
        <v>85</v>
      </c>
      <c r="E703" t="str" cm="1">
        <f t="array" ref="E703">_xlfn.IFS(Table1[[#This Row],[Previous Marks]]&gt;90,"A1",Table1[[#This Row],[Previous Marks]]&gt;80,"A2",Table1[[#This Row],[Previous Marks]]&gt;70,"B1",Table1[[#This Row],[Previous Marks]]&gt;60,"B2",Table1[[#This Row],[Previous Marks]]&gt;50,"C1",Table1[[#This Row],[Previous Marks]]&gt;40,"C2")</f>
        <v>A2</v>
      </c>
      <c r="F703">
        <v>92</v>
      </c>
    </row>
    <row r="704" spans="2:6" x14ac:dyDescent="0.3">
      <c r="B704">
        <v>78</v>
      </c>
      <c r="C704" t="str" cm="1">
        <f t="array" ref="C704">_xlfn.IFS(B704&gt;90,"A1",B704&gt;80,"A2",B704&gt;70,"B1",B704&gt;60,"B2",B704&gt;50,"C1",B704&gt;40,"C2")</f>
        <v>B1</v>
      </c>
      <c r="D704">
        <v>65</v>
      </c>
      <c r="E704" t="str" cm="1">
        <f t="array" ref="E704">_xlfn.IFS(Table1[[#This Row],[Previous Marks]]&gt;90,"A1",Table1[[#This Row],[Previous Marks]]&gt;80,"A2",Table1[[#This Row],[Previous Marks]]&gt;70,"B1",Table1[[#This Row],[Previous Marks]]&gt;60,"B2",Table1[[#This Row],[Previous Marks]]&gt;50,"C1",Table1[[#This Row],[Previous Marks]]&gt;40,"C2")</f>
        <v>B2</v>
      </c>
      <c r="F704">
        <v>78</v>
      </c>
    </row>
    <row r="705" spans="2:6" x14ac:dyDescent="0.3">
      <c r="B705">
        <v>92</v>
      </c>
      <c r="C705" t="str" cm="1">
        <f t="array" ref="C705">_xlfn.IFS(B705&gt;90,"A1",B705&gt;80,"A2",B705&gt;70,"B1",B705&gt;60,"B2",B705&gt;50,"C1",B705&gt;40,"C2")</f>
        <v>A1</v>
      </c>
      <c r="D705">
        <v>70</v>
      </c>
      <c r="E705" t="str" cm="1">
        <f t="array" ref="E705">_xlfn.IFS(Table1[[#This Row],[Previous Marks]]&gt;90,"A1",Table1[[#This Row],[Previous Marks]]&gt;80,"A2",Table1[[#This Row],[Previous Marks]]&gt;70,"B1",Table1[[#This Row],[Previous Marks]]&gt;60,"B2",Table1[[#This Row],[Previous Marks]]&gt;50,"C1",Table1[[#This Row],[Previous Marks]]&gt;40,"C2")</f>
        <v>B2</v>
      </c>
      <c r="F705">
        <v>90</v>
      </c>
    </row>
    <row r="706" spans="2:6" x14ac:dyDescent="0.3">
      <c r="B706">
        <v>80</v>
      </c>
      <c r="C706" t="str" cm="1">
        <f t="array" ref="C706">_xlfn.IFS(B706&gt;90,"A1",B706&gt;80,"A2",B706&gt;70,"B1",B706&gt;60,"B2",B706&gt;50,"C1",B706&gt;40,"C2")</f>
        <v>B1</v>
      </c>
      <c r="D706">
        <v>78</v>
      </c>
      <c r="E706" t="str" cm="1">
        <f t="array" ref="E706">_xlfn.IFS(Table1[[#This Row],[Previous Marks]]&gt;90,"A1",Table1[[#This Row],[Previous Marks]]&gt;80,"A2",Table1[[#This Row],[Previous Marks]]&gt;70,"B1",Table1[[#This Row],[Previous Marks]]&gt;60,"B2",Table1[[#This Row],[Previous Marks]]&gt;50,"C1",Table1[[#This Row],[Previous Marks]]&gt;40,"C2")</f>
        <v>B1</v>
      </c>
      <c r="F706">
        <v>95</v>
      </c>
    </row>
    <row r="707" spans="2:6" x14ac:dyDescent="0.3">
      <c r="B707">
        <v>78</v>
      </c>
      <c r="C707" t="str" cm="1">
        <f t="array" ref="C707">_xlfn.IFS(B707&gt;90,"A1",B707&gt;80,"A2",B707&gt;70,"B1",B707&gt;60,"B2",B707&gt;50,"C1",B707&gt;40,"C2")</f>
        <v>B1</v>
      </c>
      <c r="D707">
        <v>85</v>
      </c>
      <c r="E707" t="str" cm="1">
        <f t="array" ref="E707">_xlfn.IFS(Table1[[#This Row],[Previous Marks]]&gt;90,"A1",Table1[[#This Row],[Previous Marks]]&gt;80,"A2",Table1[[#This Row],[Previous Marks]]&gt;70,"B1",Table1[[#This Row],[Previous Marks]]&gt;60,"B2",Table1[[#This Row],[Previous Marks]]&gt;50,"C1",Table1[[#This Row],[Previous Marks]]&gt;40,"C2")</f>
        <v>A2</v>
      </c>
      <c r="F707">
        <v>88</v>
      </c>
    </row>
    <row r="708" spans="2:6" x14ac:dyDescent="0.3">
      <c r="B708">
        <v>90</v>
      </c>
      <c r="C708" t="str" cm="1">
        <f t="array" ref="C708">_xlfn.IFS(B708&gt;90,"A1",B708&gt;80,"A2",B708&gt;70,"B1",B708&gt;60,"B2",B708&gt;50,"C1",B708&gt;40,"C2")</f>
        <v>A2</v>
      </c>
      <c r="D708">
        <v>90</v>
      </c>
      <c r="E708" t="str" cm="1">
        <f t="array" ref="E708">_xlfn.IFS(Table1[[#This Row],[Previous Marks]]&gt;90,"A1",Table1[[#This Row],[Previous Marks]]&gt;80,"A2",Table1[[#This Row],[Previous Marks]]&gt;70,"B1",Table1[[#This Row],[Previous Marks]]&gt;60,"B2",Table1[[#This Row],[Previous Marks]]&gt;50,"C1",Table1[[#This Row],[Previous Marks]]&gt;40,"C2")</f>
        <v>A2</v>
      </c>
      <c r="F708">
        <v>92</v>
      </c>
    </row>
    <row r="709" spans="2:6" x14ac:dyDescent="0.3">
      <c r="B709">
        <v>62</v>
      </c>
      <c r="C709" t="str" cm="1">
        <f t="array" ref="C709">_xlfn.IFS(B709&gt;90,"A1",B709&gt;80,"A2",B709&gt;70,"B1",B709&gt;60,"B2",B709&gt;50,"C1",B709&gt;40,"C2")</f>
        <v>B2</v>
      </c>
      <c r="D709">
        <v>77</v>
      </c>
      <c r="E709" t="str" cm="1">
        <f t="array" ref="E709">_xlfn.IFS(Table1[[#This Row],[Previous Marks]]&gt;90,"A1",Table1[[#This Row],[Previous Marks]]&gt;80,"A2",Table1[[#This Row],[Previous Marks]]&gt;70,"B1",Table1[[#This Row],[Previous Marks]]&gt;60,"B2",Table1[[#This Row],[Previous Marks]]&gt;50,"C1",Table1[[#This Row],[Previous Marks]]&gt;40,"C2")</f>
        <v>B1</v>
      </c>
      <c r="F709">
        <v>90</v>
      </c>
    </row>
    <row r="710" spans="2:6" x14ac:dyDescent="0.3">
      <c r="B710">
        <v>80.030208333333334</v>
      </c>
      <c r="C710" t="str" cm="1">
        <f t="array" ref="C710">_xlfn.IFS(B710&gt;90,"A1",B710&gt;80,"A2",B710&gt;70,"B1",B710&gt;60,"B2",B710&gt;50,"C1",B710&gt;40,"C2")</f>
        <v>A2</v>
      </c>
      <c r="D710">
        <v>86</v>
      </c>
      <c r="E710" t="str" cm="1">
        <f t="array" ref="E710">_xlfn.IFS(Table1[[#This Row],[Previous Marks]]&gt;90,"A1",Table1[[#This Row],[Previous Marks]]&gt;80,"A2",Table1[[#This Row],[Previous Marks]]&gt;70,"B1",Table1[[#This Row],[Previous Marks]]&gt;60,"B2",Table1[[#This Row],[Previous Marks]]&gt;50,"C1",Table1[[#This Row],[Previous Marks]]&gt;40,"C2")</f>
        <v>A2</v>
      </c>
      <c r="F710">
        <v>95</v>
      </c>
    </row>
    <row r="711" spans="2:6" x14ac:dyDescent="0.3">
      <c r="B711">
        <v>85</v>
      </c>
      <c r="C711" t="str" cm="1">
        <f t="array" ref="C711">_xlfn.IFS(B711&gt;90,"A1",B711&gt;80,"A2",B711&gt;70,"B1",B711&gt;60,"B2",B711&gt;50,"C1",B711&gt;40,"C2")</f>
        <v>A2</v>
      </c>
      <c r="D711">
        <v>60</v>
      </c>
      <c r="E711" t="str" cm="1">
        <f t="array" ref="E711">_xlfn.IFS(Table1[[#This Row],[Previous Marks]]&gt;90,"A1",Table1[[#This Row],[Previous Marks]]&gt;80,"A2",Table1[[#This Row],[Previous Marks]]&gt;70,"B1",Table1[[#This Row],[Previous Marks]]&gt;60,"B2",Table1[[#This Row],[Previous Marks]]&gt;50,"C1",Table1[[#This Row],[Previous Marks]]&gt;40,"C2")</f>
        <v>C1</v>
      </c>
      <c r="F711">
        <v>78</v>
      </c>
    </row>
    <row r="712" spans="2:6" x14ac:dyDescent="0.3">
      <c r="B712">
        <v>78</v>
      </c>
      <c r="C712" t="str" cm="1">
        <f t="array" ref="C712">_xlfn.IFS(B712&gt;90,"A1",B712&gt;80,"A2",B712&gt;70,"B1",B712&gt;60,"B2",B712&gt;50,"C1",B712&gt;40,"C2")</f>
        <v>B1</v>
      </c>
      <c r="D712">
        <v>86</v>
      </c>
      <c r="E712" t="str" cm="1">
        <f t="array" ref="E712">_xlfn.IFS(Table1[[#This Row],[Previous Marks]]&gt;90,"A1",Table1[[#This Row],[Previous Marks]]&gt;80,"A2",Table1[[#This Row],[Previous Marks]]&gt;70,"B1",Table1[[#This Row],[Previous Marks]]&gt;60,"B2",Table1[[#This Row],[Previous Marks]]&gt;50,"C1",Table1[[#This Row],[Previous Marks]]&gt;40,"C2")</f>
        <v>A2</v>
      </c>
      <c r="F712">
        <v>82</v>
      </c>
    </row>
    <row r="713" spans="2:6" x14ac:dyDescent="0.3">
      <c r="B713">
        <v>62</v>
      </c>
      <c r="C713" t="str" cm="1">
        <f t="array" ref="C713">_xlfn.IFS(B713&gt;90,"A1",B713&gt;80,"A2",B713&gt;70,"B1",B713&gt;60,"B2",B713&gt;50,"C1",B713&gt;40,"C2")</f>
        <v>B2</v>
      </c>
      <c r="D713">
        <v>82</v>
      </c>
      <c r="E713" t="str" cm="1">
        <f t="array" ref="E713">_xlfn.IFS(Table1[[#This Row],[Previous Marks]]&gt;90,"A1",Table1[[#This Row],[Previous Marks]]&gt;80,"A2",Table1[[#This Row],[Previous Marks]]&gt;70,"B1",Table1[[#This Row],[Previous Marks]]&gt;60,"B2",Table1[[#This Row],[Previous Marks]]&gt;50,"C1",Table1[[#This Row],[Previous Marks]]&gt;40,"C2")</f>
        <v>A2</v>
      </c>
      <c r="F713">
        <v>91</v>
      </c>
    </row>
    <row r="714" spans="2:6" x14ac:dyDescent="0.3">
      <c r="B714">
        <v>78</v>
      </c>
      <c r="C714" t="str" cm="1">
        <f t="array" ref="C714">_xlfn.IFS(B714&gt;90,"A1",B714&gt;80,"A2",B714&gt;70,"B1",B714&gt;60,"B2",B714&gt;50,"C1",B714&gt;40,"C2")</f>
        <v>B1</v>
      </c>
      <c r="D714">
        <v>86</v>
      </c>
      <c r="E714" t="str" cm="1">
        <f t="array" ref="E714">_xlfn.IFS(Table1[[#This Row],[Previous Marks]]&gt;90,"A1",Table1[[#This Row],[Previous Marks]]&gt;80,"A2",Table1[[#This Row],[Previous Marks]]&gt;70,"B1",Table1[[#This Row],[Previous Marks]]&gt;60,"B2",Table1[[#This Row],[Previous Marks]]&gt;50,"C1",Table1[[#This Row],[Previous Marks]]&gt;40,"C2")</f>
        <v>A2</v>
      </c>
      <c r="F714">
        <v>85</v>
      </c>
    </row>
    <row r="715" spans="2:6" x14ac:dyDescent="0.3">
      <c r="B715">
        <v>87</v>
      </c>
      <c r="C715" t="str" cm="1">
        <f t="array" ref="C715">_xlfn.IFS(B715&gt;90,"A1",B715&gt;80,"A2",B715&gt;70,"B1",B715&gt;60,"B2",B715&gt;50,"C1",B715&gt;40,"C2")</f>
        <v>A2</v>
      </c>
      <c r="D715">
        <v>86</v>
      </c>
      <c r="E715" t="str" cm="1">
        <f t="array" ref="E715">_xlfn.IFS(Table1[[#This Row],[Previous Marks]]&gt;90,"A1",Table1[[#This Row],[Previous Marks]]&gt;80,"A2",Table1[[#This Row],[Previous Marks]]&gt;70,"B1",Table1[[#This Row],[Previous Marks]]&gt;60,"B2",Table1[[#This Row],[Previous Marks]]&gt;50,"C1",Table1[[#This Row],[Previous Marks]]&gt;40,"C2")</f>
        <v>A2</v>
      </c>
      <c r="F715">
        <v>91</v>
      </c>
    </row>
    <row r="716" spans="2:6" x14ac:dyDescent="0.3">
      <c r="B716">
        <v>92</v>
      </c>
      <c r="C716" t="str" cm="1">
        <f t="array" ref="C716">_xlfn.IFS(B716&gt;90,"A1",B716&gt;80,"A2",B716&gt;70,"B1",B716&gt;60,"B2",B716&gt;50,"C1",B716&gt;40,"C2")</f>
        <v>A1</v>
      </c>
      <c r="D716">
        <v>85</v>
      </c>
      <c r="E716" t="str" cm="1">
        <f t="array" ref="E716">_xlfn.IFS(Table1[[#This Row],[Previous Marks]]&gt;90,"A1",Table1[[#This Row],[Previous Marks]]&gt;80,"A2",Table1[[#This Row],[Previous Marks]]&gt;70,"B1",Table1[[#This Row],[Previous Marks]]&gt;60,"B2",Table1[[#This Row],[Previous Marks]]&gt;50,"C1",Table1[[#This Row],[Previous Marks]]&gt;40,"C2")</f>
        <v>A2</v>
      </c>
      <c r="F716">
        <v>85</v>
      </c>
    </row>
    <row r="717" spans="2:6" x14ac:dyDescent="0.3">
      <c r="B717">
        <v>92</v>
      </c>
      <c r="C717" t="str" cm="1">
        <f t="array" ref="C717">_xlfn.IFS(B717&gt;90,"A1",B717&gt;80,"A2",B717&gt;70,"B1",B717&gt;60,"B2",B717&gt;50,"C1",B717&gt;40,"C2")</f>
        <v>A1</v>
      </c>
      <c r="D717">
        <v>60</v>
      </c>
      <c r="E717" t="str" cm="1">
        <f t="array" ref="E717">_xlfn.IFS(Table1[[#This Row],[Previous Marks]]&gt;90,"A1",Table1[[#This Row],[Previous Marks]]&gt;80,"A2",Table1[[#This Row],[Previous Marks]]&gt;70,"B1",Table1[[#This Row],[Previous Marks]]&gt;60,"B2",Table1[[#This Row],[Previous Marks]]&gt;50,"C1",Table1[[#This Row],[Previous Marks]]&gt;40,"C2")</f>
        <v>C1</v>
      </c>
      <c r="F717">
        <v>70</v>
      </c>
    </row>
    <row r="718" spans="2:6" x14ac:dyDescent="0.3">
      <c r="B718">
        <v>92</v>
      </c>
      <c r="C718" t="str" cm="1">
        <f t="array" ref="C718">_xlfn.IFS(B718&gt;90,"A1",B718&gt;80,"A2",B718&gt;70,"B1",B718&gt;60,"B2",B718&gt;50,"C1",B718&gt;40,"C2")</f>
        <v>A1</v>
      </c>
      <c r="D718">
        <v>78</v>
      </c>
      <c r="E718" t="str" cm="1">
        <f t="array" ref="E718">_xlfn.IFS(Table1[[#This Row],[Previous Marks]]&gt;90,"A1",Table1[[#This Row],[Previous Marks]]&gt;80,"A2",Table1[[#This Row],[Previous Marks]]&gt;70,"B1",Table1[[#This Row],[Previous Marks]]&gt;60,"B2",Table1[[#This Row],[Previous Marks]]&gt;50,"C1",Table1[[#This Row],[Previous Marks]]&gt;40,"C2")</f>
        <v>B1</v>
      </c>
      <c r="F718">
        <v>70</v>
      </c>
    </row>
    <row r="719" spans="2:6" x14ac:dyDescent="0.3">
      <c r="B719">
        <v>62</v>
      </c>
      <c r="C719" t="str" cm="1">
        <f t="array" ref="C719">_xlfn.IFS(B719&gt;90,"A1",B719&gt;80,"A2",B719&gt;70,"B1",B719&gt;60,"B2",B719&gt;50,"C1",B719&gt;40,"C2")</f>
        <v>B2</v>
      </c>
      <c r="D719">
        <v>65</v>
      </c>
      <c r="E719" t="str" cm="1">
        <f t="array" ref="E719">_xlfn.IFS(Table1[[#This Row],[Previous Marks]]&gt;90,"A1",Table1[[#This Row],[Previous Marks]]&gt;80,"A2",Table1[[#This Row],[Previous Marks]]&gt;70,"B1",Table1[[#This Row],[Previous Marks]]&gt;60,"B2",Table1[[#This Row],[Previous Marks]]&gt;50,"C1",Table1[[#This Row],[Previous Marks]]&gt;40,"C2")</f>
        <v>B2</v>
      </c>
      <c r="F719">
        <v>85</v>
      </c>
    </row>
    <row r="720" spans="2:6" x14ac:dyDescent="0.3">
      <c r="B720">
        <v>90</v>
      </c>
      <c r="C720" t="str" cm="1">
        <f t="array" ref="C720">_xlfn.IFS(B720&gt;90,"A1",B720&gt;80,"A2",B720&gt;70,"B1",B720&gt;60,"B2",B720&gt;50,"C1",B720&gt;40,"C2")</f>
        <v>A2</v>
      </c>
      <c r="D720">
        <v>70</v>
      </c>
      <c r="E720" t="str" cm="1">
        <f t="array" ref="E720">_xlfn.IFS(Table1[[#This Row],[Previous Marks]]&gt;90,"A1",Table1[[#This Row],[Previous Marks]]&gt;80,"A2",Table1[[#This Row],[Previous Marks]]&gt;70,"B1",Table1[[#This Row],[Previous Marks]]&gt;60,"B2",Table1[[#This Row],[Previous Marks]]&gt;50,"C1",Table1[[#This Row],[Previous Marks]]&gt;40,"C2")</f>
        <v>B2</v>
      </c>
      <c r="F720">
        <v>90</v>
      </c>
    </row>
    <row r="721" spans="2:6" x14ac:dyDescent="0.3">
      <c r="B721">
        <v>62</v>
      </c>
      <c r="C721" t="str" cm="1">
        <f t="array" ref="C721">_xlfn.IFS(B721&gt;90,"A1",B721&gt;80,"A2",B721&gt;70,"B1",B721&gt;60,"B2",B721&gt;50,"C1",B721&gt;40,"C2")</f>
        <v>B2</v>
      </c>
      <c r="D721">
        <v>86</v>
      </c>
      <c r="E721" t="str" cm="1">
        <f t="array" ref="E721">_xlfn.IFS(Table1[[#This Row],[Previous Marks]]&gt;90,"A1",Table1[[#This Row],[Previous Marks]]&gt;80,"A2",Table1[[#This Row],[Previous Marks]]&gt;70,"B1",Table1[[#This Row],[Previous Marks]]&gt;60,"B2",Table1[[#This Row],[Previous Marks]]&gt;50,"C1",Table1[[#This Row],[Previous Marks]]&gt;40,"C2")</f>
        <v>A2</v>
      </c>
      <c r="F721">
        <v>88</v>
      </c>
    </row>
    <row r="722" spans="2:6" x14ac:dyDescent="0.3">
      <c r="B722">
        <v>68</v>
      </c>
      <c r="C722" t="str" cm="1">
        <f t="array" ref="C722">_xlfn.IFS(B722&gt;90,"A1",B722&gt;80,"A2",B722&gt;70,"B1",B722&gt;60,"B2",B722&gt;50,"C1",B722&gt;40,"C2")</f>
        <v>B2</v>
      </c>
      <c r="D722">
        <v>77</v>
      </c>
      <c r="E722" t="str" cm="1">
        <f t="array" ref="E722">_xlfn.IFS(Table1[[#This Row],[Previous Marks]]&gt;90,"A1",Table1[[#This Row],[Previous Marks]]&gt;80,"A2",Table1[[#This Row],[Previous Marks]]&gt;70,"B1",Table1[[#This Row],[Previous Marks]]&gt;60,"B2",Table1[[#This Row],[Previous Marks]]&gt;50,"C1",Table1[[#This Row],[Previous Marks]]&gt;40,"C2")</f>
        <v>B1</v>
      </c>
      <c r="F722">
        <v>85.510416666666671</v>
      </c>
    </row>
    <row r="723" spans="2:6" x14ac:dyDescent="0.3">
      <c r="B723">
        <v>85</v>
      </c>
      <c r="C723" t="str" cm="1">
        <f t="array" ref="C723">_xlfn.IFS(B723&gt;90,"A1",B723&gt;80,"A2",B723&gt;70,"B1",B723&gt;60,"B2",B723&gt;50,"C1",B723&gt;40,"C2")</f>
        <v>A2</v>
      </c>
      <c r="D723">
        <v>78</v>
      </c>
      <c r="E723" t="str" cm="1">
        <f t="array" ref="E723">_xlfn.IFS(Table1[[#This Row],[Previous Marks]]&gt;90,"A1",Table1[[#This Row],[Previous Marks]]&gt;80,"A2",Table1[[#This Row],[Previous Marks]]&gt;70,"B1",Table1[[#This Row],[Previous Marks]]&gt;60,"B2",Table1[[#This Row],[Previous Marks]]&gt;50,"C1",Table1[[#This Row],[Previous Marks]]&gt;40,"C2")</f>
        <v>B1</v>
      </c>
      <c r="F723">
        <v>90</v>
      </c>
    </row>
    <row r="724" spans="2:6" x14ac:dyDescent="0.3">
      <c r="B724">
        <v>78</v>
      </c>
      <c r="C724" t="str" cm="1">
        <f t="array" ref="C724">_xlfn.IFS(B724&gt;90,"A1",B724&gt;80,"A2",B724&gt;70,"B1",B724&gt;60,"B2",B724&gt;50,"C1",B724&gt;40,"C2")</f>
        <v>B1</v>
      </c>
      <c r="D724">
        <v>60</v>
      </c>
      <c r="E724" t="str" cm="1">
        <f t="array" ref="E724">_xlfn.IFS(Table1[[#This Row],[Previous Marks]]&gt;90,"A1",Table1[[#This Row],[Previous Marks]]&gt;80,"A2",Table1[[#This Row],[Previous Marks]]&gt;70,"B1",Table1[[#This Row],[Previous Marks]]&gt;60,"B2",Table1[[#This Row],[Previous Marks]]&gt;50,"C1",Table1[[#This Row],[Previous Marks]]&gt;40,"C2")</f>
        <v>C1</v>
      </c>
      <c r="F724">
        <v>82</v>
      </c>
    </row>
    <row r="725" spans="2:6" x14ac:dyDescent="0.3">
      <c r="B725">
        <v>78</v>
      </c>
      <c r="C725" t="str" cm="1">
        <f t="array" ref="C725">_xlfn.IFS(B725&gt;90,"A1",B725&gt;80,"A2",B725&gt;70,"B1",B725&gt;60,"B2",B725&gt;50,"C1",B725&gt;40,"C2")</f>
        <v>B1</v>
      </c>
      <c r="D725">
        <v>90</v>
      </c>
      <c r="E725" t="str" cm="1">
        <f t="array" ref="E725">_xlfn.IFS(Table1[[#This Row],[Previous Marks]]&gt;90,"A1",Table1[[#This Row],[Previous Marks]]&gt;80,"A2",Table1[[#This Row],[Previous Marks]]&gt;70,"B1",Table1[[#This Row],[Previous Marks]]&gt;60,"B2",Table1[[#This Row],[Previous Marks]]&gt;50,"C1",Table1[[#This Row],[Previous Marks]]&gt;40,"C2")</f>
        <v>A2</v>
      </c>
      <c r="F725">
        <v>78</v>
      </c>
    </row>
    <row r="726" spans="2:6" x14ac:dyDescent="0.3">
      <c r="B726">
        <v>72</v>
      </c>
      <c r="C726" t="str" cm="1">
        <f t="array" ref="C726">_xlfn.IFS(B726&gt;90,"A1",B726&gt;80,"A2",B726&gt;70,"B1",B726&gt;60,"B2",B726&gt;50,"C1",B726&gt;40,"C2")</f>
        <v>B1</v>
      </c>
      <c r="D726">
        <v>77.598759048603924</v>
      </c>
      <c r="E726" t="str" cm="1">
        <f t="array" ref="E726">_xlfn.IFS(Table1[[#This Row],[Previous Marks]]&gt;90,"A1",Table1[[#This Row],[Previous Marks]]&gt;80,"A2",Table1[[#This Row],[Previous Marks]]&gt;70,"B1",Table1[[#This Row],[Previous Marks]]&gt;60,"B2",Table1[[#This Row],[Previous Marks]]&gt;50,"C1",Table1[[#This Row],[Previous Marks]]&gt;40,"C2")</f>
        <v>B1</v>
      </c>
      <c r="F726">
        <v>85</v>
      </c>
    </row>
    <row r="727" spans="2:6" x14ac:dyDescent="0.3">
      <c r="B727">
        <v>68</v>
      </c>
      <c r="C727" t="str" cm="1">
        <f t="array" ref="C727">_xlfn.IFS(B727&gt;90,"A1",B727&gt;80,"A2",B727&gt;70,"B1",B727&gt;60,"B2",B727&gt;50,"C1",B727&gt;40,"C2")</f>
        <v>B2</v>
      </c>
      <c r="D727">
        <v>90</v>
      </c>
      <c r="E727" t="str" cm="1">
        <f t="array" ref="E727">_xlfn.IFS(Table1[[#This Row],[Previous Marks]]&gt;90,"A1",Table1[[#This Row],[Previous Marks]]&gt;80,"A2",Table1[[#This Row],[Previous Marks]]&gt;70,"B1",Table1[[#This Row],[Previous Marks]]&gt;60,"B2",Table1[[#This Row],[Previous Marks]]&gt;50,"C1",Table1[[#This Row],[Previous Marks]]&gt;40,"C2")</f>
        <v>A2</v>
      </c>
      <c r="F727">
        <v>95</v>
      </c>
    </row>
    <row r="728" spans="2:6" x14ac:dyDescent="0.3">
      <c r="B728">
        <v>87</v>
      </c>
      <c r="C728" t="str" cm="1">
        <f t="array" ref="C728">_xlfn.IFS(B728&gt;90,"A1",B728&gt;80,"A2",B728&gt;70,"B1",B728&gt;60,"B2",B728&gt;50,"C1",B728&gt;40,"C2")</f>
        <v>A2</v>
      </c>
      <c r="D728">
        <v>90</v>
      </c>
      <c r="E728" t="str" cm="1">
        <f t="array" ref="E728">_xlfn.IFS(Table1[[#This Row],[Previous Marks]]&gt;90,"A1",Table1[[#This Row],[Previous Marks]]&gt;80,"A2",Table1[[#This Row],[Previous Marks]]&gt;70,"B1",Table1[[#This Row],[Previous Marks]]&gt;60,"B2",Table1[[#This Row],[Previous Marks]]&gt;50,"C1",Table1[[#This Row],[Previous Marks]]&gt;40,"C2")</f>
        <v>A2</v>
      </c>
      <c r="F728">
        <v>70</v>
      </c>
    </row>
    <row r="729" spans="2:6" x14ac:dyDescent="0.3">
      <c r="B729">
        <v>80</v>
      </c>
      <c r="C729" t="str" cm="1">
        <f t="array" ref="C729">_xlfn.IFS(B729&gt;90,"A1",B729&gt;80,"A2",B729&gt;70,"B1",B729&gt;60,"B2",B729&gt;50,"C1",B729&gt;40,"C2")</f>
        <v>B1</v>
      </c>
      <c r="D729">
        <v>85</v>
      </c>
      <c r="E729" t="str" cm="1">
        <f t="array" ref="E729">_xlfn.IFS(Table1[[#This Row],[Previous Marks]]&gt;90,"A1",Table1[[#This Row],[Previous Marks]]&gt;80,"A2",Table1[[#This Row],[Previous Marks]]&gt;70,"B1",Table1[[#This Row],[Previous Marks]]&gt;60,"B2",Table1[[#This Row],[Previous Marks]]&gt;50,"C1",Table1[[#This Row],[Previous Marks]]&gt;40,"C2")</f>
        <v>A2</v>
      </c>
      <c r="F729">
        <v>95</v>
      </c>
    </row>
    <row r="730" spans="2:6" x14ac:dyDescent="0.3">
      <c r="B730">
        <v>88</v>
      </c>
      <c r="C730" t="str" cm="1">
        <f t="array" ref="C730">_xlfn.IFS(B730&gt;90,"A1",B730&gt;80,"A2",B730&gt;70,"B1",B730&gt;60,"B2",B730&gt;50,"C1",B730&gt;40,"C2")</f>
        <v>A2</v>
      </c>
      <c r="D730">
        <v>88</v>
      </c>
      <c r="E730" t="str" cm="1">
        <f t="array" ref="E730">_xlfn.IFS(Table1[[#This Row],[Previous Marks]]&gt;90,"A1",Table1[[#This Row],[Previous Marks]]&gt;80,"A2",Table1[[#This Row],[Previous Marks]]&gt;70,"B1",Table1[[#This Row],[Previous Marks]]&gt;60,"B2",Table1[[#This Row],[Previous Marks]]&gt;50,"C1",Table1[[#This Row],[Previous Marks]]&gt;40,"C2")</f>
        <v>A2</v>
      </c>
      <c r="F730">
        <v>91</v>
      </c>
    </row>
    <row r="731" spans="2:6" x14ac:dyDescent="0.3">
      <c r="B731">
        <v>88</v>
      </c>
      <c r="C731" t="str" cm="1">
        <f t="array" ref="C731">_xlfn.IFS(B731&gt;90,"A1",B731&gt;80,"A2",B731&gt;70,"B1",B731&gt;60,"B2",B731&gt;50,"C1",B731&gt;40,"C2")</f>
        <v>A2</v>
      </c>
      <c r="D731">
        <v>78</v>
      </c>
      <c r="E731" t="str" cm="1">
        <f t="array" ref="E731">_xlfn.IFS(Table1[[#This Row],[Previous Marks]]&gt;90,"A1",Table1[[#This Row],[Previous Marks]]&gt;80,"A2",Table1[[#This Row],[Previous Marks]]&gt;70,"B1",Table1[[#This Row],[Previous Marks]]&gt;60,"B2",Table1[[#This Row],[Previous Marks]]&gt;50,"C1",Table1[[#This Row],[Previous Marks]]&gt;40,"C2")</f>
        <v>B1</v>
      </c>
      <c r="F731">
        <v>88</v>
      </c>
    </row>
    <row r="732" spans="2:6" x14ac:dyDescent="0.3">
      <c r="B732">
        <v>62</v>
      </c>
      <c r="C732" t="str" cm="1">
        <f t="array" ref="C732">_xlfn.IFS(B732&gt;90,"A1",B732&gt;80,"A2",B732&gt;70,"B1",B732&gt;60,"B2",B732&gt;50,"C1",B732&gt;40,"C2")</f>
        <v>B2</v>
      </c>
      <c r="D732">
        <v>78</v>
      </c>
      <c r="E732" t="str" cm="1">
        <f t="array" ref="E732">_xlfn.IFS(Table1[[#This Row],[Previous Marks]]&gt;90,"A1",Table1[[#This Row],[Previous Marks]]&gt;80,"A2",Table1[[#This Row],[Previous Marks]]&gt;70,"B1",Table1[[#This Row],[Previous Marks]]&gt;60,"B2",Table1[[#This Row],[Previous Marks]]&gt;50,"C1",Table1[[#This Row],[Previous Marks]]&gt;40,"C2")</f>
        <v>B1</v>
      </c>
      <c r="F732">
        <v>70</v>
      </c>
    </row>
    <row r="733" spans="2:6" x14ac:dyDescent="0.3">
      <c r="B733">
        <v>90</v>
      </c>
      <c r="C733" t="str" cm="1">
        <f t="array" ref="C733">_xlfn.IFS(B733&gt;90,"A1",B733&gt;80,"A2",B733&gt;70,"B1",B733&gt;60,"B2",B733&gt;50,"C1",B733&gt;40,"C2")</f>
        <v>A2</v>
      </c>
      <c r="D733">
        <v>82</v>
      </c>
      <c r="E733" t="str" cm="1">
        <f t="array" ref="E733">_xlfn.IFS(Table1[[#This Row],[Previous Marks]]&gt;90,"A1",Table1[[#This Row],[Previous Marks]]&gt;80,"A2",Table1[[#This Row],[Previous Marks]]&gt;70,"B1",Table1[[#This Row],[Previous Marks]]&gt;60,"B2",Table1[[#This Row],[Previous Marks]]&gt;50,"C1",Table1[[#This Row],[Previous Marks]]&gt;40,"C2")</f>
        <v>A2</v>
      </c>
      <c r="F733">
        <v>85</v>
      </c>
    </row>
    <row r="734" spans="2:6" x14ac:dyDescent="0.3">
      <c r="B734">
        <v>62</v>
      </c>
      <c r="C734" t="str" cm="1">
        <f t="array" ref="C734">_xlfn.IFS(B734&gt;90,"A1",B734&gt;80,"A2",B734&gt;70,"B1",B734&gt;60,"B2",B734&gt;50,"C1",B734&gt;40,"C2")</f>
        <v>B2</v>
      </c>
      <c r="D734">
        <v>82</v>
      </c>
      <c r="E734" t="str" cm="1">
        <f t="array" ref="E734">_xlfn.IFS(Table1[[#This Row],[Previous Marks]]&gt;90,"A1",Table1[[#This Row],[Previous Marks]]&gt;80,"A2",Table1[[#This Row],[Previous Marks]]&gt;70,"B1",Table1[[#This Row],[Previous Marks]]&gt;60,"B2",Table1[[#This Row],[Previous Marks]]&gt;50,"C1",Table1[[#This Row],[Previous Marks]]&gt;40,"C2")</f>
        <v>A2</v>
      </c>
      <c r="F734">
        <v>70</v>
      </c>
    </row>
    <row r="735" spans="2:6" x14ac:dyDescent="0.3">
      <c r="B735">
        <v>78</v>
      </c>
      <c r="C735" t="str" cm="1">
        <f t="array" ref="C735">_xlfn.IFS(B735&gt;90,"A1",B735&gt;80,"A2",B735&gt;70,"B1",B735&gt;60,"B2",B735&gt;50,"C1",B735&gt;40,"C2")</f>
        <v>B1</v>
      </c>
      <c r="D735">
        <v>78</v>
      </c>
      <c r="E735" t="str" cm="1">
        <f t="array" ref="E735">_xlfn.IFS(Table1[[#This Row],[Previous Marks]]&gt;90,"A1",Table1[[#This Row],[Previous Marks]]&gt;80,"A2",Table1[[#This Row],[Previous Marks]]&gt;70,"B1",Table1[[#This Row],[Previous Marks]]&gt;60,"B2",Table1[[#This Row],[Previous Marks]]&gt;50,"C1",Table1[[#This Row],[Previous Marks]]&gt;40,"C2")</f>
        <v>B1</v>
      </c>
      <c r="F735">
        <v>70</v>
      </c>
    </row>
    <row r="736" spans="2:6" x14ac:dyDescent="0.3">
      <c r="B736">
        <v>85</v>
      </c>
      <c r="C736" t="str" cm="1">
        <f t="array" ref="C736">_xlfn.IFS(B736&gt;90,"A1",B736&gt;80,"A2",B736&gt;70,"B1",B736&gt;60,"B2",B736&gt;50,"C1",B736&gt;40,"C2")</f>
        <v>A2</v>
      </c>
      <c r="D736">
        <v>60</v>
      </c>
      <c r="E736" t="str" cm="1">
        <f t="array" ref="E736">_xlfn.IFS(Table1[[#This Row],[Previous Marks]]&gt;90,"A1",Table1[[#This Row],[Previous Marks]]&gt;80,"A2",Table1[[#This Row],[Previous Marks]]&gt;70,"B1",Table1[[#This Row],[Previous Marks]]&gt;60,"B2",Table1[[#This Row],[Previous Marks]]&gt;50,"C1",Table1[[#This Row],[Previous Marks]]&gt;40,"C2")</f>
        <v>C1</v>
      </c>
      <c r="F736">
        <v>88</v>
      </c>
    </row>
    <row r="737" spans="2:6" x14ac:dyDescent="0.3">
      <c r="B737">
        <v>80</v>
      </c>
      <c r="C737" t="str" cm="1">
        <f t="array" ref="C737">_xlfn.IFS(B737&gt;90,"A1",B737&gt;80,"A2",B737&gt;70,"B1",B737&gt;60,"B2",B737&gt;50,"C1",B737&gt;40,"C2")</f>
        <v>B1</v>
      </c>
      <c r="D737">
        <v>78</v>
      </c>
      <c r="E737" t="str" cm="1">
        <f t="array" ref="E737">_xlfn.IFS(Table1[[#This Row],[Previous Marks]]&gt;90,"A1",Table1[[#This Row],[Previous Marks]]&gt;80,"A2",Table1[[#This Row],[Previous Marks]]&gt;70,"B1",Table1[[#This Row],[Previous Marks]]&gt;60,"B2",Table1[[#This Row],[Previous Marks]]&gt;50,"C1",Table1[[#This Row],[Previous Marks]]&gt;40,"C2")</f>
        <v>B1</v>
      </c>
      <c r="F737">
        <v>88</v>
      </c>
    </row>
    <row r="738" spans="2:6" x14ac:dyDescent="0.3">
      <c r="B738">
        <v>88</v>
      </c>
      <c r="C738" t="str" cm="1">
        <f t="array" ref="C738">_xlfn.IFS(B738&gt;90,"A1",B738&gt;80,"A2",B738&gt;70,"B1",B738&gt;60,"B2",B738&gt;50,"C1",B738&gt;40,"C2")</f>
        <v>A2</v>
      </c>
      <c r="D738">
        <v>82</v>
      </c>
      <c r="E738" t="str" cm="1">
        <f t="array" ref="E738">_xlfn.IFS(Table1[[#This Row],[Previous Marks]]&gt;90,"A1",Table1[[#This Row],[Previous Marks]]&gt;80,"A2",Table1[[#This Row],[Previous Marks]]&gt;70,"B1",Table1[[#This Row],[Previous Marks]]&gt;60,"B2",Table1[[#This Row],[Previous Marks]]&gt;50,"C1",Table1[[#This Row],[Previous Marks]]&gt;40,"C2")</f>
        <v>A2</v>
      </c>
      <c r="F738">
        <v>85</v>
      </c>
    </row>
    <row r="739" spans="2:6" x14ac:dyDescent="0.3">
      <c r="B739">
        <v>62</v>
      </c>
      <c r="C739" t="str" cm="1">
        <f t="array" ref="C739">_xlfn.IFS(B739&gt;90,"A1",B739&gt;80,"A2",B739&gt;70,"B1",B739&gt;60,"B2",B739&gt;50,"C1",B739&gt;40,"C2")</f>
        <v>B2</v>
      </c>
      <c r="D739">
        <v>60</v>
      </c>
      <c r="E739" t="str" cm="1">
        <f t="array" ref="E739">_xlfn.IFS(Table1[[#This Row],[Previous Marks]]&gt;90,"A1",Table1[[#This Row],[Previous Marks]]&gt;80,"A2",Table1[[#This Row],[Previous Marks]]&gt;70,"B1",Table1[[#This Row],[Previous Marks]]&gt;60,"B2",Table1[[#This Row],[Previous Marks]]&gt;50,"C1",Table1[[#This Row],[Previous Marks]]&gt;40,"C2")</f>
        <v>C1</v>
      </c>
      <c r="F739">
        <v>78</v>
      </c>
    </row>
    <row r="740" spans="2:6" x14ac:dyDescent="0.3">
      <c r="B740">
        <v>68</v>
      </c>
      <c r="C740" t="str" cm="1">
        <f t="array" ref="C740">_xlfn.IFS(B740&gt;90,"A1",B740&gt;80,"A2",B740&gt;70,"B1",B740&gt;60,"B2",B740&gt;50,"C1",B740&gt;40,"C2")</f>
        <v>B2</v>
      </c>
      <c r="D740">
        <v>88</v>
      </c>
      <c r="E740" t="str" cm="1">
        <f t="array" ref="E740">_xlfn.IFS(Table1[[#This Row],[Previous Marks]]&gt;90,"A1",Table1[[#This Row],[Previous Marks]]&gt;80,"A2",Table1[[#This Row],[Previous Marks]]&gt;70,"B1",Table1[[#This Row],[Previous Marks]]&gt;60,"B2",Table1[[#This Row],[Previous Marks]]&gt;50,"C1",Table1[[#This Row],[Previous Marks]]&gt;40,"C2")</f>
        <v>A2</v>
      </c>
      <c r="F740">
        <v>91</v>
      </c>
    </row>
    <row r="741" spans="2:6" x14ac:dyDescent="0.3">
      <c r="B741">
        <v>80</v>
      </c>
      <c r="C741" t="str" cm="1">
        <f t="array" ref="C741">_xlfn.IFS(B741&gt;90,"A1",B741&gt;80,"A2",B741&gt;70,"B1",B741&gt;60,"B2",B741&gt;50,"C1",B741&gt;40,"C2")</f>
        <v>B1</v>
      </c>
      <c r="D741">
        <v>78</v>
      </c>
      <c r="E741" t="str" cm="1">
        <f t="array" ref="E741">_xlfn.IFS(Table1[[#This Row],[Previous Marks]]&gt;90,"A1",Table1[[#This Row],[Previous Marks]]&gt;80,"A2",Table1[[#This Row],[Previous Marks]]&gt;70,"B1",Table1[[#This Row],[Previous Marks]]&gt;60,"B2",Table1[[#This Row],[Previous Marks]]&gt;50,"C1",Table1[[#This Row],[Previous Marks]]&gt;40,"C2")</f>
        <v>B1</v>
      </c>
      <c r="F741">
        <v>82</v>
      </c>
    </row>
    <row r="742" spans="2:6" x14ac:dyDescent="0.3">
      <c r="B742">
        <v>62</v>
      </c>
      <c r="C742" t="str" cm="1">
        <f t="array" ref="C742">_xlfn.IFS(B742&gt;90,"A1",B742&gt;80,"A2",B742&gt;70,"B1",B742&gt;60,"B2",B742&gt;50,"C1",B742&gt;40,"C2")</f>
        <v>B2</v>
      </c>
      <c r="D742">
        <v>86</v>
      </c>
      <c r="E742" t="str" cm="1">
        <f t="array" ref="E742">_xlfn.IFS(Table1[[#This Row],[Previous Marks]]&gt;90,"A1",Table1[[#This Row],[Previous Marks]]&gt;80,"A2",Table1[[#This Row],[Previous Marks]]&gt;70,"B1",Table1[[#This Row],[Previous Marks]]&gt;60,"B2",Table1[[#This Row],[Previous Marks]]&gt;50,"C1",Table1[[#This Row],[Previous Marks]]&gt;40,"C2")</f>
        <v>A2</v>
      </c>
      <c r="F742">
        <v>88</v>
      </c>
    </row>
    <row r="743" spans="2:6" x14ac:dyDescent="0.3">
      <c r="B743">
        <v>92</v>
      </c>
      <c r="C743" t="str" cm="1">
        <f t="array" ref="C743">_xlfn.IFS(B743&gt;90,"A1",B743&gt;80,"A2",B743&gt;70,"B1",B743&gt;60,"B2",B743&gt;50,"C1",B743&gt;40,"C2")</f>
        <v>A1</v>
      </c>
      <c r="D743">
        <v>78</v>
      </c>
      <c r="E743" t="str" cm="1">
        <f t="array" ref="E743">_xlfn.IFS(Table1[[#This Row],[Previous Marks]]&gt;90,"A1",Table1[[#This Row],[Previous Marks]]&gt;80,"A2",Table1[[#This Row],[Previous Marks]]&gt;70,"B1",Table1[[#This Row],[Previous Marks]]&gt;60,"B2",Table1[[#This Row],[Previous Marks]]&gt;50,"C1",Table1[[#This Row],[Previous Marks]]&gt;40,"C2")</f>
        <v>B1</v>
      </c>
      <c r="F743">
        <v>92</v>
      </c>
    </row>
    <row r="744" spans="2:6" x14ac:dyDescent="0.3">
      <c r="B744">
        <v>62</v>
      </c>
      <c r="C744" t="str" cm="1">
        <f t="array" ref="C744">_xlfn.IFS(B744&gt;90,"A1",B744&gt;80,"A2",B744&gt;70,"B1",B744&gt;60,"B2",B744&gt;50,"C1",B744&gt;40,"C2")</f>
        <v>B2</v>
      </c>
      <c r="D744">
        <v>77</v>
      </c>
      <c r="E744" t="str" cm="1">
        <f t="array" ref="E744">_xlfn.IFS(Table1[[#This Row],[Previous Marks]]&gt;90,"A1",Table1[[#This Row],[Previous Marks]]&gt;80,"A2",Table1[[#This Row],[Previous Marks]]&gt;70,"B1",Table1[[#This Row],[Previous Marks]]&gt;60,"B2",Table1[[#This Row],[Previous Marks]]&gt;50,"C1",Table1[[#This Row],[Previous Marks]]&gt;40,"C2")</f>
        <v>B1</v>
      </c>
      <c r="F744">
        <v>90</v>
      </c>
    </row>
    <row r="745" spans="2:6" x14ac:dyDescent="0.3">
      <c r="B745">
        <v>92</v>
      </c>
      <c r="C745" t="str" cm="1">
        <f t="array" ref="C745">_xlfn.IFS(B745&gt;90,"A1",B745&gt;80,"A2",B745&gt;70,"B1",B745&gt;60,"B2",B745&gt;50,"C1",B745&gt;40,"C2")</f>
        <v>A1</v>
      </c>
      <c r="D745">
        <v>77</v>
      </c>
      <c r="E745" t="str" cm="1">
        <f t="array" ref="E745">_xlfn.IFS(Table1[[#This Row],[Previous Marks]]&gt;90,"A1",Table1[[#This Row],[Previous Marks]]&gt;80,"A2",Table1[[#This Row],[Previous Marks]]&gt;70,"B1",Table1[[#This Row],[Previous Marks]]&gt;60,"B2",Table1[[#This Row],[Previous Marks]]&gt;50,"C1",Table1[[#This Row],[Previous Marks]]&gt;40,"C2")</f>
        <v>B1</v>
      </c>
      <c r="F745">
        <v>85</v>
      </c>
    </row>
    <row r="746" spans="2:6" x14ac:dyDescent="0.3">
      <c r="B746">
        <v>88</v>
      </c>
      <c r="C746" t="str" cm="1">
        <f t="array" ref="C746">_xlfn.IFS(B746&gt;90,"A1",B746&gt;80,"A2",B746&gt;70,"B1",B746&gt;60,"B2",B746&gt;50,"C1",B746&gt;40,"C2")</f>
        <v>A2</v>
      </c>
      <c r="D746">
        <v>60</v>
      </c>
      <c r="E746" t="str" cm="1">
        <f t="array" ref="E746">_xlfn.IFS(Table1[[#This Row],[Previous Marks]]&gt;90,"A1",Table1[[#This Row],[Previous Marks]]&gt;80,"A2",Table1[[#This Row],[Previous Marks]]&gt;70,"B1",Table1[[#This Row],[Previous Marks]]&gt;60,"B2",Table1[[#This Row],[Previous Marks]]&gt;50,"C1",Table1[[#This Row],[Previous Marks]]&gt;40,"C2")</f>
        <v>C1</v>
      </c>
      <c r="F746">
        <v>90</v>
      </c>
    </row>
    <row r="747" spans="2:6" x14ac:dyDescent="0.3">
      <c r="B747">
        <v>80.030208333333334</v>
      </c>
      <c r="C747" t="str" cm="1">
        <f t="array" ref="C747">_xlfn.IFS(B747&gt;90,"A1",B747&gt;80,"A2",B747&gt;70,"B1",B747&gt;60,"B2",B747&gt;50,"C1",B747&gt;40,"C2")</f>
        <v>A2</v>
      </c>
      <c r="D747">
        <v>70</v>
      </c>
      <c r="E747" t="str" cm="1">
        <f t="array" ref="E747">_xlfn.IFS(Table1[[#This Row],[Previous Marks]]&gt;90,"A1",Table1[[#This Row],[Previous Marks]]&gt;80,"A2",Table1[[#This Row],[Previous Marks]]&gt;70,"B1",Table1[[#This Row],[Previous Marks]]&gt;60,"B2",Table1[[#This Row],[Previous Marks]]&gt;50,"C1",Table1[[#This Row],[Previous Marks]]&gt;40,"C2")</f>
        <v>B2</v>
      </c>
      <c r="F747">
        <v>70</v>
      </c>
    </row>
    <row r="748" spans="2:6" x14ac:dyDescent="0.3">
      <c r="B748">
        <v>85</v>
      </c>
      <c r="C748" t="str" cm="1">
        <f t="array" ref="C748">_xlfn.IFS(B748&gt;90,"A1",B748&gt;80,"A2",B748&gt;70,"B1",B748&gt;60,"B2",B748&gt;50,"C1",B748&gt;40,"C2")</f>
        <v>A2</v>
      </c>
      <c r="D748">
        <v>88</v>
      </c>
      <c r="E748" t="str" cm="1">
        <f t="array" ref="E748">_xlfn.IFS(Table1[[#This Row],[Previous Marks]]&gt;90,"A1",Table1[[#This Row],[Previous Marks]]&gt;80,"A2",Table1[[#This Row],[Previous Marks]]&gt;70,"B1",Table1[[#This Row],[Previous Marks]]&gt;60,"B2",Table1[[#This Row],[Previous Marks]]&gt;50,"C1",Table1[[#This Row],[Previous Marks]]&gt;40,"C2")</f>
        <v>A2</v>
      </c>
      <c r="F748">
        <v>70</v>
      </c>
    </row>
    <row r="749" spans="2:6" x14ac:dyDescent="0.3">
      <c r="B749">
        <v>68</v>
      </c>
      <c r="C749" t="str" cm="1">
        <f t="array" ref="C749">_xlfn.IFS(B749&gt;90,"A1",B749&gt;80,"A2",B749&gt;70,"B1",B749&gt;60,"B2",B749&gt;50,"C1",B749&gt;40,"C2")</f>
        <v>B2</v>
      </c>
      <c r="D749">
        <v>77</v>
      </c>
      <c r="E749" t="str" cm="1">
        <f t="array" ref="E749">_xlfn.IFS(Table1[[#This Row],[Previous Marks]]&gt;90,"A1",Table1[[#This Row],[Previous Marks]]&gt;80,"A2",Table1[[#This Row],[Previous Marks]]&gt;70,"B1",Table1[[#This Row],[Previous Marks]]&gt;60,"B2",Table1[[#This Row],[Previous Marks]]&gt;50,"C1",Table1[[#This Row],[Previous Marks]]&gt;40,"C2")</f>
        <v>B1</v>
      </c>
      <c r="F749">
        <v>91</v>
      </c>
    </row>
    <row r="750" spans="2:6" x14ac:dyDescent="0.3">
      <c r="B750">
        <v>90</v>
      </c>
      <c r="C750" t="str" cm="1">
        <f t="array" ref="C750">_xlfn.IFS(B750&gt;90,"A1",B750&gt;80,"A2",B750&gt;70,"B1",B750&gt;60,"B2",B750&gt;50,"C1",B750&gt;40,"C2")</f>
        <v>A2</v>
      </c>
      <c r="D750">
        <v>90</v>
      </c>
      <c r="E750" t="str" cm="1">
        <f t="array" ref="E750">_xlfn.IFS(Table1[[#This Row],[Previous Marks]]&gt;90,"A1",Table1[[#This Row],[Previous Marks]]&gt;80,"A2",Table1[[#This Row],[Previous Marks]]&gt;70,"B1",Table1[[#This Row],[Previous Marks]]&gt;60,"B2",Table1[[#This Row],[Previous Marks]]&gt;50,"C1",Table1[[#This Row],[Previous Marks]]&gt;40,"C2")</f>
        <v>A2</v>
      </c>
      <c r="F750">
        <v>92</v>
      </c>
    </row>
    <row r="751" spans="2:6" x14ac:dyDescent="0.3">
      <c r="B751">
        <v>88</v>
      </c>
      <c r="C751" t="str" cm="1">
        <f t="array" ref="C751">_xlfn.IFS(B751&gt;90,"A1",B751&gt;80,"A2",B751&gt;70,"B1",B751&gt;60,"B2",B751&gt;50,"C1",B751&gt;40,"C2")</f>
        <v>A2</v>
      </c>
      <c r="D751">
        <v>88</v>
      </c>
      <c r="E751" t="str" cm="1">
        <f t="array" ref="E751">_xlfn.IFS(Table1[[#This Row],[Previous Marks]]&gt;90,"A1",Table1[[#This Row],[Previous Marks]]&gt;80,"A2",Table1[[#This Row],[Previous Marks]]&gt;70,"B1",Table1[[#This Row],[Previous Marks]]&gt;60,"B2",Table1[[#This Row],[Previous Marks]]&gt;50,"C1",Table1[[#This Row],[Previous Marks]]&gt;40,"C2")</f>
        <v>A2</v>
      </c>
      <c r="F751">
        <v>70</v>
      </c>
    </row>
    <row r="752" spans="2:6" x14ac:dyDescent="0.3">
      <c r="B752">
        <v>87</v>
      </c>
      <c r="C752" t="str" cm="1">
        <f t="array" ref="C752">_xlfn.IFS(B752&gt;90,"A1",B752&gt;80,"A2",B752&gt;70,"B1",B752&gt;60,"B2",B752&gt;50,"C1",B752&gt;40,"C2")</f>
        <v>A2</v>
      </c>
      <c r="D752">
        <v>65</v>
      </c>
      <c r="E752" t="str" cm="1">
        <f t="array" ref="E752">_xlfn.IFS(Table1[[#This Row],[Previous Marks]]&gt;90,"A1",Table1[[#This Row],[Previous Marks]]&gt;80,"A2",Table1[[#This Row],[Previous Marks]]&gt;70,"B1",Table1[[#This Row],[Previous Marks]]&gt;60,"B2",Table1[[#This Row],[Previous Marks]]&gt;50,"C1",Table1[[#This Row],[Previous Marks]]&gt;40,"C2")</f>
        <v>B2</v>
      </c>
      <c r="F752">
        <v>78</v>
      </c>
    </row>
    <row r="753" spans="2:6" x14ac:dyDescent="0.3">
      <c r="B753">
        <v>90</v>
      </c>
      <c r="C753" t="str" cm="1">
        <f t="array" ref="C753">_xlfn.IFS(B753&gt;90,"A1",B753&gt;80,"A2",B753&gt;70,"B1",B753&gt;60,"B2",B753&gt;50,"C1",B753&gt;40,"C2")</f>
        <v>A2</v>
      </c>
      <c r="D753">
        <v>77.598759048603924</v>
      </c>
      <c r="E753" t="str" cm="1">
        <f t="array" ref="E753">_xlfn.IFS(Table1[[#This Row],[Previous Marks]]&gt;90,"A1",Table1[[#This Row],[Previous Marks]]&gt;80,"A2",Table1[[#This Row],[Previous Marks]]&gt;70,"B1",Table1[[#This Row],[Previous Marks]]&gt;60,"B2",Table1[[#This Row],[Previous Marks]]&gt;50,"C1",Table1[[#This Row],[Previous Marks]]&gt;40,"C2")</f>
        <v>B1</v>
      </c>
      <c r="F753">
        <v>82</v>
      </c>
    </row>
    <row r="754" spans="2:6" x14ac:dyDescent="0.3">
      <c r="B754">
        <v>72</v>
      </c>
      <c r="C754" t="str" cm="1">
        <f t="array" ref="C754">_xlfn.IFS(B754&gt;90,"A1",B754&gt;80,"A2",B754&gt;70,"B1",B754&gt;60,"B2",B754&gt;50,"C1",B754&gt;40,"C2")</f>
        <v>B1</v>
      </c>
      <c r="D754">
        <v>86</v>
      </c>
      <c r="E754" t="str" cm="1">
        <f t="array" ref="E754">_xlfn.IFS(Table1[[#This Row],[Previous Marks]]&gt;90,"A1",Table1[[#This Row],[Previous Marks]]&gt;80,"A2",Table1[[#This Row],[Previous Marks]]&gt;70,"B1",Table1[[#This Row],[Previous Marks]]&gt;60,"B2",Table1[[#This Row],[Previous Marks]]&gt;50,"C1",Table1[[#This Row],[Previous Marks]]&gt;40,"C2")</f>
        <v>A2</v>
      </c>
      <c r="F754">
        <v>70</v>
      </c>
    </row>
    <row r="755" spans="2:6" x14ac:dyDescent="0.3">
      <c r="B755">
        <v>87</v>
      </c>
      <c r="C755" t="str" cm="1">
        <f t="array" ref="C755">_xlfn.IFS(B755&gt;90,"A1",B755&gt;80,"A2",B755&gt;70,"B1",B755&gt;60,"B2",B755&gt;50,"C1",B755&gt;40,"C2")</f>
        <v>A2</v>
      </c>
      <c r="D755">
        <v>65</v>
      </c>
      <c r="E755" t="str" cm="1">
        <f t="array" ref="E755">_xlfn.IFS(Table1[[#This Row],[Previous Marks]]&gt;90,"A1",Table1[[#This Row],[Previous Marks]]&gt;80,"A2",Table1[[#This Row],[Previous Marks]]&gt;70,"B1",Table1[[#This Row],[Previous Marks]]&gt;60,"B2",Table1[[#This Row],[Previous Marks]]&gt;50,"C1",Table1[[#This Row],[Previous Marks]]&gt;40,"C2")</f>
        <v>B2</v>
      </c>
      <c r="F755">
        <v>82</v>
      </c>
    </row>
    <row r="756" spans="2:6" x14ac:dyDescent="0.3">
      <c r="B756">
        <v>72</v>
      </c>
      <c r="C756" t="str" cm="1">
        <f t="array" ref="C756">_xlfn.IFS(B756&gt;90,"A1",B756&gt;80,"A2",B756&gt;70,"B1",B756&gt;60,"B2",B756&gt;50,"C1",B756&gt;40,"C2")</f>
        <v>B1</v>
      </c>
      <c r="D756">
        <v>85</v>
      </c>
      <c r="E756" t="str" cm="1">
        <f t="array" ref="E756">_xlfn.IFS(Table1[[#This Row],[Previous Marks]]&gt;90,"A1",Table1[[#This Row],[Previous Marks]]&gt;80,"A2",Table1[[#This Row],[Previous Marks]]&gt;70,"B1",Table1[[#This Row],[Previous Marks]]&gt;60,"B2",Table1[[#This Row],[Previous Marks]]&gt;50,"C1",Table1[[#This Row],[Previous Marks]]&gt;40,"C2")</f>
        <v>A2</v>
      </c>
      <c r="F756">
        <v>91</v>
      </c>
    </row>
    <row r="757" spans="2:6" x14ac:dyDescent="0.3">
      <c r="B757">
        <v>87</v>
      </c>
      <c r="C757" t="str" cm="1">
        <f t="array" ref="C757">_xlfn.IFS(B757&gt;90,"A1",B757&gt;80,"A2",B757&gt;70,"B1",B757&gt;60,"B2",B757&gt;50,"C1",B757&gt;40,"C2")</f>
        <v>A2</v>
      </c>
      <c r="D757">
        <v>77</v>
      </c>
      <c r="E757" t="str" cm="1">
        <f t="array" ref="E757">_xlfn.IFS(Table1[[#This Row],[Previous Marks]]&gt;90,"A1",Table1[[#This Row],[Previous Marks]]&gt;80,"A2",Table1[[#This Row],[Previous Marks]]&gt;70,"B1",Table1[[#This Row],[Previous Marks]]&gt;60,"B2",Table1[[#This Row],[Previous Marks]]&gt;50,"C1",Table1[[#This Row],[Previous Marks]]&gt;40,"C2")</f>
        <v>B1</v>
      </c>
      <c r="F757">
        <v>78</v>
      </c>
    </row>
    <row r="758" spans="2:6" x14ac:dyDescent="0.3">
      <c r="B758">
        <v>78</v>
      </c>
      <c r="C758" t="str" cm="1">
        <f t="array" ref="C758">_xlfn.IFS(B758&gt;90,"A1",B758&gt;80,"A2",B758&gt;70,"B1",B758&gt;60,"B2",B758&gt;50,"C1",B758&gt;40,"C2")</f>
        <v>B1</v>
      </c>
      <c r="D758">
        <v>60</v>
      </c>
      <c r="E758" t="str" cm="1">
        <f t="array" ref="E758">_xlfn.IFS(Table1[[#This Row],[Previous Marks]]&gt;90,"A1",Table1[[#This Row],[Previous Marks]]&gt;80,"A2",Table1[[#This Row],[Previous Marks]]&gt;70,"B1",Table1[[#This Row],[Previous Marks]]&gt;60,"B2",Table1[[#This Row],[Previous Marks]]&gt;50,"C1",Table1[[#This Row],[Previous Marks]]&gt;40,"C2")</f>
        <v>C1</v>
      </c>
      <c r="F758">
        <v>92</v>
      </c>
    </row>
    <row r="759" spans="2:6" x14ac:dyDescent="0.3">
      <c r="B759">
        <v>72</v>
      </c>
      <c r="C759" t="str" cm="1">
        <f t="array" ref="C759">_xlfn.IFS(B759&gt;90,"A1",B759&gt;80,"A2",B759&gt;70,"B1",B759&gt;60,"B2",B759&gt;50,"C1",B759&gt;40,"C2")</f>
        <v>B1</v>
      </c>
      <c r="D759">
        <v>88</v>
      </c>
      <c r="E759" t="str" cm="1">
        <f t="array" ref="E759">_xlfn.IFS(Table1[[#This Row],[Previous Marks]]&gt;90,"A1",Table1[[#This Row],[Previous Marks]]&gt;80,"A2",Table1[[#This Row],[Previous Marks]]&gt;70,"B1",Table1[[#This Row],[Previous Marks]]&gt;60,"B2",Table1[[#This Row],[Previous Marks]]&gt;50,"C1",Table1[[#This Row],[Previous Marks]]&gt;40,"C2")</f>
        <v>A2</v>
      </c>
      <c r="F759">
        <v>95</v>
      </c>
    </row>
    <row r="760" spans="2:6" x14ac:dyDescent="0.3">
      <c r="B760">
        <v>78</v>
      </c>
      <c r="C760" t="str" cm="1">
        <f t="array" ref="C760">_xlfn.IFS(B760&gt;90,"A1",B760&gt;80,"A2",B760&gt;70,"B1",B760&gt;60,"B2",B760&gt;50,"C1",B760&gt;40,"C2")</f>
        <v>B1</v>
      </c>
      <c r="D760">
        <v>70</v>
      </c>
      <c r="E760" t="str" cm="1">
        <f t="array" ref="E760">_xlfn.IFS(Table1[[#This Row],[Previous Marks]]&gt;90,"A1",Table1[[#This Row],[Previous Marks]]&gt;80,"A2",Table1[[#This Row],[Previous Marks]]&gt;70,"B1",Table1[[#This Row],[Previous Marks]]&gt;60,"B2",Table1[[#This Row],[Previous Marks]]&gt;50,"C1",Table1[[#This Row],[Previous Marks]]&gt;40,"C2")</f>
        <v>B2</v>
      </c>
      <c r="F760">
        <v>85.510416666666671</v>
      </c>
    </row>
    <row r="761" spans="2:6" x14ac:dyDescent="0.3">
      <c r="B761">
        <v>80.030208333333334</v>
      </c>
      <c r="C761" t="str" cm="1">
        <f t="array" ref="C761">_xlfn.IFS(B761&gt;90,"A1",B761&gt;80,"A2",B761&gt;70,"B1",B761&gt;60,"B2",B761&gt;50,"C1",B761&gt;40,"C2")</f>
        <v>A2</v>
      </c>
      <c r="D761">
        <v>65</v>
      </c>
      <c r="E761" t="str" cm="1">
        <f t="array" ref="E761">_xlfn.IFS(Table1[[#This Row],[Previous Marks]]&gt;90,"A1",Table1[[#This Row],[Previous Marks]]&gt;80,"A2",Table1[[#This Row],[Previous Marks]]&gt;70,"B1",Table1[[#This Row],[Previous Marks]]&gt;60,"B2",Table1[[#This Row],[Previous Marks]]&gt;50,"C1",Table1[[#This Row],[Previous Marks]]&gt;40,"C2")</f>
        <v>B2</v>
      </c>
      <c r="F761">
        <v>85.510416666666671</v>
      </c>
    </row>
    <row r="762" spans="2:6" x14ac:dyDescent="0.3">
      <c r="B762">
        <v>90</v>
      </c>
      <c r="C762" t="str" cm="1">
        <f t="array" ref="C762">_xlfn.IFS(B762&gt;90,"A1",B762&gt;80,"A2",B762&gt;70,"B1",B762&gt;60,"B2",B762&gt;50,"C1",B762&gt;40,"C2")</f>
        <v>A2</v>
      </c>
      <c r="D762">
        <v>77.598759048603924</v>
      </c>
      <c r="E762" t="str" cm="1">
        <f t="array" ref="E762">_xlfn.IFS(Table1[[#This Row],[Previous Marks]]&gt;90,"A1",Table1[[#This Row],[Previous Marks]]&gt;80,"A2",Table1[[#This Row],[Previous Marks]]&gt;70,"B1",Table1[[#This Row],[Previous Marks]]&gt;60,"B2",Table1[[#This Row],[Previous Marks]]&gt;50,"C1",Table1[[#This Row],[Previous Marks]]&gt;40,"C2")</f>
        <v>B1</v>
      </c>
      <c r="F762">
        <v>70</v>
      </c>
    </row>
    <row r="763" spans="2:6" x14ac:dyDescent="0.3">
      <c r="B763">
        <v>88</v>
      </c>
      <c r="C763" t="str" cm="1">
        <f t="array" ref="C763">_xlfn.IFS(B763&gt;90,"A1",B763&gt;80,"A2",B763&gt;70,"B1",B763&gt;60,"B2",B763&gt;50,"C1",B763&gt;40,"C2")</f>
        <v>A2</v>
      </c>
      <c r="D763">
        <v>90</v>
      </c>
      <c r="E763" t="str" cm="1">
        <f t="array" ref="E763">_xlfn.IFS(Table1[[#This Row],[Previous Marks]]&gt;90,"A1",Table1[[#This Row],[Previous Marks]]&gt;80,"A2",Table1[[#This Row],[Previous Marks]]&gt;70,"B1",Table1[[#This Row],[Previous Marks]]&gt;60,"B2",Table1[[#This Row],[Previous Marks]]&gt;50,"C1",Table1[[#This Row],[Previous Marks]]&gt;40,"C2")</f>
        <v>A2</v>
      </c>
      <c r="F763">
        <v>70</v>
      </c>
    </row>
    <row r="764" spans="2:6" x14ac:dyDescent="0.3">
      <c r="B764">
        <v>62</v>
      </c>
      <c r="C764" t="str" cm="1">
        <f t="array" ref="C764">_xlfn.IFS(B764&gt;90,"A1",B764&gt;80,"A2",B764&gt;70,"B1",B764&gt;60,"B2",B764&gt;50,"C1",B764&gt;40,"C2")</f>
        <v>B2</v>
      </c>
      <c r="D764">
        <v>78</v>
      </c>
      <c r="E764" t="str" cm="1">
        <f t="array" ref="E764">_xlfn.IFS(Table1[[#This Row],[Previous Marks]]&gt;90,"A1",Table1[[#This Row],[Previous Marks]]&gt;80,"A2",Table1[[#This Row],[Previous Marks]]&gt;70,"B1",Table1[[#This Row],[Previous Marks]]&gt;60,"B2",Table1[[#This Row],[Previous Marks]]&gt;50,"C1",Table1[[#This Row],[Previous Marks]]&gt;40,"C2")</f>
        <v>B1</v>
      </c>
      <c r="F764">
        <v>88</v>
      </c>
    </row>
    <row r="765" spans="2:6" x14ac:dyDescent="0.3">
      <c r="B765">
        <v>72</v>
      </c>
      <c r="C765" t="str" cm="1">
        <f t="array" ref="C765">_xlfn.IFS(B765&gt;90,"A1",B765&gt;80,"A2",B765&gt;70,"B1",B765&gt;60,"B2",B765&gt;50,"C1",B765&gt;40,"C2")</f>
        <v>B1</v>
      </c>
      <c r="D765">
        <v>70</v>
      </c>
      <c r="E765" t="str" cm="1">
        <f t="array" ref="E765">_xlfn.IFS(Table1[[#This Row],[Previous Marks]]&gt;90,"A1",Table1[[#This Row],[Previous Marks]]&gt;80,"A2",Table1[[#This Row],[Previous Marks]]&gt;70,"B1",Table1[[#This Row],[Previous Marks]]&gt;60,"B2",Table1[[#This Row],[Previous Marks]]&gt;50,"C1",Table1[[#This Row],[Previous Marks]]&gt;40,"C2")</f>
        <v>B2</v>
      </c>
      <c r="F765">
        <v>92</v>
      </c>
    </row>
    <row r="766" spans="2:6" x14ac:dyDescent="0.3">
      <c r="B766">
        <v>62</v>
      </c>
      <c r="C766" t="str" cm="1">
        <f t="array" ref="C766">_xlfn.IFS(B766&gt;90,"A1",B766&gt;80,"A2",B766&gt;70,"B1",B766&gt;60,"B2",B766&gt;50,"C1",B766&gt;40,"C2")</f>
        <v>B2</v>
      </c>
      <c r="D766">
        <v>82</v>
      </c>
      <c r="E766" t="str" cm="1">
        <f t="array" ref="E766">_xlfn.IFS(Table1[[#This Row],[Previous Marks]]&gt;90,"A1",Table1[[#This Row],[Previous Marks]]&gt;80,"A2",Table1[[#This Row],[Previous Marks]]&gt;70,"B1",Table1[[#This Row],[Previous Marks]]&gt;60,"B2",Table1[[#This Row],[Previous Marks]]&gt;50,"C1",Table1[[#This Row],[Previous Marks]]&gt;40,"C2")</f>
        <v>A2</v>
      </c>
      <c r="F766">
        <v>82</v>
      </c>
    </row>
    <row r="767" spans="2:6" x14ac:dyDescent="0.3">
      <c r="B767">
        <v>87</v>
      </c>
      <c r="C767" t="str" cm="1">
        <f t="array" ref="C767">_xlfn.IFS(B767&gt;90,"A1",B767&gt;80,"A2",B767&gt;70,"B1",B767&gt;60,"B2",B767&gt;50,"C1",B767&gt;40,"C2")</f>
        <v>A2</v>
      </c>
      <c r="D767">
        <v>85</v>
      </c>
      <c r="E767" t="str" cm="1">
        <f t="array" ref="E767">_xlfn.IFS(Table1[[#This Row],[Previous Marks]]&gt;90,"A1",Table1[[#This Row],[Previous Marks]]&gt;80,"A2",Table1[[#This Row],[Previous Marks]]&gt;70,"B1",Table1[[#This Row],[Previous Marks]]&gt;60,"B2",Table1[[#This Row],[Previous Marks]]&gt;50,"C1",Table1[[#This Row],[Previous Marks]]&gt;40,"C2")</f>
        <v>A2</v>
      </c>
      <c r="F767">
        <v>82</v>
      </c>
    </row>
    <row r="768" spans="2:6" x14ac:dyDescent="0.3">
      <c r="B768">
        <v>92</v>
      </c>
      <c r="C768" t="str" cm="1">
        <f t="array" ref="C768">_xlfn.IFS(B768&gt;90,"A1",B768&gt;80,"A2",B768&gt;70,"B1",B768&gt;60,"B2",B768&gt;50,"C1",B768&gt;40,"C2")</f>
        <v>A1</v>
      </c>
      <c r="D768">
        <v>86</v>
      </c>
      <c r="E768" t="str" cm="1">
        <f t="array" ref="E768">_xlfn.IFS(Table1[[#This Row],[Previous Marks]]&gt;90,"A1",Table1[[#This Row],[Previous Marks]]&gt;80,"A2",Table1[[#This Row],[Previous Marks]]&gt;70,"B1",Table1[[#This Row],[Previous Marks]]&gt;60,"B2",Table1[[#This Row],[Previous Marks]]&gt;50,"C1",Table1[[#This Row],[Previous Marks]]&gt;40,"C2")</f>
        <v>A2</v>
      </c>
      <c r="F768">
        <v>92</v>
      </c>
    </row>
    <row r="769" spans="2:6" x14ac:dyDescent="0.3">
      <c r="B769">
        <v>90</v>
      </c>
      <c r="C769" t="str" cm="1">
        <f t="array" ref="C769">_xlfn.IFS(B769&gt;90,"A1",B769&gt;80,"A2",B769&gt;70,"B1",B769&gt;60,"B2",B769&gt;50,"C1",B769&gt;40,"C2")</f>
        <v>A2</v>
      </c>
      <c r="D769">
        <v>70</v>
      </c>
      <c r="E769" t="str" cm="1">
        <f t="array" ref="E769">_xlfn.IFS(Table1[[#This Row],[Previous Marks]]&gt;90,"A1",Table1[[#This Row],[Previous Marks]]&gt;80,"A2",Table1[[#This Row],[Previous Marks]]&gt;70,"B1",Table1[[#This Row],[Previous Marks]]&gt;60,"B2",Table1[[#This Row],[Previous Marks]]&gt;50,"C1",Table1[[#This Row],[Previous Marks]]&gt;40,"C2")</f>
        <v>B2</v>
      </c>
      <c r="F769">
        <v>90</v>
      </c>
    </row>
    <row r="770" spans="2:6" x14ac:dyDescent="0.3">
      <c r="B770">
        <v>92</v>
      </c>
      <c r="C770" t="str" cm="1">
        <f t="array" ref="C770">_xlfn.IFS(B770&gt;90,"A1",B770&gt;80,"A2",B770&gt;70,"B1",B770&gt;60,"B2",B770&gt;50,"C1",B770&gt;40,"C2")</f>
        <v>A1</v>
      </c>
      <c r="D770">
        <v>60</v>
      </c>
      <c r="E770" t="str" cm="1">
        <f t="array" ref="E770">_xlfn.IFS(Table1[[#This Row],[Previous Marks]]&gt;90,"A1",Table1[[#This Row],[Previous Marks]]&gt;80,"A2",Table1[[#This Row],[Previous Marks]]&gt;70,"B1",Table1[[#This Row],[Previous Marks]]&gt;60,"B2",Table1[[#This Row],[Previous Marks]]&gt;50,"C1",Table1[[#This Row],[Previous Marks]]&gt;40,"C2")</f>
        <v>C1</v>
      </c>
      <c r="F770">
        <v>90</v>
      </c>
    </row>
    <row r="771" spans="2:6" x14ac:dyDescent="0.3">
      <c r="B771">
        <v>78</v>
      </c>
      <c r="C771" t="str" cm="1">
        <f t="array" ref="C771">_xlfn.IFS(B771&gt;90,"A1",B771&gt;80,"A2",B771&gt;70,"B1",B771&gt;60,"B2",B771&gt;50,"C1",B771&gt;40,"C2")</f>
        <v>B1</v>
      </c>
      <c r="D771">
        <v>77</v>
      </c>
      <c r="E771" t="str" cm="1">
        <f t="array" ref="E771">_xlfn.IFS(Table1[[#This Row],[Previous Marks]]&gt;90,"A1",Table1[[#This Row],[Previous Marks]]&gt;80,"A2",Table1[[#This Row],[Previous Marks]]&gt;70,"B1",Table1[[#This Row],[Previous Marks]]&gt;60,"B2",Table1[[#This Row],[Previous Marks]]&gt;50,"C1",Table1[[#This Row],[Previous Marks]]&gt;40,"C2")</f>
        <v>B1</v>
      </c>
      <c r="F771">
        <v>88</v>
      </c>
    </row>
    <row r="772" spans="2:6" x14ac:dyDescent="0.3">
      <c r="B772">
        <v>87</v>
      </c>
      <c r="C772" t="str" cm="1">
        <f t="array" ref="C772">_xlfn.IFS(B772&gt;90,"A1",B772&gt;80,"A2",B772&gt;70,"B1",B772&gt;60,"B2",B772&gt;50,"C1",B772&gt;40,"C2")</f>
        <v>A2</v>
      </c>
      <c r="D772">
        <v>65</v>
      </c>
      <c r="E772" t="str" cm="1">
        <f t="array" ref="E772">_xlfn.IFS(Table1[[#This Row],[Previous Marks]]&gt;90,"A1",Table1[[#This Row],[Previous Marks]]&gt;80,"A2",Table1[[#This Row],[Previous Marks]]&gt;70,"B1",Table1[[#This Row],[Previous Marks]]&gt;60,"B2",Table1[[#This Row],[Previous Marks]]&gt;50,"C1",Table1[[#This Row],[Previous Marks]]&gt;40,"C2")</f>
        <v>B2</v>
      </c>
      <c r="F772">
        <v>85</v>
      </c>
    </row>
    <row r="773" spans="2:6" x14ac:dyDescent="0.3">
      <c r="B773">
        <v>87</v>
      </c>
      <c r="C773" t="str" cm="1">
        <f t="array" ref="C773">_xlfn.IFS(B773&gt;90,"A1",B773&gt;80,"A2",B773&gt;70,"B1",B773&gt;60,"B2",B773&gt;50,"C1",B773&gt;40,"C2")</f>
        <v>A2</v>
      </c>
      <c r="D773">
        <v>85</v>
      </c>
      <c r="E773" t="str" cm="1">
        <f t="array" ref="E773">_xlfn.IFS(Table1[[#This Row],[Previous Marks]]&gt;90,"A1",Table1[[#This Row],[Previous Marks]]&gt;80,"A2",Table1[[#This Row],[Previous Marks]]&gt;70,"B1",Table1[[#This Row],[Previous Marks]]&gt;60,"B2",Table1[[#This Row],[Previous Marks]]&gt;50,"C1",Table1[[#This Row],[Previous Marks]]&gt;40,"C2")</f>
        <v>A2</v>
      </c>
      <c r="F773">
        <v>82</v>
      </c>
    </row>
    <row r="774" spans="2:6" x14ac:dyDescent="0.3">
      <c r="B774">
        <v>85</v>
      </c>
      <c r="C774" t="str" cm="1">
        <f t="array" ref="C774">_xlfn.IFS(B774&gt;90,"A1",B774&gt;80,"A2",B774&gt;70,"B1",B774&gt;60,"B2",B774&gt;50,"C1",B774&gt;40,"C2")</f>
        <v>A2</v>
      </c>
      <c r="D774">
        <v>82</v>
      </c>
      <c r="E774" t="str" cm="1">
        <f t="array" ref="E774">_xlfn.IFS(Table1[[#This Row],[Previous Marks]]&gt;90,"A1",Table1[[#This Row],[Previous Marks]]&gt;80,"A2",Table1[[#This Row],[Previous Marks]]&gt;70,"B1",Table1[[#This Row],[Previous Marks]]&gt;60,"B2",Table1[[#This Row],[Previous Marks]]&gt;50,"C1",Table1[[#This Row],[Previous Marks]]&gt;40,"C2")</f>
        <v>A2</v>
      </c>
      <c r="F774">
        <v>90</v>
      </c>
    </row>
    <row r="775" spans="2:6" x14ac:dyDescent="0.3">
      <c r="B775">
        <v>78</v>
      </c>
      <c r="C775" t="str" cm="1">
        <f t="array" ref="C775">_xlfn.IFS(B775&gt;90,"A1",B775&gt;80,"A2",B775&gt;70,"B1",B775&gt;60,"B2",B775&gt;50,"C1",B775&gt;40,"C2")</f>
        <v>B1</v>
      </c>
      <c r="D775">
        <v>82</v>
      </c>
      <c r="E775" t="str" cm="1">
        <f t="array" ref="E775">_xlfn.IFS(Table1[[#This Row],[Previous Marks]]&gt;90,"A1",Table1[[#This Row],[Previous Marks]]&gt;80,"A2",Table1[[#This Row],[Previous Marks]]&gt;70,"B1",Table1[[#This Row],[Previous Marks]]&gt;60,"B2",Table1[[#This Row],[Previous Marks]]&gt;50,"C1",Table1[[#This Row],[Previous Marks]]&gt;40,"C2")</f>
        <v>A2</v>
      </c>
      <c r="F775">
        <v>85</v>
      </c>
    </row>
    <row r="776" spans="2:6" x14ac:dyDescent="0.3">
      <c r="B776">
        <v>78</v>
      </c>
      <c r="C776" t="str" cm="1">
        <f t="array" ref="C776">_xlfn.IFS(B776&gt;90,"A1",B776&gt;80,"A2",B776&gt;70,"B1",B776&gt;60,"B2",B776&gt;50,"C1",B776&gt;40,"C2")</f>
        <v>B1</v>
      </c>
      <c r="D776">
        <v>86</v>
      </c>
      <c r="E776" t="str" cm="1">
        <f t="array" ref="E776">_xlfn.IFS(Table1[[#This Row],[Previous Marks]]&gt;90,"A1",Table1[[#This Row],[Previous Marks]]&gt;80,"A2",Table1[[#This Row],[Previous Marks]]&gt;70,"B1",Table1[[#This Row],[Previous Marks]]&gt;60,"B2",Table1[[#This Row],[Previous Marks]]&gt;50,"C1",Table1[[#This Row],[Previous Marks]]&gt;40,"C2")</f>
        <v>A2</v>
      </c>
      <c r="F776">
        <v>70</v>
      </c>
    </row>
    <row r="777" spans="2:6" x14ac:dyDescent="0.3">
      <c r="B777">
        <v>78</v>
      </c>
      <c r="C777" t="str" cm="1">
        <f t="array" ref="C777">_xlfn.IFS(B777&gt;90,"A1",B777&gt;80,"A2",B777&gt;70,"B1",B777&gt;60,"B2",B777&gt;50,"C1",B777&gt;40,"C2")</f>
        <v>B1</v>
      </c>
      <c r="D777">
        <v>77</v>
      </c>
      <c r="E777" t="str" cm="1">
        <f t="array" ref="E777">_xlfn.IFS(Table1[[#This Row],[Previous Marks]]&gt;90,"A1",Table1[[#This Row],[Previous Marks]]&gt;80,"A2",Table1[[#This Row],[Previous Marks]]&gt;70,"B1",Table1[[#This Row],[Previous Marks]]&gt;60,"B2",Table1[[#This Row],[Previous Marks]]&gt;50,"C1",Table1[[#This Row],[Previous Marks]]&gt;40,"C2")</f>
        <v>B1</v>
      </c>
      <c r="F777">
        <v>78</v>
      </c>
    </row>
    <row r="778" spans="2:6" x14ac:dyDescent="0.3">
      <c r="B778">
        <v>80</v>
      </c>
      <c r="C778" t="str" cm="1">
        <f t="array" ref="C778">_xlfn.IFS(B778&gt;90,"A1",B778&gt;80,"A2",B778&gt;70,"B1",B778&gt;60,"B2",B778&gt;50,"C1",B778&gt;40,"C2")</f>
        <v>B1</v>
      </c>
      <c r="D778">
        <v>60</v>
      </c>
      <c r="E778" t="str" cm="1">
        <f t="array" ref="E778">_xlfn.IFS(Table1[[#This Row],[Previous Marks]]&gt;90,"A1",Table1[[#This Row],[Previous Marks]]&gt;80,"A2",Table1[[#This Row],[Previous Marks]]&gt;70,"B1",Table1[[#This Row],[Previous Marks]]&gt;60,"B2",Table1[[#This Row],[Previous Marks]]&gt;50,"C1",Table1[[#This Row],[Previous Marks]]&gt;40,"C2")</f>
        <v>C1</v>
      </c>
      <c r="F778">
        <v>70</v>
      </c>
    </row>
    <row r="779" spans="2:6" x14ac:dyDescent="0.3">
      <c r="B779">
        <v>87</v>
      </c>
      <c r="C779" t="str" cm="1">
        <f t="array" ref="C779">_xlfn.IFS(B779&gt;90,"A1",B779&gt;80,"A2",B779&gt;70,"B1",B779&gt;60,"B2",B779&gt;50,"C1",B779&gt;40,"C2")</f>
        <v>A2</v>
      </c>
      <c r="D779">
        <v>82</v>
      </c>
      <c r="E779" t="str" cm="1">
        <f t="array" ref="E779">_xlfn.IFS(Table1[[#This Row],[Previous Marks]]&gt;90,"A1",Table1[[#This Row],[Previous Marks]]&gt;80,"A2",Table1[[#This Row],[Previous Marks]]&gt;70,"B1",Table1[[#This Row],[Previous Marks]]&gt;60,"B2",Table1[[#This Row],[Previous Marks]]&gt;50,"C1",Table1[[#This Row],[Previous Marks]]&gt;40,"C2")</f>
        <v>A2</v>
      </c>
      <c r="F779">
        <v>85</v>
      </c>
    </row>
    <row r="780" spans="2:6" x14ac:dyDescent="0.3">
      <c r="B780">
        <v>80</v>
      </c>
      <c r="C780" t="str" cm="1">
        <f t="array" ref="C780">_xlfn.IFS(B780&gt;90,"A1",B780&gt;80,"A2",B780&gt;70,"B1",B780&gt;60,"B2",B780&gt;50,"C1",B780&gt;40,"C2")</f>
        <v>B1</v>
      </c>
      <c r="D780">
        <v>90</v>
      </c>
      <c r="E780" t="str" cm="1">
        <f t="array" ref="E780">_xlfn.IFS(Table1[[#This Row],[Previous Marks]]&gt;90,"A1",Table1[[#This Row],[Previous Marks]]&gt;80,"A2",Table1[[#This Row],[Previous Marks]]&gt;70,"B1",Table1[[#This Row],[Previous Marks]]&gt;60,"B2",Table1[[#This Row],[Previous Marks]]&gt;50,"C1",Table1[[#This Row],[Previous Marks]]&gt;40,"C2")</f>
        <v>A2</v>
      </c>
      <c r="F780">
        <v>91</v>
      </c>
    </row>
    <row r="781" spans="2:6" x14ac:dyDescent="0.3">
      <c r="B781">
        <v>80.030208333333334</v>
      </c>
      <c r="C781" t="str" cm="1">
        <f t="array" ref="C781">_xlfn.IFS(B781&gt;90,"A1",B781&gt;80,"A2",B781&gt;70,"B1",B781&gt;60,"B2",B781&gt;50,"C1",B781&gt;40,"C2")</f>
        <v>A2</v>
      </c>
      <c r="D781">
        <v>86</v>
      </c>
      <c r="E781" t="str" cm="1">
        <f t="array" ref="E781">_xlfn.IFS(Table1[[#This Row],[Previous Marks]]&gt;90,"A1",Table1[[#This Row],[Previous Marks]]&gt;80,"A2",Table1[[#This Row],[Previous Marks]]&gt;70,"B1",Table1[[#This Row],[Previous Marks]]&gt;60,"B2",Table1[[#This Row],[Previous Marks]]&gt;50,"C1",Table1[[#This Row],[Previous Marks]]&gt;40,"C2")</f>
        <v>A2</v>
      </c>
      <c r="F781">
        <v>92</v>
      </c>
    </row>
    <row r="782" spans="2:6" x14ac:dyDescent="0.3">
      <c r="B782">
        <v>72</v>
      </c>
      <c r="C782" t="str" cm="1">
        <f t="array" ref="C782">_xlfn.IFS(B782&gt;90,"A1",B782&gt;80,"A2",B782&gt;70,"B1",B782&gt;60,"B2",B782&gt;50,"C1",B782&gt;40,"C2")</f>
        <v>B1</v>
      </c>
      <c r="D782">
        <v>65</v>
      </c>
      <c r="E782" t="str" cm="1">
        <f t="array" ref="E782">_xlfn.IFS(Table1[[#This Row],[Previous Marks]]&gt;90,"A1",Table1[[#This Row],[Previous Marks]]&gt;80,"A2",Table1[[#This Row],[Previous Marks]]&gt;70,"B1",Table1[[#This Row],[Previous Marks]]&gt;60,"B2",Table1[[#This Row],[Previous Marks]]&gt;50,"C1",Table1[[#This Row],[Previous Marks]]&gt;40,"C2")</f>
        <v>B2</v>
      </c>
      <c r="F782">
        <v>95</v>
      </c>
    </row>
    <row r="783" spans="2:6" x14ac:dyDescent="0.3">
      <c r="B783">
        <v>85</v>
      </c>
      <c r="C783" t="str" cm="1">
        <f t="array" ref="C783">_xlfn.IFS(B783&gt;90,"A1",B783&gt;80,"A2",B783&gt;70,"B1",B783&gt;60,"B2",B783&gt;50,"C1",B783&gt;40,"C2")</f>
        <v>A2</v>
      </c>
      <c r="D783">
        <v>82</v>
      </c>
      <c r="E783" t="str" cm="1">
        <f t="array" ref="E783">_xlfn.IFS(Table1[[#This Row],[Previous Marks]]&gt;90,"A1",Table1[[#This Row],[Previous Marks]]&gt;80,"A2",Table1[[#This Row],[Previous Marks]]&gt;70,"B1",Table1[[#This Row],[Previous Marks]]&gt;60,"B2",Table1[[#This Row],[Previous Marks]]&gt;50,"C1",Table1[[#This Row],[Previous Marks]]&gt;40,"C2")</f>
        <v>A2</v>
      </c>
      <c r="F783">
        <v>82</v>
      </c>
    </row>
    <row r="784" spans="2:6" x14ac:dyDescent="0.3">
      <c r="B784">
        <v>80</v>
      </c>
      <c r="C784" t="str" cm="1">
        <f t="array" ref="C784">_xlfn.IFS(B784&gt;90,"A1",B784&gt;80,"A2",B784&gt;70,"B1",B784&gt;60,"B2",B784&gt;50,"C1",B784&gt;40,"C2")</f>
        <v>B1</v>
      </c>
      <c r="D784">
        <v>88</v>
      </c>
      <c r="E784" t="str" cm="1">
        <f t="array" ref="E784">_xlfn.IFS(Table1[[#This Row],[Previous Marks]]&gt;90,"A1",Table1[[#This Row],[Previous Marks]]&gt;80,"A2",Table1[[#This Row],[Previous Marks]]&gt;70,"B1",Table1[[#This Row],[Previous Marks]]&gt;60,"B2",Table1[[#This Row],[Previous Marks]]&gt;50,"C1",Table1[[#This Row],[Previous Marks]]&gt;40,"C2")</f>
        <v>A2</v>
      </c>
      <c r="F784">
        <v>85</v>
      </c>
    </row>
    <row r="785" spans="2:6" x14ac:dyDescent="0.3">
      <c r="B785">
        <v>92</v>
      </c>
      <c r="C785" t="str" cm="1">
        <f t="array" ref="C785">_xlfn.IFS(B785&gt;90,"A1",B785&gt;80,"A2",B785&gt;70,"B1",B785&gt;60,"B2",B785&gt;50,"C1",B785&gt;40,"C2")</f>
        <v>A1</v>
      </c>
      <c r="D785">
        <v>60</v>
      </c>
      <c r="E785" t="str" cm="1">
        <f t="array" ref="E785">_xlfn.IFS(Table1[[#This Row],[Previous Marks]]&gt;90,"A1",Table1[[#This Row],[Previous Marks]]&gt;80,"A2",Table1[[#This Row],[Previous Marks]]&gt;70,"B1",Table1[[#This Row],[Previous Marks]]&gt;60,"B2",Table1[[#This Row],[Previous Marks]]&gt;50,"C1",Table1[[#This Row],[Previous Marks]]&gt;40,"C2")</f>
        <v>C1</v>
      </c>
      <c r="F785">
        <v>95</v>
      </c>
    </row>
    <row r="786" spans="2:6" x14ac:dyDescent="0.3">
      <c r="B786">
        <v>72</v>
      </c>
      <c r="C786" t="str" cm="1">
        <f t="array" ref="C786">_xlfn.IFS(B786&gt;90,"A1",B786&gt;80,"A2",B786&gt;70,"B1",B786&gt;60,"B2",B786&gt;50,"C1",B786&gt;40,"C2")</f>
        <v>B1</v>
      </c>
      <c r="D786">
        <v>78</v>
      </c>
      <c r="E786" t="str" cm="1">
        <f t="array" ref="E786">_xlfn.IFS(Table1[[#This Row],[Previous Marks]]&gt;90,"A1",Table1[[#This Row],[Previous Marks]]&gt;80,"A2",Table1[[#This Row],[Previous Marks]]&gt;70,"B1",Table1[[#This Row],[Previous Marks]]&gt;60,"B2",Table1[[#This Row],[Previous Marks]]&gt;50,"C1",Table1[[#This Row],[Previous Marks]]&gt;40,"C2")</f>
        <v>B1</v>
      </c>
      <c r="F786">
        <v>90</v>
      </c>
    </row>
    <row r="787" spans="2:6" x14ac:dyDescent="0.3">
      <c r="B787">
        <v>87</v>
      </c>
      <c r="C787" t="str" cm="1">
        <f t="array" ref="C787">_xlfn.IFS(B787&gt;90,"A1",B787&gt;80,"A2",B787&gt;70,"B1",B787&gt;60,"B2",B787&gt;50,"C1",B787&gt;40,"C2")</f>
        <v>A2</v>
      </c>
      <c r="D787">
        <v>70</v>
      </c>
      <c r="E787" t="str" cm="1">
        <f t="array" ref="E787">_xlfn.IFS(Table1[[#This Row],[Previous Marks]]&gt;90,"A1",Table1[[#This Row],[Previous Marks]]&gt;80,"A2",Table1[[#This Row],[Previous Marks]]&gt;70,"B1",Table1[[#This Row],[Previous Marks]]&gt;60,"B2",Table1[[#This Row],[Previous Marks]]&gt;50,"C1",Table1[[#This Row],[Previous Marks]]&gt;40,"C2")</f>
        <v>B2</v>
      </c>
      <c r="F787">
        <v>85</v>
      </c>
    </row>
    <row r="788" spans="2:6" x14ac:dyDescent="0.3">
      <c r="B788">
        <v>90</v>
      </c>
      <c r="C788" t="str" cm="1">
        <f t="array" ref="C788">_xlfn.IFS(B788&gt;90,"A1",B788&gt;80,"A2",B788&gt;70,"B1",B788&gt;60,"B2",B788&gt;50,"C1",B788&gt;40,"C2")</f>
        <v>A2</v>
      </c>
      <c r="D788">
        <v>70</v>
      </c>
      <c r="E788" t="str" cm="1">
        <f t="array" ref="E788">_xlfn.IFS(Table1[[#This Row],[Previous Marks]]&gt;90,"A1",Table1[[#This Row],[Previous Marks]]&gt;80,"A2",Table1[[#This Row],[Previous Marks]]&gt;70,"B1",Table1[[#This Row],[Previous Marks]]&gt;60,"B2",Table1[[#This Row],[Previous Marks]]&gt;50,"C1",Table1[[#This Row],[Previous Marks]]&gt;40,"C2")</f>
        <v>B2</v>
      </c>
      <c r="F788">
        <v>85</v>
      </c>
    </row>
    <row r="789" spans="2:6" x14ac:dyDescent="0.3">
      <c r="B789">
        <v>88</v>
      </c>
      <c r="C789" t="str" cm="1">
        <f t="array" ref="C789">_xlfn.IFS(B789&gt;90,"A1",B789&gt;80,"A2",B789&gt;70,"B1",B789&gt;60,"B2",B789&gt;50,"C1",B789&gt;40,"C2")</f>
        <v>A2</v>
      </c>
      <c r="D789">
        <v>78</v>
      </c>
      <c r="E789" t="str" cm="1">
        <f t="array" ref="E789">_xlfn.IFS(Table1[[#This Row],[Previous Marks]]&gt;90,"A1",Table1[[#This Row],[Previous Marks]]&gt;80,"A2",Table1[[#This Row],[Previous Marks]]&gt;70,"B1",Table1[[#This Row],[Previous Marks]]&gt;60,"B2",Table1[[#This Row],[Previous Marks]]&gt;50,"C1",Table1[[#This Row],[Previous Marks]]&gt;40,"C2")</f>
        <v>B1</v>
      </c>
      <c r="F789">
        <v>82</v>
      </c>
    </row>
    <row r="790" spans="2:6" x14ac:dyDescent="0.3">
      <c r="B790">
        <v>92</v>
      </c>
      <c r="C790" t="str" cm="1">
        <f t="array" ref="C790">_xlfn.IFS(B790&gt;90,"A1",B790&gt;80,"A2",B790&gt;70,"B1",B790&gt;60,"B2",B790&gt;50,"C1",B790&gt;40,"C2")</f>
        <v>A1</v>
      </c>
      <c r="D790">
        <v>77.598759048603924</v>
      </c>
      <c r="E790" t="str" cm="1">
        <f t="array" ref="E790">_xlfn.IFS(Table1[[#This Row],[Previous Marks]]&gt;90,"A1",Table1[[#This Row],[Previous Marks]]&gt;80,"A2",Table1[[#This Row],[Previous Marks]]&gt;70,"B1",Table1[[#This Row],[Previous Marks]]&gt;60,"B2",Table1[[#This Row],[Previous Marks]]&gt;50,"C1",Table1[[#This Row],[Previous Marks]]&gt;40,"C2")</f>
        <v>B1</v>
      </c>
      <c r="F790">
        <v>88</v>
      </c>
    </row>
    <row r="791" spans="2:6" x14ac:dyDescent="0.3">
      <c r="B791">
        <v>62</v>
      </c>
      <c r="C791" t="str" cm="1">
        <f t="array" ref="C791">_xlfn.IFS(B791&gt;90,"A1",B791&gt;80,"A2",B791&gt;70,"B1",B791&gt;60,"B2",B791&gt;50,"C1",B791&gt;40,"C2")</f>
        <v>B2</v>
      </c>
      <c r="D791">
        <v>85</v>
      </c>
      <c r="E791" t="str" cm="1">
        <f t="array" ref="E791">_xlfn.IFS(Table1[[#This Row],[Previous Marks]]&gt;90,"A1",Table1[[#This Row],[Previous Marks]]&gt;80,"A2",Table1[[#This Row],[Previous Marks]]&gt;70,"B1",Table1[[#This Row],[Previous Marks]]&gt;60,"B2",Table1[[#This Row],[Previous Marks]]&gt;50,"C1",Table1[[#This Row],[Previous Marks]]&gt;40,"C2")</f>
        <v>A2</v>
      </c>
      <c r="F791">
        <v>82</v>
      </c>
    </row>
    <row r="792" spans="2:6" x14ac:dyDescent="0.3">
      <c r="B792">
        <v>85</v>
      </c>
      <c r="C792" t="str" cm="1">
        <f t="array" ref="C792">_xlfn.IFS(B792&gt;90,"A1",B792&gt;80,"A2",B792&gt;70,"B1",B792&gt;60,"B2",B792&gt;50,"C1",B792&gt;40,"C2")</f>
        <v>A2</v>
      </c>
      <c r="D792">
        <v>88</v>
      </c>
      <c r="E792" t="str" cm="1">
        <f t="array" ref="E792">_xlfn.IFS(Table1[[#This Row],[Previous Marks]]&gt;90,"A1",Table1[[#This Row],[Previous Marks]]&gt;80,"A2",Table1[[#This Row],[Previous Marks]]&gt;70,"B1",Table1[[#This Row],[Previous Marks]]&gt;60,"B2",Table1[[#This Row],[Previous Marks]]&gt;50,"C1",Table1[[#This Row],[Previous Marks]]&gt;40,"C2")</f>
        <v>A2</v>
      </c>
      <c r="F792">
        <v>91</v>
      </c>
    </row>
    <row r="793" spans="2:6" x14ac:dyDescent="0.3">
      <c r="B793">
        <v>90</v>
      </c>
      <c r="C793" t="str" cm="1">
        <f t="array" ref="C793">_xlfn.IFS(B793&gt;90,"A1",B793&gt;80,"A2",B793&gt;70,"B1",B793&gt;60,"B2",B793&gt;50,"C1",B793&gt;40,"C2")</f>
        <v>A2</v>
      </c>
      <c r="D793">
        <v>90</v>
      </c>
      <c r="E793" t="str" cm="1">
        <f t="array" ref="E793">_xlfn.IFS(Table1[[#This Row],[Previous Marks]]&gt;90,"A1",Table1[[#This Row],[Previous Marks]]&gt;80,"A2",Table1[[#This Row],[Previous Marks]]&gt;70,"B1",Table1[[#This Row],[Previous Marks]]&gt;60,"B2",Table1[[#This Row],[Previous Marks]]&gt;50,"C1",Table1[[#This Row],[Previous Marks]]&gt;40,"C2")</f>
        <v>A2</v>
      </c>
      <c r="F793">
        <v>95</v>
      </c>
    </row>
    <row r="794" spans="2:6" x14ac:dyDescent="0.3">
      <c r="B794">
        <v>78</v>
      </c>
      <c r="C794" t="str" cm="1">
        <f t="array" ref="C794">_xlfn.IFS(B794&gt;90,"A1",B794&gt;80,"A2",B794&gt;70,"B1",B794&gt;60,"B2",B794&gt;50,"C1",B794&gt;40,"C2")</f>
        <v>B1</v>
      </c>
      <c r="D794">
        <v>65</v>
      </c>
      <c r="E794" t="str" cm="1">
        <f t="array" ref="E794">_xlfn.IFS(Table1[[#This Row],[Previous Marks]]&gt;90,"A1",Table1[[#This Row],[Previous Marks]]&gt;80,"A2",Table1[[#This Row],[Previous Marks]]&gt;70,"B1",Table1[[#This Row],[Previous Marks]]&gt;60,"B2",Table1[[#This Row],[Previous Marks]]&gt;50,"C1",Table1[[#This Row],[Previous Marks]]&gt;40,"C2")</f>
        <v>B2</v>
      </c>
      <c r="F794">
        <v>85</v>
      </c>
    </row>
    <row r="795" spans="2:6" x14ac:dyDescent="0.3">
      <c r="B795">
        <v>90</v>
      </c>
      <c r="C795" t="str" cm="1">
        <f t="array" ref="C795">_xlfn.IFS(B795&gt;90,"A1",B795&gt;80,"A2",B795&gt;70,"B1",B795&gt;60,"B2",B795&gt;50,"C1",B795&gt;40,"C2")</f>
        <v>A2</v>
      </c>
      <c r="D795">
        <v>88</v>
      </c>
      <c r="E795" t="str" cm="1">
        <f t="array" ref="E795">_xlfn.IFS(Table1[[#This Row],[Previous Marks]]&gt;90,"A1",Table1[[#This Row],[Previous Marks]]&gt;80,"A2",Table1[[#This Row],[Previous Marks]]&gt;70,"B1",Table1[[#This Row],[Previous Marks]]&gt;60,"B2",Table1[[#This Row],[Previous Marks]]&gt;50,"C1",Table1[[#This Row],[Previous Marks]]&gt;40,"C2")</f>
        <v>A2</v>
      </c>
      <c r="F795">
        <v>85</v>
      </c>
    </row>
    <row r="796" spans="2:6" x14ac:dyDescent="0.3">
      <c r="B796">
        <v>80</v>
      </c>
      <c r="C796" t="str" cm="1">
        <f t="array" ref="C796">_xlfn.IFS(B796&gt;90,"A1",B796&gt;80,"A2",B796&gt;70,"B1",B796&gt;60,"B2",B796&gt;50,"C1",B796&gt;40,"C2")</f>
        <v>B1</v>
      </c>
      <c r="D796">
        <v>77</v>
      </c>
      <c r="E796" t="str" cm="1">
        <f t="array" ref="E796">_xlfn.IFS(Table1[[#This Row],[Previous Marks]]&gt;90,"A1",Table1[[#This Row],[Previous Marks]]&gt;80,"A2",Table1[[#This Row],[Previous Marks]]&gt;70,"B1",Table1[[#This Row],[Previous Marks]]&gt;60,"B2",Table1[[#This Row],[Previous Marks]]&gt;50,"C1",Table1[[#This Row],[Previous Marks]]&gt;40,"C2")</f>
        <v>B1</v>
      </c>
      <c r="F796">
        <v>95</v>
      </c>
    </row>
    <row r="797" spans="2:6" x14ac:dyDescent="0.3">
      <c r="B797">
        <v>90</v>
      </c>
      <c r="C797" t="str" cm="1">
        <f t="array" ref="C797">_xlfn.IFS(B797&gt;90,"A1",B797&gt;80,"A2",B797&gt;70,"B1",B797&gt;60,"B2",B797&gt;50,"C1",B797&gt;40,"C2")</f>
        <v>A2</v>
      </c>
      <c r="D797">
        <v>90</v>
      </c>
      <c r="E797" t="str" cm="1">
        <f t="array" ref="E797">_xlfn.IFS(Table1[[#This Row],[Previous Marks]]&gt;90,"A1",Table1[[#This Row],[Previous Marks]]&gt;80,"A2",Table1[[#This Row],[Previous Marks]]&gt;70,"B1",Table1[[#This Row],[Previous Marks]]&gt;60,"B2",Table1[[#This Row],[Previous Marks]]&gt;50,"C1",Table1[[#This Row],[Previous Marks]]&gt;40,"C2")</f>
        <v>A2</v>
      </c>
      <c r="F797">
        <v>91</v>
      </c>
    </row>
    <row r="798" spans="2:6" x14ac:dyDescent="0.3">
      <c r="B798">
        <v>78</v>
      </c>
      <c r="C798" t="str" cm="1">
        <f t="array" ref="C798">_xlfn.IFS(B798&gt;90,"A1",B798&gt;80,"A2",B798&gt;70,"B1",B798&gt;60,"B2",B798&gt;50,"C1",B798&gt;40,"C2")</f>
        <v>B1</v>
      </c>
      <c r="D798">
        <v>77.598759048603924</v>
      </c>
      <c r="E798" t="str" cm="1">
        <f t="array" ref="E798">_xlfn.IFS(Table1[[#This Row],[Previous Marks]]&gt;90,"A1",Table1[[#This Row],[Previous Marks]]&gt;80,"A2",Table1[[#This Row],[Previous Marks]]&gt;70,"B1",Table1[[#This Row],[Previous Marks]]&gt;60,"B2",Table1[[#This Row],[Previous Marks]]&gt;50,"C1",Table1[[#This Row],[Previous Marks]]&gt;40,"C2")</f>
        <v>B1</v>
      </c>
      <c r="F798">
        <v>70</v>
      </c>
    </row>
    <row r="799" spans="2:6" x14ac:dyDescent="0.3">
      <c r="B799">
        <v>72</v>
      </c>
      <c r="C799" t="str" cm="1">
        <f t="array" ref="C799">_xlfn.IFS(B799&gt;90,"A1",B799&gt;80,"A2",B799&gt;70,"B1",B799&gt;60,"B2",B799&gt;50,"C1",B799&gt;40,"C2")</f>
        <v>B1</v>
      </c>
      <c r="D799">
        <v>82</v>
      </c>
      <c r="E799" t="str" cm="1">
        <f t="array" ref="E799">_xlfn.IFS(Table1[[#This Row],[Previous Marks]]&gt;90,"A1",Table1[[#This Row],[Previous Marks]]&gt;80,"A2",Table1[[#This Row],[Previous Marks]]&gt;70,"B1",Table1[[#This Row],[Previous Marks]]&gt;60,"B2",Table1[[#This Row],[Previous Marks]]&gt;50,"C1",Table1[[#This Row],[Previous Marks]]&gt;40,"C2")</f>
        <v>A2</v>
      </c>
      <c r="F799">
        <v>90</v>
      </c>
    </row>
    <row r="800" spans="2:6" x14ac:dyDescent="0.3">
      <c r="B800">
        <v>80</v>
      </c>
      <c r="C800" t="str" cm="1">
        <f t="array" ref="C800">_xlfn.IFS(B800&gt;90,"A1",B800&gt;80,"A2",B800&gt;70,"B1",B800&gt;60,"B2",B800&gt;50,"C1",B800&gt;40,"C2")</f>
        <v>B1</v>
      </c>
      <c r="D800">
        <v>78</v>
      </c>
      <c r="E800" t="str" cm="1">
        <f t="array" ref="E800">_xlfn.IFS(Table1[[#This Row],[Previous Marks]]&gt;90,"A1",Table1[[#This Row],[Previous Marks]]&gt;80,"A2",Table1[[#This Row],[Previous Marks]]&gt;70,"B1",Table1[[#This Row],[Previous Marks]]&gt;60,"B2",Table1[[#This Row],[Previous Marks]]&gt;50,"C1",Table1[[#This Row],[Previous Marks]]&gt;40,"C2")</f>
        <v>B1</v>
      </c>
      <c r="F800">
        <v>82</v>
      </c>
    </row>
    <row r="801" spans="2:6" x14ac:dyDescent="0.3">
      <c r="B801">
        <v>72</v>
      </c>
      <c r="C801" t="str" cm="1">
        <f t="array" ref="C801">_xlfn.IFS(B801&gt;90,"A1",B801&gt;80,"A2",B801&gt;70,"B1",B801&gt;60,"B2",B801&gt;50,"C1",B801&gt;40,"C2")</f>
        <v>B1</v>
      </c>
      <c r="D801">
        <v>77</v>
      </c>
      <c r="E801" t="str" cm="1">
        <f t="array" ref="E801">_xlfn.IFS(Table1[[#This Row],[Previous Marks]]&gt;90,"A1",Table1[[#This Row],[Previous Marks]]&gt;80,"A2",Table1[[#This Row],[Previous Marks]]&gt;70,"B1",Table1[[#This Row],[Previous Marks]]&gt;60,"B2",Table1[[#This Row],[Previous Marks]]&gt;50,"C1",Table1[[#This Row],[Previous Marks]]&gt;40,"C2")</f>
        <v>B1</v>
      </c>
      <c r="F801">
        <v>90</v>
      </c>
    </row>
    <row r="802" spans="2:6" x14ac:dyDescent="0.3">
      <c r="B802">
        <v>62</v>
      </c>
      <c r="C802" t="str" cm="1">
        <f t="array" ref="C802">_xlfn.IFS(B802&gt;90,"A1",B802&gt;80,"A2",B802&gt;70,"B1",B802&gt;60,"B2",B802&gt;50,"C1",B802&gt;40,"C2")</f>
        <v>B2</v>
      </c>
      <c r="D802">
        <v>77</v>
      </c>
      <c r="E802" t="str" cm="1">
        <f t="array" ref="E802">_xlfn.IFS(Table1[[#This Row],[Previous Marks]]&gt;90,"A1",Table1[[#This Row],[Previous Marks]]&gt;80,"A2",Table1[[#This Row],[Previous Marks]]&gt;70,"B1",Table1[[#This Row],[Previous Marks]]&gt;60,"B2",Table1[[#This Row],[Previous Marks]]&gt;50,"C1",Table1[[#This Row],[Previous Marks]]&gt;40,"C2")</f>
        <v>B1</v>
      </c>
      <c r="F802">
        <v>85.510416666666671</v>
      </c>
    </row>
    <row r="803" spans="2:6" x14ac:dyDescent="0.3">
      <c r="B803">
        <v>85</v>
      </c>
      <c r="C803" t="str" cm="1">
        <f t="array" ref="C803">_xlfn.IFS(B803&gt;90,"A1",B803&gt;80,"A2",B803&gt;70,"B1",B803&gt;60,"B2",B803&gt;50,"C1",B803&gt;40,"C2")</f>
        <v>A2</v>
      </c>
      <c r="D803">
        <v>90</v>
      </c>
      <c r="E803" t="str" cm="1">
        <f t="array" ref="E803">_xlfn.IFS(Table1[[#This Row],[Previous Marks]]&gt;90,"A1",Table1[[#This Row],[Previous Marks]]&gt;80,"A2",Table1[[#This Row],[Previous Marks]]&gt;70,"B1",Table1[[#This Row],[Previous Marks]]&gt;60,"B2",Table1[[#This Row],[Previous Marks]]&gt;50,"C1",Table1[[#This Row],[Previous Marks]]&gt;40,"C2")</f>
        <v>A2</v>
      </c>
      <c r="F803">
        <v>90</v>
      </c>
    </row>
    <row r="804" spans="2:6" x14ac:dyDescent="0.3">
      <c r="B804">
        <v>92</v>
      </c>
      <c r="C804" t="str" cm="1">
        <f t="array" ref="C804">_xlfn.IFS(B804&gt;90,"A1",B804&gt;80,"A2",B804&gt;70,"B1",B804&gt;60,"B2",B804&gt;50,"C1",B804&gt;40,"C2")</f>
        <v>A1</v>
      </c>
      <c r="D804">
        <v>86</v>
      </c>
      <c r="E804" t="str" cm="1">
        <f t="array" ref="E804">_xlfn.IFS(Table1[[#This Row],[Previous Marks]]&gt;90,"A1",Table1[[#This Row],[Previous Marks]]&gt;80,"A2",Table1[[#This Row],[Previous Marks]]&gt;70,"B1",Table1[[#This Row],[Previous Marks]]&gt;60,"B2",Table1[[#This Row],[Previous Marks]]&gt;50,"C1",Table1[[#This Row],[Previous Marks]]&gt;40,"C2")</f>
        <v>A2</v>
      </c>
      <c r="F804">
        <v>70</v>
      </c>
    </row>
    <row r="805" spans="2:6" x14ac:dyDescent="0.3">
      <c r="B805">
        <v>78</v>
      </c>
      <c r="C805" t="str" cm="1">
        <f t="array" ref="C805">_xlfn.IFS(B805&gt;90,"A1",B805&gt;80,"A2",B805&gt;70,"B1",B805&gt;60,"B2",B805&gt;50,"C1",B805&gt;40,"C2")</f>
        <v>B1</v>
      </c>
      <c r="D805">
        <v>85</v>
      </c>
      <c r="E805" t="str" cm="1">
        <f t="array" ref="E805">_xlfn.IFS(Table1[[#This Row],[Previous Marks]]&gt;90,"A1",Table1[[#This Row],[Previous Marks]]&gt;80,"A2",Table1[[#This Row],[Previous Marks]]&gt;70,"B1",Table1[[#This Row],[Previous Marks]]&gt;60,"B2",Table1[[#This Row],[Previous Marks]]&gt;50,"C1",Table1[[#This Row],[Previous Marks]]&gt;40,"C2")</f>
        <v>A2</v>
      </c>
      <c r="F805">
        <v>85.510416666666671</v>
      </c>
    </row>
    <row r="806" spans="2:6" x14ac:dyDescent="0.3">
      <c r="B806">
        <v>87</v>
      </c>
      <c r="C806" t="str" cm="1">
        <f t="array" ref="C806">_xlfn.IFS(B806&gt;90,"A1",B806&gt;80,"A2",B806&gt;70,"B1",B806&gt;60,"B2",B806&gt;50,"C1",B806&gt;40,"C2")</f>
        <v>A2</v>
      </c>
      <c r="D806">
        <v>60</v>
      </c>
      <c r="E806" t="str" cm="1">
        <f t="array" ref="E806">_xlfn.IFS(Table1[[#This Row],[Previous Marks]]&gt;90,"A1",Table1[[#This Row],[Previous Marks]]&gt;80,"A2",Table1[[#This Row],[Previous Marks]]&gt;70,"B1",Table1[[#This Row],[Previous Marks]]&gt;60,"B2",Table1[[#This Row],[Previous Marks]]&gt;50,"C1",Table1[[#This Row],[Previous Marks]]&gt;40,"C2")</f>
        <v>C1</v>
      </c>
      <c r="F806">
        <v>85</v>
      </c>
    </row>
    <row r="807" spans="2:6" x14ac:dyDescent="0.3">
      <c r="B807">
        <v>80</v>
      </c>
      <c r="C807" t="str" cm="1">
        <f t="array" ref="C807">_xlfn.IFS(B807&gt;90,"A1",B807&gt;80,"A2",B807&gt;70,"B1",B807&gt;60,"B2",B807&gt;50,"C1",B807&gt;40,"C2")</f>
        <v>B1</v>
      </c>
      <c r="D807">
        <v>85</v>
      </c>
      <c r="E807" t="str" cm="1">
        <f t="array" ref="E807">_xlfn.IFS(Table1[[#This Row],[Previous Marks]]&gt;90,"A1",Table1[[#This Row],[Previous Marks]]&gt;80,"A2",Table1[[#This Row],[Previous Marks]]&gt;70,"B1",Table1[[#This Row],[Previous Marks]]&gt;60,"B2",Table1[[#This Row],[Previous Marks]]&gt;50,"C1",Table1[[#This Row],[Previous Marks]]&gt;40,"C2")</f>
        <v>A2</v>
      </c>
      <c r="F807">
        <v>91</v>
      </c>
    </row>
    <row r="808" spans="2:6" x14ac:dyDescent="0.3">
      <c r="B808">
        <v>88</v>
      </c>
      <c r="C808" t="str" cm="1">
        <f t="array" ref="C808">_xlfn.IFS(B808&gt;90,"A1",B808&gt;80,"A2",B808&gt;70,"B1",B808&gt;60,"B2",B808&gt;50,"C1",B808&gt;40,"C2")</f>
        <v>A2</v>
      </c>
      <c r="D808">
        <v>90</v>
      </c>
      <c r="E808" t="str" cm="1">
        <f t="array" ref="E808">_xlfn.IFS(Table1[[#This Row],[Previous Marks]]&gt;90,"A1",Table1[[#This Row],[Previous Marks]]&gt;80,"A2",Table1[[#This Row],[Previous Marks]]&gt;70,"B1",Table1[[#This Row],[Previous Marks]]&gt;60,"B2",Table1[[#This Row],[Previous Marks]]&gt;50,"C1",Table1[[#This Row],[Previous Marks]]&gt;40,"C2")</f>
        <v>A2</v>
      </c>
      <c r="F808">
        <v>91</v>
      </c>
    </row>
    <row r="809" spans="2:6" x14ac:dyDescent="0.3">
      <c r="B809">
        <v>88</v>
      </c>
      <c r="C809" t="str" cm="1">
        <f t="array" ref="C809">_xlfn.IFS(B809&gt;90,"A1",B809&gt;80,"A2",B809&gt;70,"B1",B809&gt;60,"B2",B809&gt;50,"C1",B809&gt;40,"C2")</f>
        <v>A2</v>
      </c>
      <c r="D809">
        <v>77</v>
      </c>
      <c r="E809" t="str" cm="1">
        <f t="array" ref="E809">_xlfn.IFS(Table1[[#This Row],[Previous Marks]]&gt;90,"A1",Table1[[#This Row],[Previous Marks]]&gt;80,"A2",Table1[[#This Row],[Previous Marks]]&gt;70,"B1",Table1[[#This Row],[Previous Marks]]&gt;60,"B2",Table1[[#This Row],[Previous Marks]]&gt;50,"C1",Table1[[#This Row],[Previous Marks]]&gt;40,"C2")</f>
        <v>B1</v>
      </c>
      <c r="F809">
        <v>95</v>
      </c>
    </row>
    <row r="810" spans="2:6" x14ac:dyDescent="0.3">
      <c r="B810">
        <v>62</v>
      </c>
      <c r="C810" t="str" cm="1">
        <f t="array" ref="C810">_xlfn.IFS(B810&gt;90,"A1",B810&gt;80,"A2",B810&gt;70,"B1",B810&gt;60,"B2",B810&gt;50,"C1",B810&gt;40,"C2")</f>
        <v>B2</v>
      </c>
      <c r="D810">
        <v>70</v>
      </c>
      <c r="E810" t="str" cm="1">
        <f t="array" ref="E810">_xlfn.IFS(Table1[[#This Row],[Previous Marks]]&gt;90,"A1",Table1[[#This Row],[Previous Marks]]&gt;80,"A2",Table1[[#This Row],[Previous Marks]]&gt;70,"B1",Table1[[#This Row],[Previous Marks]]&gt;60,"B2",Table1[[#This Row],[Previous Marks]]&gt;50,"C1",Table1[[#This Row],[Previous Marks]]&gt;40,"C2")</f>
        <v>B2</v>
      </c>
      <c r="F810">
        <v>91</v>
      </c>
    </row>
    <row r="811" spans="2:6" x14ac:dyDescent="0.3">
      <c r="B811">
        <v>88</v>
      </c>
      <c r="C811" t="str" cm="1">
        <f t="array" ref="C811">_xlfn.IFS(B811&gt;90,"A1",B811&gt;80,"A2",B811&gt;70,"B1",B811&gt;60,"B2",B811&gt;50,"C1",B811&gt;40,"C2")</f>
        <v>A2</v>
      </c>
      <c r="D811">
        <v>78</v>
      </c>
      <c r="E811" t="str" cm="1">
        <f t="array" ref="E811">_xlfn.IFS(Table1[[#This Row],[Previous Marks]]&gt;90,"A1",Table1[[#This Row],[Previous Marks]]&gt;80,"A2",Table1[[#This Row],[Previous Marks]]&gt;70,"B1",Table1[[#This Row],[Previous Marks]]&gt;60,"B2",Table1[[#This Row],[Previous Marks]]&gt;50,"C1",Table1[[#This Row],[Previous Marks]]&gt;40,"C2")</f>
        <v>B1</v>
      </c>
      <c r="F811">
        <v>85.510416666666671</v>
      </c>
    </row>
    <row r="812" spans="2:6" x14ac:dyDescent="0.3">
      <c r="B812">
        <v>85</v>
      </c>
      <c r="C812" t="str" cm="1">
        <f t="array" ref="C812">_xlfn.IFS(B812&gt;90,"A1",B812&gt;80,"A2",B812&gt;70,"B1",B812&gt;60,"B2",B812&gt;50,"C1",B812&gt;40,"C2")</f>
        <v>A2</v>
      </c>
      <c r="D812">
        <v>82</v>
      </c>
      <c r="E812" t="str" cm="1">
        <f t="array" ref="E812">_xlfn.IFS(Table1[[#This Row],[Previous Marks]]&gt;90,"A1",Table1[[#This Row],[Previous Marks]]&gt;80,"A2",Table1[[#This Row],[Previous Marks]]&gt;70,"B1",Table1[[#This Row],[Previous Marks]]&gt;60,"B2",Table1[[#This Row],[Previous Marks]]&gt;50,"C1",Table1[[#This Row],[Previous Marks]]&gt;40,"C2")</f>
        <v>A2</v>
      </c>
      <c r="F812">
        <v>78</v>
      </c>
    </row>
    <row r="813" spans="2:6" x14ac:dyDescent="0.3">
      <c r="B813">
        <v>92</v>
      </c>
      <c r="C813" t="str" cm="1">
        <f t="array" ref="C813">_xlfn.IFS(B813&gt;90,"A1",B813&gt;80,"A2",B813&gt;70,"B1",B813&gt;60,"B2",B813&gt;50,"C1",B813&gt;40,"C2")</f>
        <v>A1</v>
      </c>
      <c r="D813">
        <v>78</v>
      </c>
      <c r="E813" t="str" cm="1">
        <f t="array" ref="E813">_xlfn.IFS(Table1[[#This Row],[Previous Marks]]&gt;90,"A1",Table1[[#This Row],[Previous Marks]]&gt;80,"A2",Table1[[#This Row],[Previous Marks]]&gt;70,"B1",Table1[[#This Row],[Previous Marks]]&gt;60,"B2",Table1[[#This Row],[Previous Marks]]&gt;50,"C1",Table1[[#This Row],[Previous Marks]]&gt;40,"C2")</f>
        <v>B1</v>
      </c>
      <c r="F813">
        <v>82</v>
      </c>
    </row>
    <row r="814" spans="2:6" x14ac:dyDescent="0.3">
      <c r="B814">
        <v>90</v>
      </c>
      <c r="C814" t="str" cm="1">
        <f t="array" ref="C814">_xlfn.IFS(B814&gt;90,"A1",B814&gt;80,"A2",B814&gt;70,"B1",B814&gt;60,"B2",B814&gt;50,"C1",B814&gt;40,"C2")</f>
        <v>A2</v>
      </c>
      <c r="D814">
        <v>77</v>
      </c>
      <c r="E814" t="str" cm="1">
        <f t="array" ref="E814">_xlfn.IFS(Table1[[#This Row],[Previous Marks]]&gt;90,"A1",Table1[[#This Row],[Previous Marks]]&gt;80,"A2",Table1[[#This Row],[Previous Marks]]&gt;70,"B1",Table1[[#This Row],[Previous Marks]]&gt;60,"B2",Table1[[#This Row],[Previous Marks]]&gt;50,"C1",Table1[[#This Row],[Previous Marks]]&gt;40,"C2")</f>
        <v>B1</v>
      </c>
      <c r="F814">
        <v>92</v>
      </c>
    </row>
    <row r="815" spans="2:6" x14ac:dyDescent="0.3">
      <c r="B815">
        <v>78</v>
      </c>
      <c r="C815" t="str" cm="1">
        <f t="array" ref="C815">_xlfn.IFS(B815&gt;90,"A1",B815&gt;80,"A2",B815&gt;70,"B1",B815&gt;60,"B2",B815&gt;50,"C1",B815&gt;40,"C2")</f>
        <v>B1</v>
      </c>
      <c r="D815">
        <v>85</v>
      </c>
      <c r="E815" t="str" cm="1">
        <f t="array" ref="E815">_xlfn.IFS(Table1[[#This Row],[Previous Marks]]&gt;90,"A1",Table1[[#This Row],[Previous Marks]]&gt;80,"A2",Table1[[#This Row],[Previous Marks]]&gt;70,"B1",Table1[[#This Row],[Previous Marks]]&gt;60,"B2",Table1[[#This Row],[Previous Marks]]&gt;50,"C1",Table1[[#This Row],[Previous Marks]]&gt;40,"C2")</f>
        <v>A2</v>
      </c>
      <c r="F815">
        <v>95</v>
      </c>
    </row>
    <row r="816" spans="2:6" x14ac:dyDescent="0.3">
      <c r="B816">
        <v>90</v>
      </c>
      <c r="C816" t="str" cm="1">
        <f t="array" ref="C816">_xlfn.IFS(B816&gt;90,"A1",B816&gt;80,"A2",B816&gt;70,"B1",B816&gt;60,"B2",B816&gt;50,"C1",B816&gt;40,"C2")</f>
        <v>A2</v>
      </c>
      <c r="D816">
        <v>90</v>
      </c>
      <c r="E816" t="str" cm="1">
        <f t="array" ref="E816">_xlfn.IFS(Table1[[#This Row],[Previous Marks]]&gt;90,"A1",Table1[[#This Row],[Previous Marks]]&gt;80,"A2",Table1[[#This Row],[Previous Marks]]&gt;70,"B1",Table1[[#This Row],[Previous Marks]]&gt;60,"B2",Table1[[#This Row],[Previous Marks]]&gt;50,"C1",Table1[[#This Row],[Previous Marks]]&gt;40,"C2")</f>
        <v>A2</v>
      </c>
      <c r="F816">
        <v>85.510416666666671</v>
      </c>
    </row>
    <row r="817" spans="2:6" x14ac:dyDescent="0.3">
      <c r="B817">
        <v>80</v>
      </c>
      <c r="C817" t="str" cm="1">
        <f t="array" ref="C817">_xlfn.IFS(B817&gt;90,"A1",B817&gt;80,"A2",B817&gt;70,"B1",B817&gt;60,"B2",B817&gt;50,"C1",B817&gt;40,"C2")</f>
        <v>B1</v>
      </c>
      <c r="D817">
        <v>78</v>
      </c>
      <c r="E817" t="str" cm="1">
        <f t="array" ref="E817">_xlfn.IFS(Table1[[#This Row],[Previous Marks]]&gt;90,"A1",Table1[[#This Row],[Previous Marks]]&gt;80,"A2",Table1[[#This Row],[Previous Marks]]&gt;70,"B1",Table1[[#This Row],[Previous Marks]]&gt;60,"B2",Table1[[#This Row],[Previous Marks]]&gt;50,"C1",Table1[[#This Row],[Previous Marks]]&gt;40,"C2")</f>
        <v>B1</v>
      </c>
      <c r="F817">
        <v>85</v>
      </c>
    </row>
    <row r="818" spans="2:6" x14ac:dyDescent="0.3">
      <c r="B818">
        <v>92</v>
      </c>
      <c r="C818" t="str" cm="1">
        <f t="array" ref="C818">_xlfn.IFS(B818&gt;90,"A1",B818&gt;80,"A2",B818&gt;70,"B1",B818&gt;60,"B2",B818&gt;50,"C1",B818&gt;40,"C2")</f>
        <v>A1</v>
      </c>
      <c r="D818">
        <v>78</v>
      </c>
      <c r="E818" t="str" cm="1">
        <f t="array" ref="E818">_xlfn.IFS(Table1[[#This Row],[Previous Marks]]&gt;90,"A1",Table1[[#This Row],[Previous Marks]]&gt;80,"A2",Table1[[#This Row],[Previous Marks]]&gt;70,"B1",Table1[[#This Row],[Previous Marks]]&gt;60,"B2",Table1[[#This Row],[Previous Marks]]&gt;50,"C1",Table1[[#This Row],[Previous Marks]]&gt;40,"C2")</f>
        <v>B1</v>
      </c>
      <c r="F818">
        <v>91</v>
      </c>
    </row>
    <row r="819" spans="2:6" x14ac:dyDescent="0.3">
      <c r="B819">
        <v>68</v>
      </c>
      <c r="C819" t="str" cm="1">
        <f t="array" ref="C819">_xlfn.IFS(B819&gt;90,"A1",B819&gt;80,"A2",B819&gt;70,"B1",B819&gt;60,"B2",B819&gt;50,"C1",B819&gt;40,"C2")</f>
        <v>B2</v>
      </c>
      <c r="D819">
        <v>65</v>
      </c>
      <c r="E819" t="str" cm="1">
        <f t="array" ref="E819">_xlfn.IFS(Table1[[#This Row],[Previous Marks]]&gt;90,"A1",Table1[[#This Row],[Previous Marks]]&gt;80,"A2",Table1[[#This Row],[Previous Marks]]&gt;70,"B1",Table1[[#This Row],[Previous Marks]]&gt;60,"B2",Table1[[#This Row],[Previous Marks]]&gt;50,"C1",Table1[[#This Row],[Previous Marks]]&gt;40,"C2")</f>
        <v>B2</v>
      </c>
      <c r="F819">
        <v>82</v>
      </c>
    </row>
    <row r="820" spans="2:6" x14ac:dyDescent="0.3">
      <c r="B820">
        <v>92</v>
      </c>
      <c r="C820" t="str" cm="1">
        <f t="array" ref="C820">_xlfn.IFS(B820&gt;90,"A1",B820&gt;80,"A2",B820&gt;70,"B1",B820&gt;60,"B2",B820&gt;50,"C1",B820&gt;40,"C2")</f>
        <v>A1</v>
      </c>
      <c r="D820">
        <v>90</v>
      </c>
      <c r="E820" t="str" cm="1">
        <f t="array" ref="E820">_xlfn.IFS(Table1[[#This Row],[Previous Marks]]&gt;90,"A1",Table1[[#This Row],[Previous Marks]]&gt;80,"A2",Table1[[#This Row],[Previous Marks]]&gt;70,"B1",Table1[[#This Row],[Previous Marks]]&gt;60,"B2",Table1[[#This Row],[Previous Marks]]&gt;50,"C1",Table1[[#This Row],[Previous Marks]]&gt;40,"C2")</f>
        <v>A2</v>
      </c>
      <c r="F820">
        <v>90</v>
      </c>
    </row>
    <row r="821" spans="2:6" x14ac:dyDescent="0.3">
      <c r="B821">
        <v>92</v>
      </c>
      <c r="C821" t="str" cm="1">
        <f t="array" ref="C821">_xlfn.IFS(B821&gt;90,"A1",B821&gt;80,"A2",B821&gt;70,"B1",B821&gt;60,"B2",B821&gt;50,"C1",B821&gt;40,"C2")</f>
        <v>A1</v>
      </c>
      <c r="D821">
        <v>65</v>
      </c>
      <c r="E821" t="str" cm="1">
        <f t="array" ref="E821">_xlfn.IFS(Table1[[#This Row],[Previous Marks]]&gt;90,"A1",Table1[[#This Row],[Previous Marks]]&gt;80,"A2",Table1[[#This Row],[Previous Marks]]&gt;70,"B1",Table1[[#This Row],[Previous Marks]]&gt;60,"B2",Table1[[#This Row],[Previous Marks]]&gt;50,"C1",Table1[[#This Row],[Previous Marks]]&gt;40,"C2")</f>
        <v>B2</v>
      </c>
      <c r="F821">
        <v>90</v>
      </c>
    </row>
    <row r="822" spans="2:6" x14ac:dyDescent="0.3">
      <c r="B822">
        <v>72</v>
      </c>
      <c r="C822" t="str" cm="1">
        <f t="array" ref="C822">_xlfn.IFS(B822&gt;90,"A1",B822&gt;80,"A2",B822&gt;70,"B1",B822&gt;60,"B2",B822&gt;50,"C1",B822&gt;40,"C2")</f>
        <v>B1</v>
      </c>
      <c r="D822">
        <v>86</v>
      </c>
      <c r="E822" t="str" cm="1">
        <f t="array" ref="E822">_xlfn.IFS(Table1[[#This Row],[Previous Marks]]&gt;90,"A1",Table1[[#This Row],[Previous Marks]]&gt;80,"A2",Table1[[#This Row],[Previous Marks]]&gt;70,"B1",Table1[[#This Row],[Previous Marks]]&gt;60,"B2",Table1[[#This Row],[Previous Marks]]&gt;50,"C1",Table1[[#This Row],[Previous Marks]]&gt;40,"C2")</f>
        <v>A2</v>
      </c>
      <c r="F822">
        <v>92</v>
      </c>
    </row>
    <row r="823" spans="2:6" x14ac:dyDescent="0.3">
      <c r="B823">
        <v>92</v>
      </c>
      <c r="C823" t="str" cm="1">
        <f t="array" ref="C823">_xlfn.IFS(B823&gt;90,"A1",B823&gt;80,"A2",B823&gt;70,"B1",B823&gt;60,"B2",B823&gt;50,"C1",B823&gt;40,"C2")</f>
        <v>A1</v>
      </c>
      <c r="D823">
        <v>70</v>
      </c>
      <c r="E823" t="str" cm="1">
        <f t="array" ref="E823">_xlfn.IFS(Table1[[#This Row],[Previous Marks]]&gt;90,"A1",Table1[[#This Row],[Previous Marks]]&gt;80,"A2",Table1[[#This Row],[Previous Marks]]&gt;70,"B1",Table1[[#This Row],[Previous Marks]]&gt;60,"B2",Table1[[#This Row],[Previous Marks]]&gt;50,"C1",Table1[[#This Row],[Previous Marks]]&gt;40,"C2")</f>
        <v>B2</v>
      </c>
      <c r="F823">
        <v>88</v>
      </c>
    </row>
    <row r="824" spans="2:6" x14ac:dyDescent="0.3">
      <c r="B824">
        <v>72</v>
      </c>
      <c r="C824" t="str" cm="1">
        <f t="array" ref="C824">_xlfn.IFS(B824&gt;90,"A1",B824&gt;80,"A2",B824&gt;70,"B1",B824&gt;60,"B2",B824&gt;50,"C1",B824&gt;40,"C2")</f>
        <v>B1</v>
      </c>
      <c r="D824">
        <v>70</v>
      </c>
      <c r="E824" t="str" cm="1">
        <f t="array" ref="E824">_xlfn.IFS(Table1[[#This Row],[Previous Marks]]&gt;90,"A1",Table1[[#This Row],[Previous Marks]]&gt;80,"A2",Table1[[#This Row],[Previous Marks]]&gt;70,"B1",Table1[[#This Row],[Previous Marks]]&gt;60,"B2",Table1[[#This Row],[Previous Marks]]&gt;50,"C1",Table1[[#This Row],[Previous Marks]]&gt;40,"C2")</f>
        <v>B2</v>
      </c>
      <c r="F824">
        <v>82</v>
      </c>
    </row>
    <row r="825" spans="2:6" x14ac:dyDescent="0.3">
      <c r="B825">
        <v>88</v>
      </c>
      <c r="C825" t="str" cm="1">
        <f t="array" ref="C825">_xlfn.IFS(B825&gt;90,"A1",B825&gt;80,"A2",B825&gt;70,"B1",B825&gt;60,"B2",B825&gt;50,"C1",B825&gt;40,"C2")</f>
        <v>A2</v>
      </c>
      <c r="D825">
        <v>82</v>
      </c>
      <c r="E825" t="str" cm="1">
        <f t="array" ref="E825">_xlfn.IFS(Table1[[#This Row],[Previous Marks]]&gt;90,"A1",Table1[[#This Row],[Previous Marks]]&gt;80,"A2",Table1[[#This Row],[Previous Marks]]&gt;70,"B1",Table1[[#This Row],[Previous Marks]]&gt;60,"B2",Table1[[#This Row],[Previous Marks]]&gt;50,"C1",Table1[[#This Row],[Previous Marks]]&gt;40,"C2")</f>
        <v>A2</v>
      </c>
      <c r="F825">
        <v>85</v>
      </c>
    </row>
    <row r="826" spans="2:6" x14ac:dyDescent="0.3">
      <c r="B826">
        <v>62</v>
      </c>
      <c r="C826" t="str" cm="1">
        <f t="array" ref="C826">_xlfn.IFS(B826&gt;90,"A1",B826&gt;80,"A2",B826&gt;70,"B1",B826&gt;60,"B2",B826&gt;50,"C1",B826&gt;40,"C2")</f>
        <v>B2</v>
      </c>
      <c r="D826">
        <v>90</v>
      </c>
      <c r="E826" t="str" cm="1">
        <f t="array" ref="E826">_xlfn.IFS(Table1[[#This Row],[Previous Marks]]&gt;90,"A1",Table1[[#This Row],[Previous Marks]]&gt;80,"A2",Table1[[#This Row],[Previous Marks]]&gt;70,"B1",Table1[[#This Row],[Previous Marks]]&gt;60,"B2",Table1[[#This Row],[Previous Marks]]&gt;50,"C1",Table1[[#This Row],[Previous Marks]]&gt;40,"C2")</f>
        <v>A2</v>
      </c>
      <c r="F826">
        <v>92</v>
      </c>
    </row>
    <row r="827" spans="2:6" x14ac:dyDescent="0.3">
      <c r="B827">
        <v>92</v>
      </c>
      <c r="C827" t="str" cm="1">
        <f t="array" ref="C827">_xlfn.IFS(B827&gt;90,"A1",B827&gt;80,"A2",B827&gt;70,"B1",B827&gt;60,"B2",B827&gt;50,"C1",B827&gt;40,"C2")</f>
        <v>A1</v>
      </c>
      <c r="D827">
        <v>77</v>
      </c>
      <c r="E827" t="str" cm="1">
        <f t="array" ref="E827">_xlfn.IFS(Table1[[#This Row],[Previous Marks]]&gt;90,"A1",Table1[[#This Row],[Previous Marks]]&gt;80,"A2",Table1[[#This Row],[Previous Marks]]&gt;70,"B1",Table1[[#This Row],[Previous Marks]]&gt;60,"B2",Table1[[#This Row],[Previous Marks]]&gt;50,"C1",Table1[[#This Row],[Previous Marks]]&gt;40,"C2")</f>
        <v>B1</v>
      </c>
      <c r="F827">
        <v>90</v>
      </c>
    </row>
    <row r="828" spans="2:6" x14ac:dyDescent="0.3">
      <c r="B828">
        <v>90</v>
      </c>
      <c r="C828" t="str" cm="1">
        <f t="array" ref="C828">_xlfn.IFS(B828&gt;90,"A1",B828&gt;80,"A2",B828&gt;70,"B1",B828&gt;60,"B2",B828&gt;50,"C1",B828&gt;40,"C2")</f>
        <v>A2</v>
      </c>
      <c r="D828">
        <v>60</v>
      </c>
      <c r="E828" t="str" cm="1">
        <f t="array" ref="E828">_xlfn.IFS(Table1[[#This Row],[Previous Marks]]&gt;90,"A1",Table1[[#This Row],[Previous Marks]]&gt;80,"A2",Table1[[#This Row],[Previous Marks]]&gt;70,"B1",Table1[[#This Row],[Previous Marks]]&gt;60,"B2",Table1[[#This Row],[Previous Marks]]&gt;50,"C1",Table1[[#This Row],[Previous Marks]]&gt;40,"C2")</f>
        <v>C1</v>
      </c>
      <c r="F828">
        <v>85</v>
      </c>
    </row>
    <row r="829" spans="2:6" x14ac:dyDescent="0.3">
      <c r="B829">
        <v>72</v>
      </c>
      <c r="C829" t="str" cm="1">
        <f t="array" ref="C829">_xlfn.IFS(B829&gt;90,"A1",B829&gt;80,"A2",B829&gt;70,"B1",B829&gt;60,"B2",B829&gt;50,"C1",B829&gt;40,"C2")</f>
        <v>B1</v>
      </c>
      <c r="D829">
        <v>88</v>
      </c>
      <c r="E829" t="str" cm="1">
        <f t="array" ref="E829">_xlfn.IFS(Table1[[#This Row],[Previous Marks]]&gt;90,"A1",Table1[[#This Row],[Previous Marks]]&gt;80,"A2",Table1[[#This Row],[Previous Marks]]&gt;70,"B1",Table1[[#This Row],[Previous Marks]]&gt;60,"B2",Table1[[#This Row],[Previous Marks]]&gt;50,"C1",Table1[[#This Row],[Previous Marks]]&gt;40,"C2")</f>
        <v>A2</v>
      </c>
      <c r="F829">
        <v>88</v>
      </c>
    </row>
    <row r="830" spans="2:6" x14ac:dyDescent="0.3">
      <c r="B830">
        <v>72</v>
      </c>
      <c r="C830" t="str" cm="1">
        <f t="array" ref="C830">_xlfn.IFS(B830&gt;90,"A1",B830&gt;80,"A2",B830&gt;70,"B1",B830&gt;60,"B2",B830&gt;50,"C1",B830&gt;40,"C2")</f>
        <v>B1</v>
      </c>
      <c r="D830">
        <v>85</v>
      </c>
      <c r="E830" t="str" cm="1">
        <f t="array" ref="E830">_xlfn.IFS(Table1[[#This Row],[Previous Marks]]&gt;90,"A1",Table1[[#This Row],[Previous Marks]]&gt;80,"A2",Table1[[#This Row],[Previous Marks]]&gt;70,"B1",Table1[[#This Row],[Previous Marks]]&gt;60,"B2",Table1[[#This Row],[Previous Marks]]&gt;50,"C1",Table1[[#This Row],[Previous Marks]]&gt;40,"C2")</f>
        <v>A2</v>
      </c>
      <c r="F830">
        <v>90</v>
      </c>
    </row>
    <row r="831" spans="2:6" x14ac:dyDescent="0.3">
      <c r="B831">
        <v>72</v>
      </c>
      <c r="C831" t="str" cm="1">
        <f t="array" ref="C831">_xlfn.IFS(B831&gt;90,"A1",B831&gt;80,"A2",B831&gt;70,"B1",B831&gt;60,"B2",B831&gt;50,"C1",B831&gt;40,"C2")</f>
        <v>B1</v>
      </c>
      <c r="D831">
        <v>86</v>
      </c>
      <c r="E831" t="str" cm="1">
        <f t="array" ref="E831">_xlfn.IFS(Table1[[#This Row],[Previous Marks]]&gt;90,"A1",Table1[[#This Row],[Previous Marks]]&gt;80,"A2",Table1[[#This Row],[Previous Marks]]&gt;70,"B1",Table1[[#This Row],[Previous Marks]]&gt;60,"B2",Table1[[#This Row],[Previous Marks]]&gt;50,"C1",Table1[[#This Row],[Previous Marks]]&gt;40,"C2")</f>
        <v>A2</v>
      </c>
      <c r="F831">
        <v>88</v>
      </c>
    </row>
    <row r="832" spans="2:6" x14ac:dyDescent="0.3">
      <c r="B832">
        <v>72</v>
      </c>
      <c r="C832" t="str" cm="1">
        <f t="array" ref="C832">_xlfn.IFS(B832&gt;90,"A1",B832&gt;80,"A2",B832&gt;70,"B1",B832&gt;60,"B2",B832&gt;50,"C1",B832&gt;40,"C2")</f>
        <v>B1</v>
      </c>
      <c r="D832">
        <v>86</v>
      </c>
      <c r="E832" t="str" cm="1">
        <f t="array" ref="E832">_xlfn.IFS(Table1[[#This Row],[Previous Marks]]&gt;90,"A1",Table1[[#This Row],[Previous Marks]]&gt;80,"A2",Table1[[#This Row],[Previous Marks]]&gt;70,"B1",Table1[[#This Row],[Previous Marks]]&gt;60,"B2",Table1[[#This Row],[Previous Marks]]&gt;50,"C1",Table1[[#This Row],[Previous Marks]]&gt;40,"C2")</f>
        <v>A2</v>
      </c>
      <c r="F832">
        <v>70</v>
      </c>
    </row>
    <row r="833" spans="2:6" x14ac:dyDescent="0.3">
      <c r="B833">
        <v>72</v>
      </c>
      <c r="C833" t="str" cm="1">
        <f t="array" ref="C833">_xlfn.IFS(B833&gt;90,"A1",B833&gt;80,"A2",B833&gt;70,"B1",B833&gt;60,"B2",B833&gt;50,"C1",B833&gt;40,"C2")</f>
        <v>B1</v>
      </c>
      <c r="D833">
        <v>90</v>
      </c>
      <c r="E833" t="str" cm="1">
        <f t="array" ref="E833">_xlfn.IFS(Table1[[#This Row],[Previous Marks]]&gt;90,"A1",Table1[[#This Row],[Previous Marks]]&gt;80,"A2",Table1[[#This Row],[Previous Marks]]&gt;70,"B1",Table1[[#This Row],[Previous Marks]]&gt;60,"B2",Table1[[#This Row],[Previous Marks]]&gt;50,"C1",Table1[[#This Row],[Previous Marks]]&gt;40,"C2")</f>
        <v>A2</v>
      </c>
      <c r="F833">
        <v>92</v>
      </c>
    </row>
    <row r="834" spans="2:6" x14ac:dyDescent="0.3">
      <c r="B834">
        <v>78</v>
      </c>
      <c r="C834" t="str" cm="1">
        <f t="array" ref="C834">_xlfn.IFS(B834&gt;90,"A1",B834&gt;80,"A2",B834&gt;70,"B1",B834&gt;60,"B2",B834&gt;50,"C1",B834&gt;40,"C2")</f>
        <v>B1</v>
      </c>
      <c r="D834">
        <v>60</v>
      </c>
      <c r="E834" t="str" cm="1">
        <f t="array" ref="E834">_xlfn.IFS(Table1[[#This Row],[Previous Marks]]&gt;90,"A1",Table1[[#This Row],[Previous Marks]]&gt;80,"A2",Table1[[#This Row],[Previous Marks]]&gt;70,"B1",Table1[[#This Row],[Previous Marks]]&gt;60,"B2",Table1[[#This Row],[Previous Marks]]&gt;50,"C1",Table1[[#This Row],[Previous Marks]]&gt;40,"C2")</f>
        <v>C1</v>
      </c>
      <c r="F834">
        <v>95</v>
      </c>
    </row>
    <row r="835" spans="2:6" x14ac:dyDescent="0.3">
      <c r="B835">
        <v>90</v>
      </c>
      <c r="C835" t="str" cm="1">
        <f t="array" ref="C835">_xlfn.IFS(B835&gt;90,"A1",B835&gt;80,"A2",B835&gt;70,"B1",B835&gt;60,"B2",B835&gt;50,"C1",B835&gt;40,"C2")</f>
        <v>A2</v>
      </c>
      <c r="D835">
        <v>82</v>
      </c>
      <c r="E835" t="str" cm="1">
        <f t="array" ref="E835">_xlfn.IFS(Table1[[#This Row],[Previous Marks]]&gt;90,"A1",Table1[[#This Row],[Previous Marks]]&gt;80,"A2",Table1[[#This Row],[Previous Marks]]&gt;70,"B1",Table1[[#This Row],[Previous Marks]]&gt;60,"B2",Table1[[#This Row],[Previous Marks]]&gt;50,"C1",Table1[[#This Row],[Previous Marks]]&gt;40,"C2")</f>
        <v>A2</v>
      </c>
      <c r="F835">
        <v>91</v>
      </c>
    </row>
    <row r="836" spans="2:6" x14ac:dyDescent="0.3">
      <c r="B836">
        <v>68</v>
      </c>
      <c r="C836" t="str" cm="1">
        <f t="array" ref="C836">_xlfn.IFS(B836&gt;90,"A1",B836&gt;80,"A2",B836&gt;70,"B1",B836&gt;60,"B2",B836&gt;50,"C1",B836&gt;40,"C2")</f>
        <v>B2</v>
      </c>
      <c r="D836">
        <v>78</v>
      </c>
      <c r="E836" t="str" cm="1">
        <f t="array" ref="E836">_xlfn.IFS(Table1[[#This Row],[Previous Marks]]&gt;90,"A1",Table1[[#This Row],[Previous Marks]]&gt;80,"A2",Table1[[#This Row],[Previous Marks]]&gt;70,"B1",Table1[[#This Row],[Previous Marks]]&gt;60,"B2",Table1[[#This Row],[Previous Marks]]&gt;50,"C1",Table1[[#This Row],[Previous Marks]]&gt;40,"C2")</f>
        <v>B1</v>
      </c>
      <c r="F836">
        <v>95</v>
      </c>
    </row>
    <row r="837" spans="2:6" x14ac:dyDescent="0.3">
      <c r="B837">
        <v>78</v>
      </c>
      <c r="C837" t="str" cm="1">
        <f t="array" ref="C837">_xlfn.IFS(B837&gt;90,"A1",B837&gt;80,"A2",B837&gt;70,"B1",B837&gt;60,"B2",B837&gt;50,"C1",B837&gt;40,"C2")</f>
        <v>B1</v>
      </c>
      <c r="D837">
        <v>70</v>
      </c>
      <c r="E837" t="str" cm="1">
        <f t="array" ref="E837">_xlfn.IFS(Table1[[#This Row],[Previous Marks]]&gt;90,"A1",Table1[[#This Row],[Previous Marks]]&gt;80,"A2",Table1[[#This Row],[Previous Marks]]&gt;70,"B1",Table1[[#This Row],[Previous Marks]]&gt;60,"B2",Table1[[#This Row],[Previous Marks]]&gt;50,"C1",Table1[[#This Row],[Previous Marks]]&gt;40,"C2")</f>
        <v>B2</v>
      </c>
      <c r="F837">
        <v>70</v>
      </c>
    </row>
    <row r="838" spans="2:6" x14ac:dyDescent="0.3">
      <c r="B838">
        <v>88</v>
      </c>
      <c r="C838" t="str" cm="1">
        <f t="array" ref="C838">_xlfn.IFS(B838&gt;90,"A1",B838&gt;80,"A2",B838&gt;70,"B1",B838&gt;60,"B2",B838&gt;50,"C1",B838&gt;40,"C2")</f>
        <v>A2</v>
      </c>
      <c r="D838">
        <v>70</v>
      </c>
      <c r="E838" t="str" cm="1">
        <f t="array" ref="E838">_xlfn.IFS(Table1[[#This Row],[Previous Marks]]&gt;90,"A1",Table1[[#This Row],[Previous Marks]]&gt;80,"A2",Table1[[#This Row],[Previous Marks]]&gt;70,"B1",Table1[[#This Row],[Previous Marks]]&gt;60,"B2",Table1[[#This Row],[Previous Marks]]&gt;50,"C1",Table1[[#This Row],[Previous Marks]]&gt;40,"C2")</f>
        <v>B2</v>
      </c>
      <c r="F838">
        <v>85.510416666666671</v>
      </c>
    </row>
    <row r="839" spans="2:6" x14ac:dyDescent="0.3">
      <c r="B839">
        <v>72</v>
      </c>
      <c r="C839" t="str" cm="1">
        <f t="array" ref="C839">_xlfn.IFS(B839&gt;90,"A1",B839&gt;80,"A2",B839&gt;70,"B1",B839&gt;60,"B2",B839&gt;50,"C1",B839&gt;40,"C2")</f>
        <v>B1</v>
      </c>
      <c r="D839">
        <v>90</v>
      </c>
      <c r="E839" t="str" cm="1">
        <f t="array" ref="E839">_xlfn.IFS(Table1[[#This Row],[Previous Marks]]&gt;90,"A1",Table1[[#This Row],[Previous Marks]]&gt;80,"A2",Table1[[#This Row],[Previous Marks]]&gt;70,"B1",Table1[[#This Row],[Previous Marks]]&gt;60,"B2",Table1[[#This Row],[Previous Marks]]&gt;50,"C1",Table1[[#This Row],[Previous Marks]]&gt;40,"C2")</f>
        <v>A2</v>
      </c>
      <c r="F839">
        <v>88</v>
      </c>
    </row>
    <row r="840" spans="2:6" x14ac:dyDescent="0.3">
      <c r="B840">
        <v>87</v>
      </c>
      <c r="C840" t="str" cm="1">
        <f t="array" ref="C840">_xlfn.IFS(B840&gt;90,"A1",B840&gt;80,"A2",B840&gt;70,"B1",B840&gt;60,"B2",B840&gt;50,"C1",B840&gt;40,"C2")</f>
        <v>A2</v>
      </c>
      <c r="D840">
        <v>60</v>
      </c>
      <c r="E840" t="str" cm="1">
        <f t="array" ref="E840">_xlfn.IFS(Table1[[#This Row],[Previous Marks]]&gt;90,"A1",Table1[[#This Row],[Previous Marks]]&gt;80,"A2",Table1[[#This Row],[Previous Marks]]&gt;70,"B1",Table1[[#This Row],[Previous Marks]]&gt;60,"B2",Table1[[#This Row],[Previous Marks]]&gt;50,"C1",Table1[[#This Row],[Previous Marks]]&gt;40,"C2")</f>
        <v>C1</v>
      </c>
      <c r="F840">
        <v>78</v>
      </c>
    </row>
    <row r="841" spans="2:6" x14ac:dyDescent="0.3">
      <c r="B841">
        <v>78</v>
      </c>
      <c r="C841" t="str" cm="1">
        <f t="array" ref="C841">_xlfn.IFS(B841&gt;90,"A1",B841&gt;80,"A2",B841&gt;70,"B1",B841&gt;60,"B2",B841&gt;50,"C1",B841&gt;40,"C2")</f>
        <v>B1</v>
      </c>
      <c r="D841">
        <v>90</v>
      </c>
      <c r="E841" t="str" cm="1">
        <f t="array" ref="E841">_xlfn.IFS(Table1[[#This Row],[Previous Marks]]&gt;90,"A1",Table1[[#This Row],[Previous Marks]]&gt;80,"A2",Table1[[#This Row],[Previous Marks]]&gt;70,"B1",Table1[[#This Row],[Previous Marks]]&gt;60,"B2",Table1[[#This Row],[Previous Marks]]&gt;50,"C1",Table1[[#This Row],[Previous Marks]]&gt;40,"C2")</f>
        <v>A2</v>
      </c>
      <c r="F841">
        <v>85.510416666666671</v>
      </c>
    </row>
    <row r="842" spans="2:6" x14ac:dyDescent="0.3">
      <c r="B842">
        <v>87</v>
      </c>
      <c r="C842" t="str" cm="1">
        <f t="array" ref="C842">_xlfn.IFS(B842&gt;90,"A1",B842&gt;80,"A2",B842&gt;70,"B1",B842&gt;60,"B2",B842&gt;50,"C1",B842&gt;40,"C2")</f>
        <v>A2</v>
      </c>
      <c r="D842">
        <v>78</v>
      </c>
      <c r="E842" t="str" cm="1">
        <f t="array" ref="E842">_xlfn.IFS(Table1[[#This Row],[Previous Marks]]&gt;90,"A1",Table1[[#This Row],[Previous Marks]]&gt;80,"A2",Table1[[#This Row],[Previous Marks]]&gt;70,"B1",Table1[[#This Row],[Previous Marks]]&gt;60,"B2",Table1[[#This Row],[Previous Marks]]&gt;50,"C1",Table1[[#This Row],[Previous Marks]]&gt;40,"C2")</f>
        <v>B1</v>
      </c>
      <c r="F842">
        <v>88</v>
      </c>
    </row>
    <row r="843" spans="2:6" x14ac:dyDescent="0.3">
      <c r="B843">
        <v>80</v>
      </c>
      <c r="C843" t="str" cm="1">
        <f t="array" ref="C843">_xlfn.IFS(B843&gt;90,"A1",B843&gt;80,"A2",B843&gt;70,"B1",B843&gt;60,"B2",B843&gt;50,"C1",B843&gt;40,"C2")</f>
        <v>B1</v>
      </c>
      <c r="D843">
        <v>77</v>
      </c>
      <c r="E843" t="str" cm="1">
        <f t="array" ref="E843">_xlfn.IFS(Table1[[#This Row],[Previous Marks]]&gt;90,"A1",Table1[[#This Row],[Previous Marks]]&gt;80,"A2",Table1[[#This Row],[Previous Marks]]&gt;70,"B1",Table1[[#This Row],[Previous Marks]]&gt;60,"B2",Table1[[#This Row],[Previous Marks]]&gt;50,"C1",Table1[[#This Row],[Previous Marks]]&gt;40,"C2")</f>
        <v>B1</v>
      </c>
      <c r="F843">
        <v>91</v>
      </c>
    </row>
    <row r="844" spans="2:6" x14ac:dyDescent="0.3">
      <c r="B844">
        <v>68</v>
      </c>
      <c r="C844" t="str" cm="1">
        <f t="array" ref="C844">_xlfn.IFS(B844&gt;90,"A1",B844&gt;80,"A2",B844&gt;70,"B1",B844&gt;60,"B2",B844&gt;50,"C1",B844&gt;40,"C2")</f>
        <v>B2</v>
      </c>
      <c r="D844">
        <v>65</v>
      </c>
      <c r="E844" t="str" cm="1">
        <f t="array" ref="E844">_xlfn.IFS(Table1[[#This Row],[Previous Marks]]&gt;90,"A1",Table1[[#This Row],[Previous Marks]]&gt;80,"A2",Table1[[#This Row],[Previous Marks]]&gt;70,"B1",Table1[[#This Row],[Previous Marks]]&gt;60,"B2",Table1[[#This Row],[Previous Marks]]&gt;50,"C1",Table1[[#This Row],[Previous Marks]]&gt;40,"C2")</f>
        <v>B2</v>
      </c>
      <c r="F844">
        <v>70</v>
      </c>
    </row>
    <row r="845" spans="2:6" x14ac:dyDescent="0.3">
      <c r="B845">
        <v>80</v>
      </c>
      <c r="C845" t="str" cm="1">
        <f t="array" ref="C845">_xlfn.IFS(B845&gt;90,"A1",B845&gt;80,"A2",B845&gt;70,"B1",B845&gt;60,"B2",B845&gt;50,"C1",B845&gt;40,"C2")</f>
        <v>B1</v>
      </c>
      <c r="D845">
        <v>85</v>
      </c>
      <c r="E845" t="str" cm="1">
        <f t="array" ref="E845">_xlfn.IFS(Table1[[#This Row],[Previous Marks]]&gt;90,"A1",Table1[[#This Row],[Previous Marks]]&gt;80,"A2",Table1[[#This Row],[Previous Marks]]&gt;70,"B1",Table1[[#This Row],[Previous Marks]]&gt;60,"B2",Table1[[#This Row],[Previous Marks]]&gt;50,"C1",Table1[[#This Row],[Previous Marks]]&gt;40,"C2")</f>
        <v>A2</v>
      </c>
      <c r="F845">
        <v>78</v>
      </c>
    </row>
    <row r="846" spans="2:6" x14ac:dyDescent="0.3">
      <c r="B846">
        <v>87</v>
      </c>
      <c r="C846" t="str" cm="1">
        <f t="array" ref="C846">_xlfn.IFS(B846&gt;90,"A1",B846&gt;80,"A2",B846&gt;70,"B1",B846&gt;60,"B2",B846&gt;50,"C1",B846&gt;40,"C2")</f>
        <v>A2</v>
      </c>
      <c r="D846">
        <v>77</v>
      </c>
      <c r="E846" t="str" cm="1">
        <f t="array" ref="E846">_xlfn.IFS(Table1[[#This Row],[Previous Marks]]&gt;90,"A1",Table1[[#This Row],[Previous Marks]]&gt;80,"A2",Table1[[#This Row],[Previous Marks]]&gt;70,"B1",Table1[[#This Row],[Previous Marks]]&gt;60,"B2",Table1[[#This Row],[Previous Marks]]&gt;50,"C1",Table1[[#This Row],[Previous Marks]]&gt;40,"C2")</f>
        <v>B1</v>
      </c>
      <c r="F846">
        <v>90</v>
      </c>
    </row>
    <row r="847" spans="2:6" x14ac:dyDescent="0.3">
      <c r="B847">
        <v>72</v>
      </c>
      <c r="C847" t="str" cm="1">
        <f t="array" ref="C847">_xlfn.IFS(B847&gt;90,"A1",B847&gt;80,"A2",B847&gt;70,"B1",B847&gt;60,"B2",B847&gt;50,"C1",B847&gt;40,"C2")</f>
        <v>B1</v>
      </c>
      <c r="D847">
        <v>65</v>
      </c>
      <c r="E847" t="str" cm="1">
        <f t="array" ref="E847">_xlfn.IFS(Table1[[#This Row],[Previous Marks]]&gt;90,"A1",Table1[[#This Row],[Previous Marks]]&gt;80,"A2",Table1[[#This Row],[Previous Marks]]&gt;70,"B1",Table1[[#This Row],[Previous Marks]]&gt;60,"B2",Table1[[#This Row],[Previous Marks]]&gt;50,"C1",Table1[[#This Row],[Previous Marks]]&gt;40,"C2")</f>
        <v>B2</v>
      </c>
      <c r="F847">
        <v>70</v>
      </c>
    </row>
    <row r="848" spans="2:6" x14ac:dyDescent="0.3">
      <c r="B848">
        <v>80</v>
      </c>
      <c r="C848" t="str" cm="1">
        <f t="array" ref="C848">_xlfn.IFS(B848&gt;90,"A1",B848&gt;80,"A2",B848&gt;70,"B1",B848&gt;60,"B2",B848&gt;50,"C1",B848&gt;40,"C2")</f>
        <v>B1</v>
      </c>
      <c r="D848">
        <v>90</v>
      </c>
      <c r="E848" t="str" cm="1">
        <f t="array" ref="E848">_xlfn.IFS(Table1[[#This Row],[Previous Marks]]&gt;90,"A1",Table1[[#This Row],[Previous Marks]]&gt;80,"A2",Table1[[#This Row],[Previous Marks]]&gt;70,"B1",Table1[[#This Row],[Previous Marks]]&gt;60,"B2",Table1[[#This Row],[Previous Marks]]&gt;50,"C1",Table1[[#This Row],[Previous Marks]]&gt;40,"C2")</f>
        <v>A2</v>
      </c>
      <c r="F848">
        <v>95</v>
      </c>
    </row>
    <row r="849" spans="2:6" x14ac:dyDescent="0.3">
      <c r="B849">
        <v>92</v>
      </c>
      <c r="C849" t="str" cm="1">
        <f t="array" ref="C849">_xlfn.IFS(B849&gt;90,"A1",B849&gt;80,"A2",B849&gt;70,"B1",B849&gt;60,"B2",B849&gt;50,"C1",B849&gt;40,"C2")</f>
        <v>A1</v>
      </c>
      <c r="D849">
        <v>85</v>
      </c>
      <c r="E849" t="str" cm="1">
        <f t="array" ref="E849">_xlfn.IFS(Table1[[#This Row],[Previous Marks]]&gt;90,"A1",Table1[[#This Row],[Previous Marks]]&gt;80,"A2",Table1[[#This Row],[Previous Marks]]&gt;70,"B1",Table1[[#This Row],[Previous Marks]]&gt;60,"B2",Table1[[#This Row],[Previous Marks]]&gt;50,"C1",Table1[[#This Row],[Previous Marks]]&gt;40,"C2")</f>
        <v>A2</v>
      </c>
      <c r="F849">
        <v>85</v>
      </c>
    </row>
    <row r="850" spans="2:6" x14ac:dyDescent="0.3">
      <c r="B850">
        <v>68</v>
      </c>
      <c r="C850" t="str" cm="1">
        <f t="array" ref="C850">_xlfn.IFS(B850&gt;90,"A1",B850&gt;80,"A2",B850&gt;70,"B1",B850&gt;60,"B2",B850&gt;50,"C1",B850&gt;40,"C2")</f>
        <v>B2</v>
      </c>
      <c r="D850">
        <v>78</v>
      </c>
      <c r="E850" t="str" cm="1">
        <f t="array" ref="E850">_xlfn.IFS(Table1[[#This Row],[Previous Marks]]&gt;90,"A1",Table1[[#This Row],[Previous Marks]]&gt;80,"A2",Table1[[#This Row],[Previous Marks]]&gt;70,"B1",Table1[[#This Row],[Previous Marks]]&gt;60,"B2",Table1[[#This Row],[Previous Marks]]&gt;50,"C1",Table1[[#This Row],[Previous Marks]]&gt;40,"C2")</f>
        <v>B1</v>
      </c>
      <c r="F850">
        <v>78</v>
      </c>
    </row>
    <row r="851" spans="2:6" x14ac:dyDescent="0.3">
      <c r="B851">
        <v>68</v>
      </c>
      <c r="C851" t="str" cm="1">
        <f t="array" ref="C851">_xlfn.IFS(B851&gt;90,"A1",B851&gt;80,"A2",B851&gt;70,"B1",B851&gt;60,"B2",B851&gt;50,"C1",B851&gt;40,"C2")</f>
        <v>B2</v>
      </c>
      <c r="D851">
        <v>65</v>
      </c>
      <c r="E851" t="str" cm="1">
        <f t="array" ref="E851">_xlfn.IFS(Table1[[#This Row],[Previous Marks]]&gt;90,"A1",Table1[[#This Row],[Previous Marks]]&gt;80,"A2",Table1[[#This Row],[Previous Marks]]&gt;70,"B1",Table1[[#This Row],[Previous Marks]]&gt;60,"B2",Table1[[#This Row],[Previous Marks]]&gt;50,"C1",Table1[[#This Row],[Previous Marks]]&gt;40,"C2")</f>
        <v>B2</v>
      </c>
      <c r="F851">
        <v>85</v>
      </c>
    </row>
    <row r="852" spans="2:6" x14ac:dyDescent="0.3">
      <c r="B852">
        <v>80</v>
      </c>
      <c r="C852" t="str" cm="1">
        <f t="array" ref="C852">_xlfn.IFS(B852&gt;90,"A1",B852&gt;80,"A2",B852&gt;70,"B1",B852&gt;60,"B2",B852&gt;50,"C1",B852&gt;40,"C2")</f>
        <v>B1</v>
      </c>
      <c r="D852">
        <v>60</v>
      </c>
      <c r="E852" t="str" cm="1">
        <f t="array" ref="E852">_xlfn.IFS(Table1[[#This Row],[Previous Marks]]&gt;90,"A1",Table1[[#This Row],[Previous Marks]]&gt;80,"A2",Table1[[#This Row],[Previous Marks]]&gt;70,"B1",Table1[[#This Row],[Previous Marks]]&gt;60,"B2",Table1[[#This Row],[Previous Marks]]&gt;50,"C1",Table1[[#This Row],[Previous Marks]]&gt;40,"C2")</f>
        <v>C1</v>
      </c>
      <c r="F852">
        <v>82</v>
      </c>
    </row>
    <row r="853" spans="2:6" x14ac:dyDescent="0.3">
      <c r="B853">
        <v>62</v>
      </c>
      <c r="C853" t="str" cm="1">
        <f t="array" ref="C853">_xlfn.IFS(B853&gt;90,"A1",B853&gt;80,"A2",B853&gt;70,"B1",B853&gt;60,"B2",B853&gt;50,"C1",B853&gt;40,"C2")</f>
        <v>B2</v>
      </c>
      <c r="D853">
        <v>90</v>
      </c>
      <c r="E853" t="str" cm="1">
        <f t="array" ref="E853">_xlfn.IFS(Table1[[#This Row],[Previous Marks]]&gt;90,"A1",Table1[[#This Row],[Previous Marks]]&gt;80,"A2",Table1[[#This Row],[Previous Marks]]&gt;70,"B1",Table1[[#This Row],[Previous Marks]]&gt;60,"B2",Table1[[#This Row],[Previous Marks]]&gt;50,"C1",Table1[[#This Row],[Previous Marks]]&gt;40,"C2")</f>
        <v>A2</v>
      </c>
      <c r="F853">
        <v>95</v>
      </c>
    </row>
    <row r="854" spans="2:6" x14ac:dyDescent="0.3">
      <c r="B854">
        <v>62</v>
      </c>
      <c r="C854" t="str" cm="1">
        <f t="array" ref="C854">_xlfn.IFS(B854&gt;90,"A1",B854&gt;80,"A2",B854&gt;70,"B1",B854&gt;60,"B2",B854&gt;50,"C1",B854&gt;40,"C2")</f>
        <v>B2</v>
      </c>
      <c r="D854">
        <v>65</v>
      </c>
      <c r="E854" t="str" cm="1">
        <f t="array" ref="E854">_xlfn.IFS(Table1[[#This Row],[Previous Marks]]&gt;90,"A1",Table1[[#This Row],[Previous Marks]]&gt;80,"A2",Table1[[#This Row],[Previous Marks]]&gt;70,"B1",Table1[[#This Row],[Previous Marks]]&gt;60,"B2",Table1[[#This Row],[Previous Marks]]&gt;50,"C1",Table1[[#This Row],[Previous Marks]]&gt;40,"C2")</f>
        <v>B2</v>
      </c>
      <c r="F854">
        <v>92</v>
      </c>
    </row>
    <row r="855" spans="2:6" x14ac:dyDescent="0.3">
      <c r="B855">
        <v>92</v>
      </c>
      <c r="C855" t="str" cm="1">
        <f t="array" ref="C855">_xlfn.IFS(B855&gt;90,"A1",B855&gt;80,"A2",B855&gt;70,"B1",B855&gt;60,"B2",B855&gt;50,"C1",B855&gt;40,"C2")</f>
        <v>A1</v>
      </c>
      <c r="D855">
        <v>60</v>
      </c>
      <c r="E855" t="str" cm="1">
        <f t="array" ref="E855">_xlfn.IFS(Table1[[#This Row],[Previous Marks]]&gt;90,"A1",Table1[[#This Row],[Previous Marks]]&gt;80,"A2",Table1[[#This Row],[Previous Marks]]&gt;70,"B1",Table1[[#This Row],[Previous Marks]]&gt;60,"B2",Table1[[#This Row],[Previous Marks]]&gt;50,"C1",Table1[[#This Row],[Previous Marks]]&gt;40,"C2")</f>
        <v>C1</v>
      </c>
      <c r="F855">
        <v>82</v>
      </c>
    </row>
    <row r="856" spans="2:6" x14ac:dyDescent="0.3">
      <c r="B856">
        <v>92</v>
      </c>
      <c r="C856" t="str" cm="1">
        <f t="array" ref="C856">_xlfn.IFS(B856&gt;90,"A1",B856&gt;80,"A2",B856&gt;70,"B1",B856&gt;60,"B2",B856&gt;50,"C1",B856&gt;40,"C2")</f>
        <v>A1</v>
      </c>
      <c r="D856">
        <v>60</v>
      </c>
      <c r="E856" t="str" cm="1">
        <f t="array" ref="E856">_xlfn.IFS(Table1[[#This Row],[Previous Marks]]&gt;90,"A1",Table1[[#This Row],[Previous Marks]]&gt;80,"A2",Table1[[#This Row],[Previous Marks]]&gt;70,"B1",Table1[[#This Row],[Previous Marks]]&gt;60,"B2",Table1[[#This Row],[Previous Marks]]&gt;50,"C1",Table1[[#This Row],[Previous Marks]]&gt;40,"C2")</f>
        <v>C1</v>
      </c>
      <c r="F856">
        <v>95</v>
      </c>
    </row>
    <row r="857" spans="2:6" x14ac:dyDescent="0.3">
      <c r="B857">
        <v>87</v>
      </c>
      <c r="C857" t="str" cm="1">
        <f t="array" ref="C857">_xlfn.IFS(B857&gt;90,"A1",B857&gt;80,"A2",B857&gt;70,"B1",B857&gt;60,"B2",B857&gt;50,"C1",B857&gt;40,"C2")</f>
        <v>A2</v>
      </c>
      <c r="D857">
        <v>82</v>
      </c>
      <c r="E857" t="str" cm="1">
        <f t="array" ref="E857">_xlfn.IFS(Table1[[#This Row],[Previous Marks]]&gt;90,"A1",Table1[[#This Row],[Previous Marks]]&gt;80,"A2",Table1[[#This Row],[Previous Marks]]&gt;70,"B1",Table1[[#This Row],[Previous Marks]]&gt;60,"B2",Table1[[#This Row],[Previous Marks]]&gt;50,"C1",Table1[[#This Row],[Previous Marks]]&gt;40,"C2")</f>
        <v>A2</v>
      </c>
      <c r="F857">
        <v>92</v>
      </c>
    </row>
    <row r="858" spans="2:6" x14ac:dyDescent="0.3">
      <c r="B858">
        <v>68</v>
      </c>
      <c r="C858" t="str" cm="1">
        <f t="array" ref="C858">_xlfn.IFS(B858&gt;90,"A1",B858&gt;80,"A2",B858&gt;70,"B1",B858&gt;60,"B2",B858&gt;50,"C1",B858&gt;40,"C2")</f>
        <v>B2</v>
      </c>
      <c r="D858">
        <v>60</v>
      </c>
      <c r="E858" t="str" cm="1">
        <f t="array" ref="E858">_xlfn.IFS(Table1[[#This Row],[Previous Marks]]&gt;90,"A1",Table1[[#This Row],[Previous Marks]]&gt;80,"A2",Table1[[#This Row],[Previous Marks]]&gt;70,"B1",Table1[[#This Row],[Previous Marks]]&gt;60,"B2",Table1[[#This Row],[Previous Marks]]&gt;50,"C1",Table1[[#This Row],[Previous Marks]]&gt;40,"C2")</f>
        <v>C1</v>
      </c>
      <c r="F858">
        <v>91</v>
      </c>
    </row>
    <row r="859" spans="2:6" x14ac:dyDescent="0.3">
      <c r="B859">
        <v>62</v>
      </c>
      <c r="C859" t="str" cm="1">
        <f t="array" ref="C859">_xlfn.IFS(B859&gt;90,"A1",B859&gt;80,"A2",B859&gt;70,"B1",B859&gt;60,"B2",B859&gt;50,"C1",B859&gt;40,"C2")</f>
        <v>B2</v>
      </c>
      <c r="D859">
        <v>86</v>
      </c>
      <c r="E859" t="str" cm="1">
        <f t="array" ref="E859">_xlfn.IFS(Table1[[#This Row],[Previous Marks]]&gt;90,"A1",Table1[[#This Row],[Previous Marks]]&gt;80,"A2",Table1[[#This Row],[Previous Marks]]&gt;70,"B1",Table1[[#This Row],[Previous Marks]]&gt;60,"B2",Table1[[#This Row],[Previous Marks]]&gt;50,"C1",Table1[[#This Row],[Previous Marks]]&gt;40,"C2")</f>
        <v>A2</v>
      </c>
      <c r="F859">
        <v>95</v>
      </c>
    </row>
    <row r="860" spans="2:6" x14ac:dyDescent="0.3">
      <c r="B860">
        <v>92</v>
      </c>
      <c r="C860" t="str" cm="1">
        <f t="array" ref="C860">_xlfn.IFS(B860&gt;90,"A1",B860&gt;80,"A2",B860&gt;70,"B1",B860&gt;60,"B2",B860&gt;50,"C1",B860&gt;40,"C2")</f>
        <v>A1</v>
      </c>
      <c r="D860">
        <v>86</v>
      </c>
      <c r="E860" t="str" cm="1">
        <f t="array" ref="E860">_xlfn.IFS(Table1[[#This Row],[Previous Marks]]&gt;90,"A1",Table1[[#This Row],[Previous Marks]]&gt;80,"A2",Table1[[#This Row],[Previous Marks]]&gt;70,"B1",Table1[[#This Row],[Previous Marks]]&gt;60,"B2",Table1[[#This Row],[Previous Marks]]&gt;50,"C1",Table1[[#This Row],[Previous Marks]]&gt;40,"C2")</f>
        <v>A2</v>
      </c>
      <c r="F860">
        <v>85.510416666666671</v>
      </c>
    </row>
    <row r="861" spans="2:6" x14ac:dyDescent="0.3">
      <c r="B861">
        <v>68</v>
      </c>
      <c r="C861" t="str" cm="1">
        <f t="array" ref="C861">_xlfn.IFS(B861&gt;90,"A1",B861&gt;80,"A2",B861&gt;70,"B1",B861&gt;60,"B2",B861&gt;50,"C1",B861&gt;40,"C2")</f>
        <v>B2</v>
      </c>
      <c r="D861">
        <v>77</v>
      </c>
      <c r="E861" t="str" cm="1">
        <f t="array" ref="E861">_xlfn.IFS(Table1[[#This Row],[Previous Marks]]&gt;90,"A1",Table1[[#This Row],[Previous Marks]]&gt;80,"A2",Table1[[#This Row],[Previous Marks]]&gt;70,"B1",Table1[[#This Row],[Previous Marks]]&gt;60,"B2",Table1[[#This Row],[Previous Marks]]&gt;50,"C1",Table1[[#This Row],[Previous Marks]]&gt;40,"C2")</f>
        <v>B1</v>
      </c>
      <c r="F861">
        <v>78</v>
      </c>
    </row>
    <row r="862" spans="2:6" x14ac:dyDescent="0.3">
      <c r="B862">
        <v>80</v>
      </c>
      <c r="C862" t="str" cm="1">
        <f t="array" ref="C862">_xlfn.IFS(B862&gt;90,"A1",B862&gt;80,"A2",B862&gt;70,"B1",B862&gt;60,"B2",B862&gt;50,"C1",B862&gt;40,"C2")</f>
        <v>B1</v>
      </c>
      <c r="D862">
        <v>77.598759048603924</v>
      </c>
      <c r="E862" t="str" cm="1">
        <f t="array" ref="E862">_xlfn.IFS(Table1[[#This Row],[Previous Marks]]&gt;90,"A1",Table1[[#This Row],[Previous Marks]]&gt;80,"A2",Table1[[#This Row],[Previous Marks]]&gt;70,"B1",Table1[[#This Row],[Previous Marks]]&gt;60,"B2",Table1[[#This Row],[Previous Marks]]&gt;50,"C1",Table1[[#This Row],[Previous Marks]]&gt;40,"C2")</f>
        <v>B1</v>
      </c>
      <c r="F862">
        <v>85.510416666666671</v>
      </c>
    </row>
    <row r="863" spans="2:6" x14ac:dyDescent="0.3">
      <c r="B863">
        <v>80</v>
      </c>
      <c r="C863" t="str" cm="1">
        <f t="array" ref="C863">_xlfn.IFS(B863&gt;90,"A1",B863&gt;80,"A2",B863&gt;70,"B1",B863&gt;60,"B2",B863&gt;50,"C1",B863&gt;40,"C2")</f>
        <v>B1</v>
      </c>
      <c r="D863">
        <v>90</v>
      </c>
      <c r="E863" t="str" cm="1">
        <f t="array" ref="E863">_xlfn.IFS(Table1[[#This Row],[Previous Marks]]&gt;90,"A1",Table1[[#This Row],[Previous Marks]]&gt;80,"A2",Table1[[#This Row],[Previous Marks]]&gt;70,"B1",Table1[[#This Row],[Previous Marks]]&gt;60,"B2",Table1[[#This Row],[Previous Marks]]&gt;50,"C1",Table1[[#This Row],[Previous Marks]]&gt;40,"C2")</f>
        <v>A2</v>
      </c>
      <c r="F863">
        <v>95</v>
      </c>
    </row>
    <row r="864" spans="2:6" x14ac:dyDescent="0.3">
      <c r="B864">
        <v>80</v>
      </c>
      <c r="C864" t="str" cm="1">
        <f t="array" ref="C864">_xlfn.IFS(B864&gt;90,"A1",B864&gt;80,"A2",B864&gt;70,"B1",B864&gt;60,"B2",B864&gt;50,"C1",B864&gt;40,"C2")</f>
        <v>B1</v>
      </c>
      <c r="D864">
        <v>65</v>
      </c>
      <c r="E864" t="str" cm="1">
        <f t="array" ref="E864">_xlfn.IFS(Table1[[#This Row],[Previous Marks]]&gt;90,"A1",Table1[[#This Row],[Previous Marks]]&gt;80,"A2",Table1[[#This Row],[Previous Marks]]&gt;70,"B1",Table1[[#This Row],[Previous Marks]]&gt;60,"B2",Table1[[#This Row],[Previous Marks]]&gt;50,"C1",Table1[[#This Row],[Previous Marks]]&gt;40,"C2")</f>
        <v>B2</v>
      </c>
      <c r="F864">
        <v>82</v>
      </c>
    </row>
    <row r="865" spans="2:6" x14ac:dyDescent="0.3">
      <c r="B865">
        <v>88</v>
      </c>
      <c r="C865" t="str" cm="1">
        <f t="array" ref="C865">_xlfn.IFS(B865&gt;90,"A1",B865&gt;80,"A2",B865&gt;70,"B1",B865&gt;60,"B2",B865&gt;50,"C1",B865&gt;40,"C2")</f>
        <v>A2</v>
      </c>
      <c r="D865">
        <v>65</v>
      </c>
      <c r="E865" t="str" cm="1">
        <f t="array" ref="E865">_xlfn.IFS(Table1[[#This Row],[Previous Marks]]&gt;90,"A1",Table1[[#This Row],[Previous Marks]]&gt;80,"A2",Table1[[#This Row],[Previous Marks]]&gt;70,"B1",Table1[[#This Row],[Previous Marks]]&gt;60,"B2",Table1[[#This Row],[Previous Marks]]&gt;50,"C1",Table1[[#This Row],[Previous Marks]]&gt;40,"C2")</f>
        <v>B2</v>
      </c>
      <c r="F865">
        <v>78</v>
      </c>
    </row>
    <row r="866" spans="2:6" x14ac:dyDescent="0.3">
      <c r="B866">
        <v>92</v>
      </c>
      <c r="C866" t="str" cm="1">
        <f t="array" ref="C866">_xlfn.IFS(B866&gt;90,"A1",B866&gt;80,"A2",B866&gt;70,"B1",B866&gt;60,"B2",B866&gt;50,"C1",B866&gt;40,"C2")</f>
        <v>A1</v>
      </c>
      <c r="D866">
        <v>82</v>
      </c>
      <c r="E866" t="str" cm="1">
        <f t="array" ref="E866">_xlfn.IFS(Table1[[#This Row],[Previous Marks]]&gt;90,"A1",Table1[[#This Row],[Previous Marks]]&gt;80,"A2",Table1[[#This Row],[Previous Marks]]&gt;70,"B1",Table1[[#This Row],[Previous Marks]]&gt;60,"B2",Table1[[#This Row],[Previous Marks]]&gt;50,"C1",Table1[[#This Row],[Previous Marks]]&gt;40,"C2")</f>
        <v>A2</v>
      </c>
      <c r="F866">
        <v>70</v>
      </c>
    </row>
    <row r="867" spans="2:6" x14ac:dyDescent="0.3">
      <c r="B867">
        <v>87</v>
      </c>
      <c r="C867" t="str" cm="1">
        <f t="array" ref="C867">_xlfn.IFS(B867&gt;90,"A1",B867&gt;80,"A2",B867&gt;70,"B1",B867&gt;60,"B2",B867&gt;50,"C1",B867&gt;40,"C2")</f>
        <v>A2</v>
      </c>
      <c r="D867">
        <v>90</v>
      </c>
      <c r="E867" t="str" cm="1">
        <f t="array" ref="E867">_xlfn.IFS(Table1[[#This Row],[Previous Marks]]&gt;90,"A1",Table1[[#This Row],[Previous Marks]]&gt;80,"A2",Table1[[#This Row],[Previous Marks]]&gt;70,"B1",Table1[[#This Row],[Previous Marks]]&gt;60,"B2",Table1[[#This Row],[Previous Marks]]&gt;50,"C1",Table1[[#This Row],[Previous Marks]]&gt;40,"C2")</f>
        <v>A2</v>
      </c>
      <c r="F867">
        <v>91</v>
      </c>
    </row>
    <row r="868" spans="2:6" x14ac:dyDescent="0.3">
      <c r="B868">
        <v>62</v>
      </c>
      <c r="C868" t="str" cm="1">
        <f t="array" ref="C868">_xlfn.IFS(B868&gt;90,"A1",B868&gt;80,"A2",B868&gt;70,"B1",B868&gt;60,"B2",B868&gt;50,"C1",B868&gt;40,"C2")</f>
        <v>B2</v>
      </c>
      <c r="D868">
        <v>60</v>
      </c>
      <c r="E868" t="str" cm="1">
        <f t="array" ref="E868">_xlfn.IFS(Table1[[#This Row],[Previous Marks]]&gt;90,"A1",Table1[[#This Row],[Previous Marks]]&gt;80,"A2",Table1[[#This Row],[Previous Marks]]&gt;70,"B1",Table1[[#This Row],[Previous Marks]]&gt;60,"B2",Table1[[#This Row],[Previous Marks]]&gt;50,"C1",Table1[[#This Row],[Previous Marks]]&gt;40,"C2")</f>
        <v>C1</v>
      </c>
      <c r="F868">
        <v>85</v>
      </c>
    </row>
    <row r="869" spans="2:6" x14ac:dyDescent="0.3">
      <c r="B869">
        <v>68</v>
      </c>
      <c r="C869" t="str" cm="1">
        <f t="array" ref="C869">_xlfn.IFS(B869&gt;90,"A1",B869&gt;80,"A2",B869&gt;70,"B1",B869&gt;60,"B2",B869&gt;50,"C1",B869&gt;40,"C2")</f>
        <v>B2</v>
      </c>
      <c r="D869">
        <v>82</v>
      </c>
      <c r="E869" t="str" cm="1">
        <f t="array" ref="E869">_xlfn.IFS(Table1[[#This Row],[Previous Marks]]&gt;90,"A1",Table1[[#This Row],[Previous Marks]]&gt;80,"A2",Table1[[#This Row],[Previous Marks]]&gt;70,"B1",Table1[[#This Row],[Previous Marks]]&gt;60,"B2",Table1[[#This Row],[Previous Marks]]&gt;50,"C1",Table1[[#This Row],[Previous Marks]]&gt;40,"C2")</f>
        <v>A2</v>
      </c>
      <c r="F869">
        <v>70</v>
      </c>
    </row>
    <row r="870" spans="2:6" x14ac:dyDescent="0.3">
      <c r="B870">
        <v>88</v>
      </c>
      <c r="C870" t="str" cm="1">
        <f t="array" ref="C870">_xlfn.IFS(B870&gt;90,"A1",B870&gt;80,"A2",B870&gt;70,"B1",B870&gt;60,"B2",B870&gt;50,"C1",B870&gt;40,"C2")</f>
        <v>A2</v>
      </c>
      <c r="D870">
        <v>82</v>
      </c>
      <c r="E870" t="str" cm="1">
        <f t="array" ref="E870">_xlfn.IFS(Table1[[#This Row],[Previous Marks]]&gt;90,"A1",Table1[[#This Row],[Previous Marks]]&gt;80,"A2",Table1[[#This Row],[Previous Marks]]&gt;70,"B1",Table1[[#This Row],[Previous Marks]]&gt;60,"B2",Table1[[#This Row],[Previous Marks]]&gt;50,"C1",Table1[[#This Row],[Previous Marks]]&gt;40,"C2")</f>
        <v>A2</v>
      </c>
      <c r="F870">
        <v>88</v>
      </c>
    </row>
    <row r="871" spans="2:6" x14ac:dyDescent="0.3">
      <c r="B871">
        <v>90</v>
      </c>
      <c r="C871" t="str" cm="1">
        <f t="array" ref="C871">_xlfn.IFS(B871&gt;90,"A1",B871&gt;80,"A2",B871&gt;70,"B1",B871&gt;60,"B2",B871&gt;50,"C1",B871&gt;40,"C2")</f>
        <v>A2</v>
      </c>
      <c r="D871">
        <v>78</v>
      </c>
      <c r="E871" t="str" cm="1">
        <f t="array" ref="E871">_xlfn.IFS(Table1[[#This Row],[Previous Marks]]&gt;90,"A1",Table1[[#This Row],[Previous Marks]]&gt;80,"A2",Table1[[#This Row],[Previous Marks]]&gt;70,"B1",Table1[[#This Row],[Previous Marks]]&gt;60,"B2",Table1[[#This Row],[Previous Marks]]&gt;50,"C1",Table1[[#This Row],[Previous Marks]]&gt;40,"C2")</f>
        <v>B1</v>
      </c>
      <c r="F871">
        <v>78</v>
      </c>
    </row>
    <row r="872" spans="2:6" x14ac:dyDescent="0.3">
      <c r="B872">
        <v>80</v>
      </c>
      <c r="C872" t="str" cm="1">
        <f t="array" ref="C872">_xlfn.IFS(B872&gt;90,"A1",B872&gt;80,"A2",B872&gt;70,"B1",B872&gt;60,"B2",B872&gt;50,"C1",B872&gt;40,"C2")</f>
        <v>B1</v>
      </c>
      <c r="D872">
        <v>86</v>
      </c>
      <c r="E872" t="str" cm="1">
        <f t="array" ref="E872">_xlfn.IFS(Table1[[#This Row],[Previous Marks]]&gt;90,"A1",Table1[[#This Row],[Previous Marks]]&gt;80,"A2",Table1[[#This Row],[Previous Marks]]&gt;70,"B1",Table1[[#This Row],[Previous Marks]]&gt;60,"B2",Table1[[#This Row],[Previous Marks]]&gt;50,"C1",Table1[[#This Row],[Previous Marks]]&gt;40,"C2")</f>
        <v>A2</v>
      </c>
      <c r="F872">
        <v>85</v>
      </c>
    </row>
    <row r="873" spans="2:6" x14ac:dyDescent="0.3">
      <c r="B873">
        <v>78</v>
      </c>
      <c r="C873" t="str" cm="1">
        <f t="array" ref="C873">_xlfn.IFS(B873&gt;90,"A1",B873&gt;80,"A2",B873&gt;70,"B1",B873&gt;60,"B2",B873&gt;50,"C1",B873&gt;40,"C2")</f>
        <v>B1</v>
      </c>
      <c r="D873">
        <v>88</v>
      </c>
      <c r="E873" t="str" cm="1">
        <f t="array" ref="E873">_xlfn.IFS(Table1[[#This Row],[Previous Marks]]&gt;90,"A1",Table1[[#This Row],[Previous Marks]]&gt;80,"A2",Table1[[#This Row],[Previous Marks]]&gt;70,"B1",Table1[[#This Row],[Previous Marks]]&gt;60,"B2",Table1[[#This Row],[Previous Marks]]&gt;50,"C1",Table1[[#This Row],[Previous Marks]]&gt;40,"C2")</f>
        <v>A2</v>
      </c>
      <c r="F873">
        <v>70</v>
      </c>
    </row>
    <row r="874" spans="2:6" x14ac:dyDescent="0.3">
      <c r="B874">
        <v>80</v>
      </c>
      <c r="C874" t="str" cm="1">
        <f t="array" ref="C874">_xlfn.IFS(B874&gt;90,"A1",B874&gt;80,"A2",B874&gt;70,"B1",B874&gt;60,"B2",B874&gt;50,"C1",B874&gt;40,"C2")</f>
        <v>B1</v>
      </c>
      <c r="D874">
        <v>77</v>
      </c>
      <c r="E874" t="str" cm="1">
        <f t="array" ref="E874">_xlfn.IFS(Table1[[#This Row],[Previous Marks]]&gt;90,"A1",Table1[[#This Row],[Previous Marks]]&gt;80,"A2",Table1[[#This Row],[Previous Marks]]&gt;70,"B1",Table1[[#This Row],[Previous Marks]]&gt;60,"B2",Table1[[#This Row],[Previous Marks]]&gt;50,"C1",Table1[[#This Row],[Previous Marks]]&gt;40,"C2")</f>
        <v>B1</v>
      </c>
      <c r="F874">
        <v>92</v>
      </c>
    </row>
    <row r="875" spans="2:6" x14ac:dyDescent="0.3">
      <c r="B875">
        <v>68</v>
      </c>
      <c r="C875" t="str" cm="1">
        <f t="array" ref="C875">_xlfn.IFS(B875&gt;90,"A1",B875&gt;80,"A2",B875&gt;70,"B1",B875&gt;60,"B2",B875&gt;50,"C1",B875&gt;40,"C2")</f>
        <v>B2</v>
      </c>
      <c r="D875">
        <v>90</v>
      </c>
      <c r="E875" t="str" cm="1">
        <f t="array" ref="E875">_xlfn.IFS(Table1[[#This Row],[Previous Marks]]&gt;90,"A1",Table1[[#This Row],[Previous Marks]]&gt;80,"A2",Table1[[#This Row],[Previous Marks]]&gt;70,"B1",Table1[[#This Row],[Previous Marks]]&gt;60,"B2",Table1[[#This Row],[Previous Marks]]&gt;50,"C1",Table1[[#This Row],[Previous Marks]]&gt;40,"C2")</f>
        <v>A2</v>
      </c>
      <c r="F875">
        <v>78</v>
      </c>
    </row>
    <row r="876" spans="2:6" x14ac:dyDescent="0.3">
      <c r="B876">
        <v>68</v>
      </c>
      <c r="C876" t="str" cm="1">
        <f t="array" ref="C876">_xlfn.IFS(B876&gt;90,"A1",B876&gt;80,"A2",B876&gt;70,"B1",B876&gt;60,"B2",B876&gt;50,"C1",B876&gt;40,"C2")</f>
        <v>B2</v>
      </c>
      <c r="D876">
        <v>70</v>
      </c>
      <c r="E876" t="str" cm="1">
        <f t="array" ref="E876">_xlfn.IFS(Table1[[#This Row],[Previous Marks]]&gt;90,"A1",Table1[[#This Row],[Previous Marks]]&gt;80,"A2",Table1[[#This Row],[Previous Marks]]&gt;70,"B1",Table1[[#This Row],[Previous Marks]]&gt;60,"B2",Table1[[#This Row],[Previous Marks]]&gt;50,"C1",Table1[[#This Row],[Previous Marks]]&gt;40,"C2")</f>
        <v>B2</v>
      </c>
      <c r="F876">
        <v>91</v>
      </c>
    </row>
    <row r="877" spans="2:6" x14ac:dyDescent="0.3">
      <c r="B877">
        <v>80.030208333333334</v>
      </c>
      <c r="C877" t="str" cm="1">
        <f t="array" ref="C877">_xlfn.IFS(B877&gt;90,"A1",B877&gt;80,"A2",B877&gt;70,"B1",B877&gt;60,"B2",B877&gt;50,"C1",B877&gt;40,"C2")</f>
        <v>A2</v>
      </c>
      <c r="D877">
        <v>60</v>
      </c>
      <c r="E877" t="str" cm="1">
        <f t="array" ref="E877">_xlfn.IFS(Table1[[#This Row],[Previous Marks]]&gt;90,"A1",Table1[[#This Row],[Previous Marks]]&gt;80,"A2",Table1[[#This Row],[Previous Marks]]&gt;70,"B1",Table1[[#This Row],[Previous Marks]]&gt;60,"B2",Table1[[#This Row],[Previous Marks]]&gt;50,"C1",Table1[[#This Row],[Previous Marks]]&gt;40,"C2")</f>
        <v>C1</v>
      </c>
      <c r="F877">
        <v>91</v>
      </c>
    </row>
    <row r="878" spans="2:6" x14ac:dyDescent="0.3">
      <c r="B878">
        <v>80</v>
      </c>
      <c r="C878" t="str" cm="1">
        <f t="array" ref="C878">_xlfn.IFS(B878&gt;90,"A1",B878&gt;80,"A2",B878&gt;70,"B1",B878&gt;60,"B2",B878&gt;50,"C1",B878&gt;40,"C2")</f>
        <v>B1</v>
      </c>
      <c r="D878">
        <v>78</v>
      </c>
      <c r="E878" t="str" cm="1">
        <f t="array" ref="E878">_xlfn.IFS(Table1[[#This Row],[Previous Marks]]&gt;90,"A1",Table1[[#This Row],[Previous Marks]]&gt;80,"A2",Table1[[#This Row],[Previous Marks]]&gt;70,"B1",Table1[[#This Row],[Previous Marks]]&gt;60,"B2",Table1[[#This Row],[Previous Marks]]&gt;50,"C1",Table1[[#This Row],[Previous Marks]]&gt;40,"C2")</f>
        <v>B1</v>
      </c>
      <c r="F878">
        <v>70</v>
      </c>
    </row>
    <row r="879" spans="2:6" x14ac:dyDescent="0.3">
      <c r="B879">
        <v>68</v>
      </c>
      <c r="C879" t="str" cm="1">
        <f t="array" ref="C879">_xlfn.IFS(B879&gt;90,"A1",B879&gt;80,"A2",B879&gt;70,"B1",B879&gt;60,"B2",B879&gt;50,"C1",B879&gt;40,"C2")</f>
        <v>B2</v>
      </c>
      <c r="D879">
        <v>65</v>
      </c>
      <c r="E879" t="str" cm="1">
        <f t="array" ref="E879">_xlfn.IFS(Table1[[#This Row],[Previous Marks]]&gt;90,"A1",Table1[[#This Row],[Previous Marks]]&gt;80,"A2",Table1[[#This Row],[Previous Marks]]&gt;70,"B1",Table1[[#This Row],[Previous Marks]]&gt;60,"B2",Table1[[#This Row],[Previous Marks]]&gt;50,"C1",Table1[[#This Row],[Previous Marks]]&gt;40,"C2")</f>
        <v>B2</v>
      </c>
      <c r="F879">
        <v>88</v>
      </c>
    </row>
    <row r="880" spans="2:6" x14ac:dyDescent="0.3">
      <c r="B880">
        <v>80</v>
      </c>
      <c r="C880" t="str" cm="1">
        <f t="array" ref="C880">_xlfn.IFS(B880&gt;90,"A1",B880&gt;80,"A2",B880&gt;70,"B1",B880&gt;60,"B2",B880&gt;50,"C1",B880&gt;40,"C2")</f>
        <v>B1</v>
      </c>
      <c r="D880">
        <v>90</v>
      </c>
      <c r="E880" t="str" cm="1">
        <f t="array" ref="E880">_xlfn.IFS(Table1[[#This Row],[Previous Marks]]&gt;90,"A1",Table1[[#This Row],[Previous Marks]]&gt;80,"A2",Table1[[#This Row],[Previous Marks]]&gt;70,"B1",Table1[[#This Row],[Previous Marks]]&gt;60,"B2",Table1[[#This Row],[Previous Marks]]&gt;50,"C1",Table1[[#This Row],[Previous Marks]]&gt;40,"C2")</f>
        <v>A2</v>
      </c>
      <c r="F880">
        <v>85</v>
      </c>
    </row>
    <row r="881" spans="2:6" x14ac:dyDescent="0.3">
      <c r="B881">
        <v>85</v>
      </c>
      <c r="C881" t="str" cm="1">
        <f t="array" ref="C881">_xlfn.IFS(B881&gt;90,"A1",B881&gt;80,"A2",B881&gt;70,"B1",B881&gt;60,"B2",B881&gt;50,"C1",B881&gt;40,"C2")</f>
        <v>A2</v>
      </c>
      <c r="D881">
        <v>85</v>
      </c>
      <c r="E881" t="str" cm="1">
        <f t="array" ref="E881">_xlfn.IFS(Table1[[#This Row],[Previous Marks]]&gt;90,"A1",Table1[[#This Row],[Previous Marks]]&gt;80,"A2",Table1[[#This Row],[Previous Marks]]&gt;70,"B1",Table1[[#This Row],[Previous Marks]]&gt;60,"B2",Table1[[#This Row],[Previous Marks]]&gt;50,"C1",Table1[[#This Row],[Previous Marks]]&gt;40,"C2")</f>
        <v>A2</v>
      </c>
      <c r="F881">
        <v>85</v>
      </c>
    </row>
    <row r="882" spans="2:6" x14ac:dyDescent="0.3">
      <c r="B882">
        <v>87</v>
      </c>
      <c r="C882" t="str" cm="1">
        <f t="array" ref="C882">_xlfn.IFS(B882&gt;90,"A1",B882&gt;80,"A2",B882&gt;70,"B1",B882&gt;60,"B2",B882&gt;50,"C1",B882&gt;40,"C2")</f>
        <v>A2</v>
      </c>
      <c r="D882">
        <v>90</v>
      </c>
      <c r="E882" t="str" cm="1">
        <f t="array" ref="E882">_xlfn.IFS(Table1[[#This Row],[Previous Marks]]&gt;90,"A1",Table1[[#This Row],[Previous Marks]]&gt;80,"A2",Table1[[#This Row],[Previous Marks]]&gt;70,"B1",Table1[[#This Row],[Previous Marks]]&gt;60,"B2",Table1[[#This Row],[Previous Marks]]&gt;50,"C1",Table1[[#This Row],[Previous Marks]]&gt;40,"C2")</f>
        <v>A2</v>
      </c>
      <c r="F882">
        <v>85</v>
      </c>
    </row>
    <row r="883" spans="2:6" x14ac:dyDescent="0.3">
      <c r="B883">
        <v>72</v>
      </c>
      <c r="C883" t="str" cm="1">
        <f t="array" ref="C883">_xlfn.IFS(B883&gt;90,"A1",B883&gt;80,"A2",B883&gt;70,"B1",B883&gt;60,"B2",B883&gt;50,"C1",B883&gt;40,"C2")</f>
        <v>B1</v>
      </c>
      <c r="D883">
        <v>78</v>
      </c>
      <c r="E883" t="str" cm="1">
        <f t="array" ref="E883">_xlfn.IFS(Table1[[#This Row],[Previous Marks]]&gt;90,"A1",Table1[[#This Row],[Previous Marks]]&gt;80,"A2",Table1[[#This Row],[Previous Marks]]&gt;70,"B1",Table1[[#This Row],[Previous Marks]]&gt;60,"B2",Table1[[#This Row],[Previous Marks]]&gt;50,"C1",Table1[[#This Row],[Previous Marks]]&gt;40,"C2")</f>
        <v>B1</v>
      </c>
      <c r="F883">
        <v>92</v>
      </c>
    </row>
    <row r="884" spans="2:6" x14ac:dyDescent="0.3">
      <c r="B884">
        <v>90</v>
      </c>
      <c r="C884" t="str" cm="1">
        <f t="array" ref="C884">_xlfn.IFS(B884&gt;90,"A1",B884&gt;80,"A2",B884&gt;70,"B1",B884&gt;60,"B2",B884&gt;50,"C1",B884&gt;40,"C2")</f>
        <v>A2</v>
      </c>
      <c r="D884">
        <v>60</v>
      </c>
      <c r="E884" t="str" cm="1">
        <f t="array" ref="E884">_xlfn.IFS(Table1[[#This Row],[Previous Marks]]&gt;90,"A1",Table1[[#This Row],[Previous Marks]]&gt;80,"A2",Table1[[#This Row],[Previous Marks]]&gt;70,"B1",Table1[[#This Row],[Previous Marks]]&gt;60,"B2",Table1[[#This Row],[Previous Marks]]&gt;50,"C1",Table1[[#This Row],[Previous Marks]]&gt;40,"C2")</f>
        <v>C1</v>
      </c>
      <c r="F884">
        <v>95</v>
      </c>
    </row>
    <row r="885" spans="2:6" x14ac:dyDescent="0.3">
      <c r="B885">
        <v>80</v>
      </c>
      <c r="C885" t="str" cm="1">
        <f t="array" ref="C885">_xlfn.IFS(B885&gt;90,"A1",B885&gt;80,"A2",B885&gt;70,"B1",B885&gt;60,"B2",B885&gt;50,"C1",B885&gt;40,"C2")</f>
        <v>B1</v>
      </c>
      <c r="D885">
        <v>88</v>
      </c>
      <c r="E885" t="str" cm="1">
        <f t="array" ref="E885">_xlfn.IFS(Table1[[#This Row],[Previous Marks]]&gt;90,"A1",Table1[[#This Row],[Previous Marks]]&gt;80,"A2",Table1[[#This Row],[Previous Marks]]&gt;70,"B1",Table1[[#This Row],[Previous Marks]]&gt;60,"B2",Table1[[#This Row],[Previous Marks]]&gt;50,"C1",Table1[[#This Row],[Previous Marks]]&gt;40,"C2")</f>
        <v>A2</v>
      </c>
      <c r="F885">
        <v>91</v>
      </c>
    </row>
    <row r="886" spans="2:6" x14ac:dyDescent="0.3">
      <c r="B886">
        <v>92</v>
      </c>
      <c r="C886" t="str" cm="1">
        <f t="array" ref="C886">_xlfn.IFS(B886&gt;90,"A1",B886&gt;80,"A2",B886&gt;70,"B1",B886&gt;60,"B2",B886&gt;50,"C1",B886&gt;40,"C2")</f>
        <v>A1</v>
      </c>
      <c r="D886">
        <v>70</v>
      </c>
      <c r="E886" t="str" cm="1">
        <f t="array" ref="E886">_xlfn.IFS(Table1[[#This Row],[Previous Marks]]&gt;90,"A1",Table1[[#This Row],[Previous Marks]]&gt;80,"A2",Table1[[#This Row],[Previous Marks]]&gt;70,"B1",Table1[[#This Row],[Previous Marks]]&gt;60,"B2",Table1[[#This Row],[Previous Marks]]&gt;50,"C1",Table1[[#This Row],[Previous Marks]]&gt;40,"C2")</f>
        <v>B2</v>
      </c>
      <c r="F886">
        <v>91</v>
      </c>
    </row>
    <row r="887" spans="2:6" x14ac:dyDescent="0.3">
      <c r="B887">
        <v>90</v>
      </c>
      <c r="C887" t="str" cm="1">
        <f t="array" ref="C887">_xlfn.IFS(B887&gt;90,"A1",B887&gt;80,"A2",B887&gt;70,"B1",B887&gt;60,"B2",B887&gt;50,"C1",B887&gt;40,"C2")</f>
        <v>A2</v>
      </c>
      <c r="D887">
        <v>88</v>
      </c>
      <c r="E887" t="str" cm="1">
        <f t="array" ref="E887">_xlfn.IFS(Table1[[#This Row],[Previous Marks]]&gt;90,"A1",Table1[[#This Row],[Previous Marks]]&gt;80,"A2",Table1[[#This Row],[Previous Marks]]&gt;70,"B1",Table1[[#This Row],[Previous Marks]]&gt;60,"B2",Table1[[#This Row],[Previous Marks]]&gt;50,"C1",Table1[[#This Row],[Previous Marks]]&gt;40,"C2")</f>
        <v>A2</v>
      </c>
      <c r="F887">
        <v>92</v>
      </c>
    </row>
    <row r="888" spans="2:6" x14ac:dyDescent="0.3">
      <c r="B888">
        <v>90</v>
      </c>
      <c r="C888" t="str" cm="1">
        <f t="array" ref="C888">_xlfn.IFS(B888&gt;90,"A1",B888&gt;80,"A2",B888&gt;70,"B1",B888&gt;60,"B2",B888&gt;50,"C1",B888&gt;40,"C2")</f>
        <v>A2</v>
      </c>
      <c r="D888">
        <v>60</v>
      </c>
      <c r="E888" t="str" cm="1">
        <f t="array" ref="E888">_xlfn.IFS(Table1[[#This Row],[Previous Marks]]&gt;90,"A1",Table1[[#This Row],[Previous Marks]]&gt;80,"A2",Table1[[#This Row],[Previous Marks]]&gt;70,"B1",Table1[[#This Row],[Previous Marks]]&gt;60,"B2",Table1[[#This Row],[Previous Marks]]&gt;50,"C1",Table1[[#This Row],[Previous Marks]]&gt;40,"C2")</f>
        <v>C1</v>
      </c>
      <c r="F888">
        <v>91</v>
      </c>
    </row>
    <row r="889" spans="2:6" x14ac:dyDescent="0.3">
      <c r="B889">
        <v>80.030208333333334</v>
      </c>
      <c r="C889" t="str" cm="1">
        <f t="array" ref="C889">_xlfn.IFS(B889&gt;90,"A1",B889&gt;80,"A2",B889&gt;70,"B1",B889&gt;60,"B2",B889&gt;50,"C1",B889&gt;40,"C2")</f>
        <v>A2</v>
      </c>
      <c r="D889">
        <v>65</v>
      </c>
      <c r="E889" t="str" cm="1">
        <f t="array" ref="E889">_xlfn.IFS(Table1[[#This Row],[Previous Marks]]&gt;90,"A1",Table1[[#This Row],[Previous Marks]]&gt;80,"A2",Table1[[#This Row],[Previous Marks]]&gt;70,"B1",Table1[[#This Row],[Previous Marks]]&gt;60,"B2",Table1[[#This Row],[Previous Marks]]&gt;50,"C1",Table1[[#This Row],[Previous Marks]]&gt;40,"C2")</f>
        <v>B2</v>
      </c>
      <c r="F889">
        <v>91</v>
      </c>
    </row>
    <row r="890" spans="2:6" x14ac:dyDescent="0.3">
      <c r="B890">
        <v>72</v>
      </c>
      <c r="C890" t="str" cm="1">
        <f t="array" ref="C890">_xlfn.IFS(B890&gt;90,"A1",B890&gt;80,"A2",B890&gt;70,"B1",B890&gt;60,"B2",B890&gt;50,"C1",B890&gt;40,"C2")</f>
        <v>B1</v>
      </c>
      <c r="D890">
        <v>85</v>
      </c>
      <c r="E890" t="str" cm="1">
        <f t="array" ref="E890">_xlfn.IFS(Table1[[#This Row],[Previous Marks]]&gt;90,"A1",Table1[[#This Row],[Previous Marks]]&gt;80,"A2",Table1[[#This Row],[Previous Marks]]&gt;70,"B1",Table1[[#This Row],[Previous Marks]]&gt;60,"B2",Table1[[#This Row],[Previous Marks]]&gt;50,"C1",Table1[[#This Row],[Previous Marks]]&gt;40,"C2")</f>
        <v>A2</v>
      </c>
      <c r="F890">
        <v>78</v>
      </c>
    </row>
    <row r="891" spans="2:6" x14ac:dyDescent="0.3">
      <c r="B891">
        <v>85</v>
      </c>
      <c r="C891" t="str" cm="1">
        <f t="array" ref="C891">_xlfn.IFS(B891&gt;90,"A1",B891&gt;80,"A2",B891&gt;70,"B1",B891&gt;60,"B2",B891&gt;50,"C1",B891&gt;40,"C2")</f>
        <v>A2</v>
      </c>
      <c r="D891">
        <v>65</v>
      </c>
      <c r="E891" t="str" cm="1">
        <f t="array" ref="E891">_xlfn.IFS(Table1[[#This Row],[Previous Marks]]&gt;90,"A1",Table1[[#This Row],[Previous Marks]]&gt;80,"A2",Table1[[#This Row],[Previous Marks]]&gt;70,"B1",Table1[[#This Row],[Previous Marks]]&gt;60,"B2",Table1[[#This Row],[Previous Marks]]&gt;50,"C1",Table1[[#This Row],[Previous Marks]]&gt;40,"C2")</f>
        <v>B2</v>
      </c>
      <c r="F891">
        <v>70</v>
      </c>
    </row>
    <row r="892" spans="2:6" x14ac:dyDescent="0.3">
      <c r="B892">
        <v>88</v>
      </c>
      <c r="C892" t="str" cm="1">
        <f t="array" ref="C892">_xlfn.IFS(B892&gt;90,"A1",B892&gt;80,"A2",B892&gt;70,"B1",B892&gt;60,"B2",B892&gt;50,"C1",B892&gt;40,"C2")</f>
        <v>A2</v>
      </c>
      <c r="D892">
        <v>85</v>
      </c>
      <c r="E892" t="str" cm="1">
        <f t="array" ref="E892">_xlfn.IFS(Table1[[#This Row],[Previous Marks]]&gt;90,"A1",Table1[[#This Row],[Previous Marks]]&gt;80,"A2",Table1[[#This Row],[Previous Marks]]&gt;70,"B1",Table1[[#This Row],[Previous Marks]]&gt;60,"B2",Table1[[#This Row],[Previous Marks]]&gt;50,"C1",Table1[[#This Row],[Previous Marks]]&gt;40,"C2")</f>
        <v>A2</v>
      </c>
      <c r="F892">
        <v>82</v>
      </c>
    </row>
    <row r="893" spans="2:6" x14ac:dyDescent="0.3">
      <c r="B893">
        <v>85</v>
      </c>
      <c r="C893" t="str" cm="1">
        <f t="array" ref="C893">_xlfn.IFS(B893&gt;90,"A1",B893&gt;80,"A2",B893&gt;70,"B1",B893&gt;60,"B2",B893&gt;50,"C1",B893&gt;40,"C2")</f>
        <v>A2</v>
      </c>
      <c r="D893">
        <v>60</v>
      </c>
      <c r="E893" t="str" cm="1">
        <f t="array" ref="E893">_xlfn.IFS(Table1[[#This Row],[Previous Marks]]&gt;90,"A1",Table1[[#This Row],[Previous Marks]]&gt;80,"A2",Table1[[#This Row],[Previous Marks]]&gt;70,"B1",Table1[[#This Row],[Previous Marks]]&gt;60,"B2",Table1[[#This Row],[Previous Marks]]&gt;50,"C1",Table1[[#This Row],[Previous Marks]]&gt;40,"C2")</f>
        <v>C1</v>
      </c>
      <c r="F893">
        <v>70</v>
      </c>
    </row>
    <row r="894" spans="2:6" x14ac:dyDescent="0.3">
      <c r="B894">
        <v>68</v>
      </c>
      <c r="C894" t="str" cm="1">
        <f t="array" ref="C894">_xlfn.IFS(B894&gt;90,"A1",B894&gt;80,"A2",B894&gt;70,"B1",B894&gt;60,"B2",B894&gt;50,"C1",B894&gt;40,"C2")</f>
        <v>B2</v>
      </c>
      <c r="D894">
        <v>85</v>
      </c>
      <c r="E894" t="str" cm="1">
        <f t="array" ref="E894">_xlfn.IFS(Table1[[#This Row],[Previous Marks]]&gt;90,"A1",Table1[[#This Row],[Previous Marks]]&gt;80,"A2",Table1[[#This Row],[Previous Marks]]&gt;70,"B1",Table1[[#This Row],[Previous Marks]]&gt;60,"B2",Table1[[#This Row],[Previous Marks]]&gt;50,"C1",Table1[[#This Row],[Previous Marks]]&gt;40,"C2")</f>
        <v>A2</v>
      </c>
      <c r="F894">
        <v>91</v>
      </c>
    </row>
    <row r="895" spans="2:6" x14ac:dyDescent="0.3">
      <c r="B895">
        <v>90</v>
      </c>
      <c r="C895" t="str" cm="1">
        <f t="array" ref="C895">_xlfn.IFS(B895&gt;90,"A1",B895&gt;80,"A2",B895&gt;70,"B1",B895&gt;60,"B2",B895&gt;50,"C1",B895&gt;40,"C2")</f>
        <v>A2</v>
      </c>
      <c r="D895">
        <v>90</v>
      </c>
      <c r="E895" t="str" cm="1">
        <f t="array" ref="E895">_xlfn.IFS(Table1[[#This Row],[Previous Marks]]&gt;90,"A1",Table1[[#This Row],[Previous Marks]]&gt;80,"A2",Table1[[#This Row],[Previous Marks]]&gt;70,"B1",Table1[[#This Row],[Previous Marks]]&gt;60,"B2",Table1[[#This Row],[Previous Marks]]&gt;50,"C1",Table1[[#This Row],[Previous Marks]]&gt;40,"C2")</f>
        <v>A2</v>
      </c>
      <c r="F895">
        <v>91</v>
      </c>
    </row>
    <row r="896" spans="2:6" x14ac:dyDescent="0.3">
      <c r="B896">
        <v>90</v>
      </c>
      <c r="C896" t="str" cm="1">
        <f t="array" ref="C896">_xlfn.IFS(B896&gt;90,"A1",B896&gt;80,"A2",B896&gt;70,"B1",B896&gt;60,"B2",B896&gt;50,"C1",B896&gt;40,"C2")</f>
        <v>A2</v>
      </c>
      <c r="D896">
        <v>78</v>
      </c>
      <c r="E896" t="str" cm="1">
        <f t="array" ref="E896">_xlfn.IFS(Table1[[#This Row],[Previous Marks]]&gt;90,"A1",Table1[[#This Row],[Previous Marks]]&gt;80,"A2",Table1[[#This Row],[Previous Marks]]&gt;70,"B1",Table1[[#This Row],[Previous Marks]]&gt;60,"B2",Table1[[#This Row],[Previous Marks]]&gt;50,"C1",Table1[[#This Row],[Previous Marks]]&gt;40,"C2")</f>
        <v>B1</v>
      </c>
      <c r="F896">
        <v>90</v>
      </c>
    </row>
    <row r="897" spans="2:6" x14ac:dyDescent="0.3">
      <c r="B897">
        <v>80</v>
      </c>
      <c r="C897" t="str" cm="1">
        <f t="array" ref="C897">_xlfn.IFS(B897&gt;90,"A1",B897&gt;80,"A2",B897&gt;70,"B1",B897&gt;60,"B2",B897&gt;50,"C1",B897&gt;40,"C2")</f>
        <v>B1</v>
      </c>
      <c r="D897">
        <v>82</v>
      </c>
      <c r="E897" t="str" cm="1">
        <f t="array" ref="E897">_xlfn.IFS(Table1[[#This Row],[Previous Marks]]&gt;90,"A1",Table1[[#This Row],[Previous Marks]]&gt;80,"A2",Table1[[#This Row],[Previous Marks]]&gt;70,"B1",Table1[[#This Row],[Previous Marks]]&gt;60,"B2",Table1[[#This Row],[Previous Marks]]&gt;50,"C1",Table1[[#This Row],[Previous Marks]]&gt;40,"C2")</f>
        <v>A2</v>
      </c>
      <c r="F897">
        <v>78</v>
      </c>
    </row>
    <row r="898" spans="2:6" x14ac:dyDescent="0.3">
      <c r="B898">
        <v>90</v>
      </c>
      <c r="C898" t="str" cm="1">
        <f t="array" ref="C898">_xlfn.IFS(B898&gt;90,"A1",B898&gt;80,"A2",B898&gt;70,"B1",B898&gt;60,"B2",B898&gt;50,"C1",B898&gt;40,"C2")</f>
        <v>A2</v>
      </c>
      <c r="D898">
        <v>82</v>
      </c>
      <c r="E898" t="str" cm="1">
        <f t="array" ref="E898">_xlfn.IFS(Table1[[#This Row],[Previous Marks]]&gt;90,"A1",Table1[[#This Row],[Previous Marks]]&gt;80,"A2",Table1[[#This Row],[Previous Marks]]&gt;70,"B1",Table1[[#This Row],[Previous Marks]]&gt;60,"B2",Table1[[#This Row],[Previous Marks]]&gt;50,"C1",Table1[[#This Row],[Previous Marks]]&gt;40,"C2")</f>
        <v>A2</v>
      </c>
      <c r="F898">
        <v>92</v>
      </c>
    </row>
    <row r="899" spans="2:6" x14ac:dyDescent="0.3">
      <c r="B899">
        <v>68</v>
      </c>
      <c r="C899" t="str" cm="1">
        <f t="array" ref="C899">_xlfn.IFS(B899&gt;90,"A1",B899&gt;80,"A2",B899&gt;70,"B1",B899&gt;60,"B2",B899&gt;50,"C1",B899&gt;40,"C2")</f>
        <v>B2</v>
      </c>
      <c r="D899">
        <v>60</v>
      </c>
      <c r="E899" t="str" cm="1">
        <f t="array" ref="E899">_xlfn.IFS(Table1[[#This Row],[Previous Marks]]&gt;90,"A1",Table1[[#This Row],[Previous Marks]]&gt;80,"A2",Table1[[#This Row],[Previous Marks]]&gt;70,"B1",Table1[[#This Row],[Previous Marks]]&gt;60,"B2",Table1[[#This Row],[Previous Marks]]&gt;50,"C1",Table1[[#This Row],[Previous Marks]]&gt;40,"C2")</f>
        <v>C1</v>
      </c>
      <c r="F899">
        <v>78</v>
      </c>
    </row>
    <row r="900" spans="2:6" x14ac:dyDescent="0.3">
      <c r="B900">
        <v>72</v>
      </c>
      <c r="C900" t="str" cm="1">
        <f t="array" ref="C900">_xlfn.IFS(B900&gt;90,"A1",B900&gt;80,"A2",B900&gt;70,"B1",B900&gt;60,"B2",B900&gt;50,"C1",B900&gt;40,"C2")</f>
        <v>B1</v>
      </c>
      <c r="D900">
        <v>60</v>
      </c>
      <c r="E900" t="str" cm="1">
        <f t="array" ref="E900">_xlfn.IFS(Table1[[#This Row],[Previous Marks]]&gt;90,"A1",Table1[[#This Row],[Previous Marks]]&gt;80,"A2",Table1[[#This Row],[Previous Marks]]&gt;70,"B1",Table1[[#This Row],[Previous Marks]]&gt;60,"B2",Table1[[#This Row],[Previous Marks]]&gt;50,"C1",Table1[[#This Row],[Previous Marks]]&gt;40,"C2")</f>
        <v>C1</v>
      </c>
      <c r="F900">
        <v>85</v>
      </c>
    </row>
    <row r="901" spans="2:6" x14ac:dyDescent="0.3">
      <c r="B901">
        <v>85</v>
      </c>
      <c r="C901" t="str" cm="1">
        <f t="array" ref="C901">_xlfn.IFS(B901&gt;90,"A1",B901&gt;80,"A2",B901&gt;70,"B1",B901&gt;60,"B2",B901&gt;50,"C1",B901&gt;40,"C2")</f>
        <v>A2</v>
      </c>
      <c r="D901">
        <v>88</v>
      </c>
      <c r="E901" t="str" cm="1">
        <f t="array" ref="E901">_xlfn.IFS(Table1[[#This Row],[Previous Marks]]&gt;90,"A1",Table1[[#This Row],[Previous Marks]]&gt;80,"A2",Table1[[#This Row],[Previous Marks]]&gt;70,"B1",Table1[[#This Row],[Previous Marks]]&gt;60,"B2",Table1[[#This Row],[Previous Marks]]&gt;50,"C1",Table1[[#This Row],[Previous Marks]]&gt;40,"C2")</f>
        <v>A2</v>
      </c>
      <c r="F901">
        <v>90</v>
      </c>
    </row>
    <row r="902" spans="2:6" x14ac:dyDescent="0.3">
      <c r="B902">
        <v>92</v>
      </c>
      <c r="C902" t="str" cm="1">
        <f t="array" ref="C902">_xlfn.IFS(B902&gt;90,"A1",B902&gt;80,"A2",B902&gt;70,"B1",B902&gt;60,"B2",B902&gt;50,"C1",B902&gt;40,"C2")</f>
        <v>A1</v>
      </c>
      <c r="D902">
        <v>90</v>
      </c>
      <c r="E902" t="str" cm="1">
        <f t="array" ref="E902">_xlfn.IFS(Table1[[#This Row],[Previous Marks]]&gt;90,"A1",Table1[[#This Row],[Previous Marks]]&gt;80,"A2",Table1[[#This Row],[Previous Marks]]&gt;70,"B1",Table1[[#This Row],[Previous Marks]]&gt;60,"B2",Table1[[#This Row],[Previous Marks]]&gt;50,"C1",Table1[[#This Row],[Previous Marks]]&gt;40,"C2")</f>
        <v>A2</v>
      </c>
      <c r="F902">
        <v>85.510416666666671</v>
      </c>
    </row>
    <row r="903" spans="2:6" x14ac:dyDescent="0.3">
      <c r="B903">
        <v>90</v>
      </c>
      <c r="C903" t="str" cm="1">
        <f t="array" ref="C903">_xlfn.IFS(B903&gt;90,"A1",B903&gt;80,"A2",B903&gt;70,"B1",B903&gt;60,"B2",B903&gt;50,"C1",B903&gt;40,"C2")</f>
        <v>A2</v>
      </c>
      <c r="D903">
        <v>65</v>
      </c>
      <c r="E903" t="str" cm="1">
        <f t="array" ref="E903">_xlfn.IFS(Table1[[#This Row],[Previous Marks]]&gt;90,"A1",Table1[[#This Row],[Previous Marks]]&gt;80,"A2",Table1[[#This Row],[Previous Marks]]&gt;70,"B1",Table1[[#This Row],[Previous Marks]]&gt;60,"B2",Table1[[#This Row],[Previous Marks]]&gt;50,"C1",Table1[[#This Row],[Previous Marks]]&gt;40,"C2")</f>
        <v>B2</v>
      </c>
      <c r="F903">
        <v>70</v>
      </c>
    </row>
    <row r="904" spans="2:6" x14ac:dyDescent="0.3">
      <c r="B904">
        <v>80</v>
      </c>
      <c r="C904" t="str" cm="1">
        <f t="array" ref="C904">_xlfn.IFS(B904&gt;90,"A1",B904&gt;80,"A2",B904&gt;70,"B1",B904&gt;60,"B2",B904&gt;50,"C1",B904&gt;40,"C2")</f>
        <v>B1</v>
      </c>
      <c r="D904">
        <v>65</v>
      </c>
      <c r="E904" t="str" cm="1">
        <f t="array" ref="E904">_xlfn.IFS(Table1[[#This Row],[Previous Marks]]&gt;90,"A1",Table1[[#This Row],[Previous Marks]]&gt;80,"A2",Table1[[#This Row],[Previous Marks]]&gt;70,"B1",Table1[[#This Row],[Previous Marks]]&gt;60,"B2",Table1[[#This Row],[Previous Marks]]&gt;50,"C1",Table1[[#This Row],[Previous Marks]]&gt;40,"C2")</f>
        <v>B2</v>
      </c>
      <c r="F904">
        <v>91</v>
      </c>
    </row>
    <row r="905" spans="2:6" x14ac:dyDescent="0.3">
      <c r="B905">
        <v>78</v>
      </c>
      <c r="C905" t="str" cm="1">
        <f t="array" ref="C905">_xlfn.IFS(B905&gt;90,"A1",B905&gt;80,"A2",B905&gt;70,"B1",B905&gt;60,"B2",B905&gt;50,"C1",B905&gt;40,"C2")</f>
        <v>B1</v>
      </c>
      <c r="D905">
        <v>77</v>
      </c>
      <c r="E905" t="str" cm="1">
        <f t="array" ref="E905">_xlfn.IFS(Table1[[#This Row],[Previous Marks]]&gt;90,"A1",Table1[[#This Row],[Previous Marks]]&gt;80,"A2",Table1[[#This Row],[Previous Marks]]&gt;70,"B1",Table1[[#This Row],[Previous Marks]]&gt;60,"B2",Table1[[#This Row],[Previous Marks]]&gt;50,"C1",Table1[[#This Row],[Previous Marks]]&gt;40,"C2")</f>
        <v>B1</v>
      </c>
      <c r="F905">
        <v>70</v>
      </c>
    </row>
    <row r="906" spans="2:6" x14ac:dyDescent="0.3">
      <c r="B906">
        <v>88</v>
      </c>
      <c r="C906" t="str" cm="1">
        <f t="array" ref="C906">_xlfn.IFS(B906&gt;90,"A1",B906&gt;80,"A2",B906&gt;70,"B1",B906&gt;60,"B2",B906&gt;50,"C1",B906&gt;40,"C2")</f>
        <v>A2</v>
      </c>
      <c r="D906">
        <v>90</v>
      </c>
      <c r="E906" t="str" cm="1">
        <f t="array" ref="E906">_xlfn.IFS(Table1[[#This Row],[Previous Marks]]&gt;90,"A1",Table1[[#This Row],[Previous Marks]]&gt;80,"A2",Table1[[#This Row],[Previous Marks]]&gt;70,"B1",Table1[[#This Row],[Previous Marks]]&gt;60,"B2",Table1[[#This Row],[Previous Marks]]&gt;50,"C1",Table1[[#This Row],[Previous Marks]]&gt;40,"C2")</f>
        <v>A2</v>
      </c>
      <c r="F906">
        <v>85</v>
      </c>
    </row>
    <row r="907" spans="2:6" x14ac:dyDescent="0.3">
      <c r="B907">
        <v>68</v>
      </c>
      <c r="C907" t="str" cm="1">
        <f t="array" ref="C907">_xlfn.IFS(B907&gt;90,"A1",B907&gt;80,"A2",B907&gt;70,"B1",B907&gt;60,"B2",B907&gt;50,"C1",B907&gt;40,"C2")</f>
        <v>B2</v>
      </c>
      <c r="D907">
        <v>60</v>
      </c>
      <c r="E907" t="str" cm="1">
        <f t="array" ref="E907">_xlfn.IFS(Table1[[#This Row],[Previous Marks]]&gt;90,"A1",Table1[[#This Row],[Previous Marks]]&gt;80,"A2",Table1[[#This Row],[Previous Marks]]&gt;70,"B1",Table1[[#This Row],[Previous Marks]]&gt;60,"B2",Table1[[#This Row],[Previous Marks]]&gt;50,"C1",Table1[[#This Row],[Previous Marks]]&gt;40,"C2")</f>
        <v>C1</v>
      </c>
      <c r="F907">
        <v>70</v>
      </c>
    </row>
    <row r="908" spans="2:6" x14ac:dyDescent="0.3">
      <c r="B908">
        <v>87</v>
      </c>
      <c r="C908" t="str" cm="1">
        <f t="array" ref="C908">_xlfn.IFS(B908&gt;90,"A1",B908&gt;80,"A2",B908&gt;70,"B1",B908&gt;60,"B2",B908&gt;50,"C1",B908&gt;40,"C2")</f>
        <v>A2</v>
      </c>
      <c r="D908">
        <v>70</v>
      </c>
      <c r="E908" t="str" cm="1">
        <f t="array" ref="E908">_xlfn.IFS(Table1[[#This Row],[Previous Marks]]&gt;90,"A1",Table1[[#This Row],[Previous Marks]]&gt;80,"A2",Table1[[#This Row],[Previous Marks]]&gt;70,"B1",Table1[[#This Row],[Previous Marks]]&gt;60,"B2",Table1[[#This Row],[Previous Marks]]&gt;50,"C1",Table1[[#This Row],[Previous Marks]]&gt;40,"C2")</f>
        <v>B2</v>
      </c>
      <c r="F908">
        <v>70</v>
      </c>
    </row>
    <row r="909" spans="2:6" x14ac:dyDescent="0.3">
      <c r="B909">
        <v>78</v>
      </c>
      <c r="C909" t="str" cm="1">
        <f t="array" ref="C909">_xlfn.IFS(B909&gt;90,"A1",B909&gt;80,"A2",B909&gt;70,"B1",B909&gt;60,"B2",B909&gt;50,"C1",B909&gt;40,"C2")</f>
        <v>B1</v>
      </c>
      <c r="D909">
        <v>65</v>
      </c>
      <c r="E909" t="str" cm="1">
        <f t="array" ref="E909">_xlfn.IFS(Table1[[#This Row],[Previous Marks]]&gt;90,"A1",Table1[[#This Row],[Previous Marks]]&gt;80,"A2",Table1[[#This Row],[Previous Marks]]&gt;70,"B1",Table1[[#This Row],[Previous Marks]]&gt;60,"B2",Table1[[#This Row],[Previous Marks]]&gt;50,"C1",Table1[[#This Row],[Previous Marks]]&gt;40,"C2")</f>
        <v>B2</v>
      </c>
      <c r="F909">
        <v>78</v>
      </c>
    </row>
    <row r="910" spans="2:6" x14ac:dyDescent="0.3">
      <c r="B910">
        <v>87</v>
      </c>
      <c r="C910" t="str" cm="1">
        <f t="array" ref="C910">_xlfn.IFS(B910&gt;90,"A1",B910&gt;80,"A2",B910&gt;70,"B1",B910&gt;60,"B2",B910&gt;50,"C1",B910&gt;40,"C2")</f>
        <v>A2</v>
      </c>
      <c r="D910">
        <v>70</v>
      </c>
      <c r="E910" t="str" cm="1">
        <f t="array" ref="E910">_xlfn.IFS(Table1[[#This Row],[Previous Marks]]&gt;90,"A1",Table1[[#This Row],[Previous Marks]]&gt;80,"A2",Table1[[#This Row],[Previous Marks]]&gt;70,"B1",Table1[[#This Row],[Previous Marks]]&gt;60,"B2",Table1[[#This Row],[Previous Marks]]&gt;50,"C1",Table1[[#This Row],[Previous Marks]]&gt;40,"C2")</f>
        <v>B2</v>
      </c>
      <c r="F910">
        <v>78</v>
      </c>
    </row>
    <row r="911" spans="2:6" x14ac:dyDescent="0.3">
      <c r="B911">
        <v>72</v>
      </c>
      <c r="C911" t="str" cm="1">
        <f t="array" ref="C911">_xlfn.IFS(B911&gt;90,"A1",B911&gt;80,"A2",B911&gt;70,"B1",B911&gt;60,"B2",B911&gt;50,"C1",B911&gt;40,"C2")</f>
        <v>B1</v>
      </c>
      <c r="D911">
        <v>90</v>
      </c>
      <c r="E911" t="str" cm="1">
        <f t="array" ref="E911">_xlfn.IFS(Table1[[#This Row],[Previous Marks]]&gt;90,"A1",Table1[[#This Row],[Previous Marks]]&gt;80,"A2",Table1[[#This Row],[Previous Marks]]&gt;70,"B1",Table1[[#This Row],[Previous Marks]]&gt;60,"B2",Table1[[#This Row],[Previous Marks]]&gt;50,"C1",Table1[[#This Row],[Previous Marks]]&gt;40,"C2")</f>
        <v>A2</v>
      </c>
      <c r="F911">
        <v>70</v>
      </c>
    </row>
    <row r="912" spans="2:6" x14ac:dyDescent="0.3">
      <c r="B912">
        <v>72</v>
      </c>
      <c r="C912" t="str" cm="1">
        <f t="array" ref="C912">_xlfn.IFS(B912&gt;90,"A1",B912&gt;80,"A2",B912&gt;70,"B1",B912&gt;60,"B2",B912&gt;50,"C1",B912&gt;40,"C2")</f>
        <v>B1</v>
      </c>
      <c r="D912">
        <v>88</v>
      </c>
      <c r="E912" t="str" cm="1">
        <f t="array" ref="E912">_xlfn.IFS(Table1[[#This Row],[Previous Marks]]&gt;90,"A1",Table1[[#This Row],[Previous Marks]]&gt;80,"A2",Table1[[#This Row],[Previous Marks]]&gt;70,"B1",Table1[[#This Row],[Previous Marks]]&gt;60,"B2",Table1[[#This Row],[Previous Marks]]&gt;50,"C1",Table1[[#This Row],[Previous Marks]]&gt;40,"C2")</f>
        <v>A2</v>
      </c>
      <c r="F912">
        <v>95</v>
      </c>
    </row>
    <row r="913" spans="2:6" x14ac:dyDescent="0.3">
      <c r="B913">
        <v>88</v>
      </c>
      <c r="C913" t="str" cm="1">
        <f t="array" ref="C913">_xlfn.IFS(B913&gt;90,"A1",B913&gt;80,"A2",B913&gt;70,"B1",B913&gt;60,"B2",B913&gt;50,"C1",B913&gt;40,"C2")</f>
        <v>A2</v>
      </c>
      <c r="D913">
        <v>82</v>
      </c>
      <c r="E913" t="str" cm="1">
        <f t="array" ref="E913">_xlfn.IFS(Table1[[#This Row],[Previous Marks]]&gt;90,"A1",Table1[[#This Row],[Previous Marks]]&gt;80,"A2",Table1[[#This Row],[Previous Marks]]&gt;70,"B1",Table1[[#This Row],[Previous Marks]]&gt;60,"B2",Table1[[#This Row],[Previous Marks]]&gt;50,"C1",Table1[[#This Row],[Previous Marks]]&gt;40,"C2")</f>
        <v>A2</v>
      </c>
      <c r="F913">
        <v>92</v>
      </c>
    </row>
    <row r="914" spans="2:6" x14ac:dyDescent="0.3">
      <c r="B914">
        <v>85</v>
      </c>
      <c r="C914" t="str" cm="1">
        <f t="array" ref="C914">_xlfn.IFS(B914&gt;90,"A1",B914&gt;80,"A2",B914&gt;70,"B1",B914&gt;60,"B2",B914&gt;50,"C1",B914&gt;40,"C2")</f>
        <v>A2</v>
      </c>
      <c r="D914">
        <v>85</v>
      </c>
      <c r="E914" t="str" cm="1">
        <f t="array" ref="E914">_xlfn.IFS(Table1[[#This Row],[Previous Marks]]&gt;90,"A1",Table1[[#This Row],[Previous Marks]]&gt;80,"A2",Table1[[#This Row],[Previous Marks]]&gt;70,"B1",Table1[[#This Row],[Previous Marks]]&gt;60,"B2",Table1[[#This Row],[Previous Marks]]&gt;50,"C1",Table1[[#This Row],[Previous Marks]]&gt;40,"C2")</f>
        <v>A2</v>
      </c>
      <c r="F914">
        <v>91</v>
      </c>
    </row>
    <row r="915" spans="2:6" x14ac:dyDescent="0.3">
      <c r="B915">
        <v>87</v>
      </c>
      <c r="C915" t="str" cm="1">
        <f t="array" ref="C915">_xlfn.IFS(B915&gt;90,"A1",B915&gt;80,"A2",B915&gt;70,"B1",B915&gt;60,"B2",B915&gt;50,"C1",B915&gt;40,"C2")</f>
        <v>A2</v>
      </c>
      <c r="D915">
        <v>65</v>
      </c>
      <c r="E915" t="str" cm="1">
        <f t="array" ref="E915">_xlfn.IFS(Table1[[#This Row],[Previous Marks]]&gt;90,"A1",Table1[[#This Row],[Previous Marks]]&gt;80,"A2",Table1[[#This Row],[Previous Marks]]&gt;70,"B1",Table1[[#This Row],[Previous Marks]]&gt;60,"B2",Table1[[#This Row],[Previous Marks]]&gt;50,"C1",Table1[[#This Row],[Previous Marks]]&gt;40,"C2")</f>
        <v>B2</v>
      </c>
      <c r="F915">
        <v>88</v>
      </c>
    </row>
    <row r="916" spans="2:6" x14ac:dyDescent="0.3">
      <c r="B916">
        <v>80</v>
      </c>
      <c r="C916" t="str" cm="1">
        <f t="array" ref="C916">_xlfn.IFS(B916&gt;90,"A1",B916&gt;80,"A2",B916&gt;70,"B1",B916&gt;60,"B2",B916&gt;50,"C1",B916&gt;40,"C2")</f>
        <v>B1</v>
      </c>
      <c r="D916">
        <v>88</v>
      </c>
      <c r="E916" t="str" cm="1">
        <f t="array" ref="E916">_xlfn.IFS(Table1[[#This Row],[Previous Marks]]&gt;90,"A1",Table1[[#This Row],[Previous Marks]]&gt;80,"A2",Table1[[#This Row],[Previous Marks]]&gt;70,"B1",Table1[[#This Row],[Previous Marks]]&gt;60,"B2",Table1[[#This Row],[Previous Marks]]&gt;50,"C1",Table1[[#This Row],[Previous Marks]]&gt;40,"C2")</f>
        <v>A2</v>
      </c>
      <c r="F916">
        <v>70</v>
      </c>
    </row>
    <row r="917" spans="2:6" x14ac:dyDescent="0.3">
      <c r="B917">
        <v>90</v>
      </c>
      <c r="C917" t="str" cm="1">
        <f t="array" ref="C917">_xlfn.IFS(B917&gt;90,"A1",B917&gt;80,"A2",B917&gt;70,"B1",B917&gt;60,"B2",B917&gt;50,"C1",B917&gt;40,"C2")</f>
        <v>A2</v>
      </c>
      <c r="D917">
        <v>70</v>
      </c>
      <c r="E917" t="str" cm="1">
        <f t="array" ref="E917">_xlfn.IFS(Table1[[#This Row],[Previous Marks]]&gt;90,"A1",Table1[[#This Row],[Previous Marks]]&gt;80,"A2",Table1[[#This Row],[Previous Marks]]&gt;70,"B1",Table1[[#This Row],[Previous Marks]]&gt;60,"B2",Table1[[#This Row],[Previous Marks]]&gt;50,"C1",Table1[[#This Row],[Previous Marks]]&gt;40,"C2")</f>
        <v>B2</v>
      </c>
      <c r="F917">
        <v>82</v>
      </c>
    </row>
    <row r="918" spans="2:6" x14ac:dyDescent="0.3">
      <c r="B918">
        <v>92</v>
      </c>
      <c r="C918" t="str" cm="1">
        <f t="array" ref="C918">_xlfn.IFS(B918&gt;90,"A1",B918&gt;80,"A2",B918&gt;70,"B1",B918&gt;60,"B2",B918&gt;50,"C1",B918&gt;40,"C2")</f>
        <v>A1</v>
      </c>
      <c r="D918">
        <v>78</v>
      </c>
      <c r="E918" t="str" cm="1">
        <f t="array" ref="E918">_xlfn.IFS(Table1[[#This Row],[Previous Marks]]&gt;90,"A1",Table1[[#This Row],[Previous Marks]]&gt;80,"A2",Table1[[#This Row],[Previous Marks]]&gt;70,"B1",Table1[[#This Row],[Previous Marks]]&gt;60,"B2",Table1[[#This Row],[Previous Marks]]&gt;50,"C1",Table1[[#This Row],[Previous Marks]]&gt;40,"C2")</f>
        <v>B1</v>
      </c>
      <c r="F918">
        <v>92</v>
      </c>
    </row>
    <row r="919" spans="2:6" x14ac:dyDescent="0.3">
      <c r="B919">
        <v>88</v>
      </c>
      <c r="C919" t="str" cm="1">
        <f t="array" ref="C919">_xlfn.IFS(B919&gt;90,"A1",B919&gt;80,"A2",B919&gt;70,"B1",B919&gt;60,"B2",B919&gt;50,"C1",B919&gt;40,"C2")</f>
        <v>A2</v>
      </c>
      <c r="D919">
        <v>85</v>
      </c>
      <c r="E919" t="str" cm="1">
        <f t="array" ref="E919">_xlfn.IFS(Table1[[#This Row],[Previous Marks]]&gt;90,"A1",Table1[[#This Row],[Previous Marks]]&gt;80,"A2",Table1[[#This Row],[Previous Marks]]&gt;70,"B1",Table1[[#This Row],[Previous Marks]]&gt;60,"B2",Table1[[#This Row],[Previous Marks]]&gt;50,"C1",Table1[[#This Row],[Previous Marks]]&gt;40,"C2")</f>
        <v>A2</v>
      </c>
      <c r="F919">
        <v>91</v>
      </c>
    </row>
    <row r="920" spans="2:6" x14ac:dyDescent="0.3">
      <c r="B920">
        <v>72</v>
      </c>
      <c r="C920" t="str" cm="1">
        <f t="array" ref="C920">_xlfn.IFS(B920&gt;90,"A1",B920&gt;80,"A2",B920&gt;70,"B1",B920&gt;60,"B2",B920&gt;50,"C1",B920&gt;40,"C2")</f>
        <v>B1</v>
      </c>
      <c r="D920">
        <v>60</v>
      </c>
      <c r="E920" t="str" cm="1">
        <f t="array" ref="E920">_xlfn.IFS(Table1[[#This Row],[Previous Marks]]&gt;90,"A1",Table1[[#This Row],[Previous Marks]]&gt;80,"A2",Table1[[#This Row],[Previous Marks]]&gt;70,"B1",Table1[[#This Row],[Previous Marks]]&gt;60,"B2",Table1[[#This Row],[Previous Marks]]&gt;50,"C1",Table1[[#This Row],[Previous Marks]]&gt;40,"C2")</f>
        <v>C1</v>
      </c>
      <c r="F920">
        <v>78</v>
      </c>
    </row>
    <row r="921" spans="2:6" x14ac:dyDescent="0.3">
      <c r="B921">
        <v>62</v>
      </c>
      <c r="C921" t="str" cm="1">
        <f t="array" ref="C921">_xlfn.IFS(B921&gt;90,"A1",B921&gt;80,"A2",B921&gt;70,"B1",B921&gt;60,"B2",B921&gt;50,"C1",B921&gt;40,"C2")</f>
        <v>B2</v>
      </c>
      <c r="D921">
        <v>77.598759048603924</v>
      </c>
      <c r="E921" t="str" cm="1">
        <f t="array" ref="E921">_xlfn.IFS(Table1[[#This Row],[Previous Marks]]&gt;90,"A1",Table1[[#This Row],[Previous Marks]]&gt;80,"A2",Table1[[#This Row],[Previous Marks]]&gt;70,"B1",Table1[[#This Row],[Previous Marks]]&gt;60,"B2",Table1[[#This Row],[Previous Marks]]&gt;50,"C1",Table1[[#This Row],[Previous Marks]]&gt;40,"C2")</f>
        <v>B1</v>
      </c>
      <c r="F921">
        <v>85</v>
      </c>
    </row>
    <row r="922" spans="2:6" x14ac:dyDescent="0.3">
      <c r="B922">
        <v>80.030208333333334</v>
      </c>
      <c r="C922" t="str" cm="1">
        <f t="array" ref="C922">_xlfn.IFS(B922&gt;90,"A1",B922&gt;80,"A2",B922&gt;70,"B1",B922&gt;60,"B2",B922&gt;50,"C1",B922&gt;40,"C2")</f>
        <v>A2</v>
      </c>
      <c r="D922">
        <v>77</v>
      </c>
      <c r="E922" t="str" cm="1">
        <f t="array" ref="E922">_xlfn.IFS(Table1[[#This Row],[Previous Marks]]&gt;90,"A1",Table1[[#This Row],[Previous Marks]]&gt;80,"A2",Table1[[#This Row],[Previous Marks]]&gt;70,"B1",Table1[[#This Row],[Previous Marks]]&gt;60,"B2",Table1[[#This Row],[Previous Marks]]&gt;50,"C1",Table1[[#This Row],[Previous Marks]]&gt;40,"C2")</f>
        <v>B1</v>
      </c>
      <c r="F922">
        <v>91</v>
      </c>
    </row>
    <row r="923" spans="2:6" x14ac:dyDescent="0.3">
      <c r="B923">
        <v>62</v>
      </c>
      <c r="C923" t="str" cm="1">
        <f t="array" ref="C923">_xlfn.IFS(B923&gt;90,"A1",B923&gt;80,"A2",B923&gt;70,"B1",B923&gt;60,"B2",B923&gt;50,"C1",B923&gt;40,"C2")</f>
        <v>B2</v>
      </c>
      <c r="D923">
        <v>82</v>
      </c>
      <c r="E923" t="str" cm="1">
        <f t="array" ref="E923">_xlfn.IFS(Table1[[#This Row],[Previous Marks]]&gt;90,"A1",Table1[[#This Row],[Previous Marks]]&gt;80,"A2",Table1[[#This Row],[Previous Marks]]&gt;70,"B1",Table1[[#This Row],[Previous Marks]]&gt;60,"B2",Table1[[#This Row],[Previous Marks]]&gt;50,"C1",Table1[[#This Row],[Previous Marks]]&gt;40,"C2")</f>
        <v>A2</v>
      </c>
      <c r="F923">
        <v>85.510416666666671</v>
      </c>
    </row>
    <row r="924" spans="2:6" x14ac:dyDescent="0.3">
      <c r="B924">
        <v>85</v>
      </c>
      <c r="C924" t="str" cm="1">
        <f t="array" ref="C924">_xlfn.IFS(B924&gt;90,"A1",B924&gt;80,"A2",B924&gt;70,"B1",B924&gt;60,"B2",B924&gt;50,"C1",B924&gt;40,"C2")</f>
        <v>A2</v>
      </c>
      <c r="D924">
        <v>86</v>
      </c>
      <c r="E924" t="str" cm="1">
        <f t="array" ref="E924">_xlfn.IFS(Table1[[#This Row],[Previous Marks]]&gt;90,"A1",Table1[[#This Row],[Previous Marks]]&gt;80,"A2",Table1[[#This Row],[Previous Marks]]&gt;70,"B1",Table1[[#This Row],[Previous Marks]]&gt;60,"B2",Table1[[#This Row],[Previous Marks]]&gt;50,"C1",Table1[[#This Row],[Previous Marks]]&gt;40,"C2")</f>
        <v>A2</v>
      </c>
      <c r="F924">
        <v>90</v>
      </c>
    </row>
    <row r="925" spans="2:6" x14ac:dyDescent="0.3">
      <c r="B925">
        <v>87</v>
      </c>
      <c r="C925" t="str" cm="1">
        <f t="array" ref="C925">_xlfn.IFS(B925&gt;90,"A1",B925&gt;80,"A2",B925&gt;70,"B1",B925&gt;60,"B2",B925&gt;50,"C1",B925&gt;40,"C2")</f>
        <v>A2</v>
      </c>
      <c r="D925">
        <v>70</v>
      </c>
      <c r="E925" t="str" cm="1">
        <f t="array" ref="E925">_xlfn.IFS(Table1[[#This Row],[Previous Marks]]&gt;90,"A1",Table1[[#This Row],[Previous Marks]]&gt;80,"A2",Table1[[#This Row],[Previous Marks]]&gt;70,"B1",Table1[[#This Row],[Previous Marks]]&gt;60,"B2",Table1[[#This Row],[Previous Marks]]&gt;50,"C1",Table1[[#This Row],[Previous Marks]]&gt;40,"C2")</f>
        <v>B2</v>
      </c>
      <c r="F925">
        <v>85</v>
      </c>
    </row>
    <row r="926" spans="2:6" x14ac:dyDescent="0.3">
      <c r="B926">
        <v>88</v>
      </c>
      <c r="C926" t="str" cm="1">
        <f t="array" ref="C926">_xlfn.IFS(B926&gt;90,"A1",B926&gt;80,"A2",B926&gt;70,"B1",B926&gt;60,"B2",B926&gt;50,"C1",B926&gt;40,"C2")</f>
        <v>A2</v>
      </c>
      <c r="D926">
        <v>90</v>
      </c>
      <c r="E926" t="str" cm="1">
        <f t="array" ref="E926">_xlfn.IFS(Table1[[#This Row],[Previous Marks]]&gt;90,"A1",Table1[[#This Row],[Previous Marks]]&gt;80,"A2",Table1[[#This Row],[Previous Marks]]&gt;70,"B1",Table1[[#This Row],[Previous Marks]]&gt;60,"B2",Table1[[#This Row],[Previous Marks]]&gt;50,"C1",Table1[[#This Row],[Previous Marks]]&gt;40,"C2")</f>
        <v>A2</v>
      </c>
      <c r="F926">
        <v>85.510416666666671</v>
      </c>
    </row>
    <row r="927" spans="2:6" x14ac:dyDescent="0.3">
      <c r="B927">
        <v>90</v>
      </c>
      <c r="C927" t="str" cm="1">
        <f t="array" ref="C927">_xlfn.IFS(B927&gt;90,"A1",B927&gt;80,"A2",B927&gt;70,"B1",B927&gt;60,"B2",B927&gt;50,"C1",B927&gt;40,"C2")</f>
        <v>A2</v>
      </c>
      <c r="D927">
        <v>88</v>
      </c>
      <c r="E927" t="str" cm="1">
        <f t="array" ref="E927">_xlfn.IFS(Table1[[#This Row],[Previous Marks]]&gt;90,"A1",Table1[[#This Row],[Previous Marks]]&gt;80,"A2",Table1[[#This Row],[Previous Marks]]&gt;70,"B1",Table1[[#This Row],[Previous Marks]]&gt;60,"B2",Table1[[#This Row],[Previous Marks]]&gt;50,"C1",Table1[[#This Row],[Previous Marks]]&gt;40,"C2")</f>
        <v>A2</v>
      </c>
      <c r="F927">
        <v>78</v>
      </c>
    </row>
    <row r="928" spans="2:6" x14ac:dyDescent="0.3">
      <c r="B928">
        <v>87</v>
      </c>
      <c r="C928" t="str" cm="1">
        <f t="array" ref="C928">_xlfn.IFS(B928&gt;90,"A1",B928&gt;80,"A2",B928&gt;70,"B1",B928&gt;60,"B2",B928&gt;50,"C1",B928&gt;40,"C2")</f>
        <v>A2</v>
      </c>
      <c r="D928">
        <v>88</v>
      </c>
      <c r="E928" t="str" cm="1">
        <f t="array" ref="E928">_xlfn.IFS(Table1[[#This Row],[Previous Marks]]&gt;90,"A1",Table1[[#This Row],[Previous Marks]]&gt;80,"A2",Table1[[#This Row],[Previous Marks]]&gt;70,"B1",Table1[[#This Row],[Previous Marks]]&gt;60,"B2",Table1[[#This Row],[Previous Marks]]&gt;50,"C1",Table1[[#This Row],[Previous Marks]]&gt;40,"C2")</f>
        <v>A2</v>
      </c>
      <c r="F928">
        <v>95</v>
      </c>
    </row>
    <row r="929" spans="2:6" x14ac:dyDescent="0.3">
      <c r="B929">
        <v>72</v>
      </c>
      <c r="C929" t="str" cm="1">
        <f t="array" ref="C929">_xlfn.IFS(B929&gt;90,"A1",B929&gt;80,"A2",B929&gt;70,"B1",B929&gt;60,"B2",B929&gt;50,"C1",B929&gt;40,"C2")</f>
        <v>B1</v>
      </c>
      <c r="D929">
        <v>60</v>
      </c>
      <c r="E929" t="str" cm="1">
        <f t="array" ref="E929">_xlfn.IFS(Table1[[#This Row],[Previous Marks]]&gt;90,"A1",Table1[[#This Row],[Previous Marks]]&gt;80,"A2",Table1[[#This Row],[Previous Marks]]&gt;70,"B1",Table1[[#This Row],[Previous Marks]]&gt;60,"B2",Table1[[#This Row],[Previous Marks]]&gt;50,"C1",Table1[[#This Row],[Previous Marks]]&gt;40,"C2")</f>
        <v>C1</v>
      </c>
      <c r="F929">
        <v>85</v>
      </c>
    </row>
    <row r="930" spans="2:6" x14ac:dyDescent="0.3">
      <c r="B930">
        <v>85</v>
      </c>
      <c r="C930" t="str" cm="1">
        <f t="array" ref="C930">_xlfn.IFS(B930&gt;90,"A1",B930&gt;80,"A2",B930&gt;70,"B1",B930&gt;60,"B2",B930&gt;50,"C1",B930&gt;40,"C2")</f>
        <v>A2</v>
      </c>
      <c r="D930">
        <v>86</v>
      </c>
      <c r="E930" t="str" cm="1">
        <f t="array" ref="E930">_xlfn.IFS(Table1[[#This Row],[Previous Marks]]&gt;90,"A1",Table1[[#This Row],[Previous Marks]]&gt;80,"A2",Table1[[#This Row],[Previous Marks]]&gt;70,"B1",Table1[[#This Row],[Previous Marks]]&gt;60,"B2",Table1[[#This Row],[Previous Marks]]&gt;50,"C1",Table1[[#This Row],[Previous Marks]]&gt;40,"C2")</f>
        <v>A2</v>
      </c>
      <c r="F930">
        <v>95</v>
      </c>
    </row>
    <row r="931" spans="2:6" x14ac:dyDescent="0.3">
      <c r="B931">
        <v>92</v>
      </c>
      <c r="C931" t="str" cm="1">
        <f t="array" ref="C931">_xlfn.IFS(B931&gt;90,"A1",B931&gt;80,"A2",B931&gt;70,"B1",B931&gt;60,"B2",B931&gt;50,"C1",B931&gt;40,"C2")</f>
        <v>A1</v>
      </c>
      <c r="D931">
        <v>85</v>
      </c>
      <c r="E931" t="str" cm="1">
        <f t="array" ref="E931">_xlfn.IFS(Table1[[#This Row],[Previous Marks]]&gt;90,"A1",Table1[[#This Row],[Previous Marks]]&gt;80,"A2",Table1[[#This Row],[Previous Marks]]&gt;70,"B1",Table1[[#This Row],[Previous Marks]]&gt;60,"B2",Table1[[#This Row],[Previous Marks]]&gt;50,"C1",Table1[[#This Row],[Previous Marks]]&gt;40,"C2")</f>
        <v>A2</v>
      </c>
      <c r="F931">
        <v>95</v>
      </c>
    </row>
    <row r="932" spans="2:6" x14ac:dyDescent="0.3">
      <c r="B932">
        <v>78</v>
      </c>
      <c r="C932" t="str" cm="1">
        <f t="array" ref="C932">_xlfn.IFS(B932&gt;90,"A1",B932&gt;80,"A2",B932&gt;70,"B1",B932&gt;60,"B2",B932&gt;50,"C1",B932&gt;40,"C2")</f>
        <v>B1</v>
      </c>
      <c r="D932">
        <v>65</v>
      </c>
      <c r="E932" t="str" cm="1">
        <f t="array" ref="E932">_xlfn.IFS(Table1[[#This Row],[Previous Marks]]&gt;90,"A1",Table1[[#This Row],[Previous Marks]]&gt;80,"A2",Table1[[#This Row],[Previous Marks]]&gt;70,"B1",Table1[[#This Row],[Previous Marks]]&gt;60,"B2",Table1[[#This Row],[Previous Marks]]&gt;50,"C1",Table1[[#This Row],[Previous Marks]]&gt;40,"C2")</f>
        <v>B2</v>
      </c>
      <c r="F932">
        <v>85.510416666666671</v>
      </c>
    </row>
    <row r="933" spans="2:6" x14ac:dyDescent="0.3">
      <c r="B933">
        <v>78</v>
      </c>
      <c r="C933" t="str" cm="1">
        <f t="array" ref="C933">_xlfn.IFS(B933&gt;90,"A1",B933&gt;80,"A2",B933&gt;70,"B1",B933&gt;60,"B2",B933&gt;50,"C1",B933&gt;40,"C2")</f>
        <v>B1</v>
      </c>
      <c r="D933">
        <v>85</v>
      </c>
      <c r="E933" t="str" cm="1">
        <f t="array" ref="E933">_xlfn.IFS(Table1[[#This Row],[Previous Marks]]&gt;90,"A1",Table1[[#This Row],[Previous Marks]]&gt;80,"A2",Table1[[#This Row],[Previous Marks]]&gt;70,"B1",Table1[[#This Row],[Previous Marks]]&gt;60,"B2",Table1[[#This Row],[Previous Marks]]&gt;50,"C1",Table1[[#This Row],[Previous Marks]]&gt;40,"C2")</f>
        <v>A2</v>
      </c>
      <c r="F933">
        <v>85.510416666666671</v>
      </c>
    </row>
    <row r="934" spans="2:6" x14ac:dyDescent="0.3">
      <c r="B934">
        <v>68</v>
      </c>
      <c r="C934" t="str" cm="1">
        <f t="array" ref="C934">_xlfn.IFS(B934&gt;90,"A1",B934&gt;80,"A2",B934&gt;70,"B1",B934&gt;60,"B2",B934&gt;50,"C1",B934&gt;40,"C2")</f>
        <v>B2</v>
      </c>
      <c r="D934">
        <v>90</v>
      </c>
      <c r="E934" t="str" cm="1">
        <f t="array" ref="E934">_xlfn.IFS(Table1[[#This Row],[Previous Marks]]&gt;90,"A1",Table1[[#This Row],[Previous Marks]]&gt;80,"A2",Table1[[#This Row],[Previous Marks]]&gt;70,"B1",Table1[[#This Row],[Previous Marks]]&gt;60,"B2",Table1[[#This Row],[Previous Marks]]&gt;50,"C1",Table1[[#This Row],[Previous Marks]]&gt;40,"C2")</f>
        <v>A2</v>
      </c>
      <c r="F934">
        <v>92</v>
      </c>
    </row>
    <row r="935" spans="2:6" x14ac:dyDescent="0.3">
      <c r="B935">
        <v>78</v>
      </c>
      <c r="C935" t="str" cm="1">
        <f t="array" ref="C935">_xlfn.IFS(B935&gt;90,"A1",B935&gt;80,"A2",B935&gt;70,"B1",B935&gt;60,"B2",B935&gt;50,"C1",B935&gt;40,"C2")</f>
        <v>B1</v>
      </c>
      <c r="D935">
        <v>82</v>
      </c>
      <c r="E935" t="str" cm="1">
        <f t="array" ref="E935">_xlfn.IFS(Table1[[#This Row],[Previous Marks]]&gt;90,"A1",Table1[[#This Row],[Previous Marks]]&gt;80,"A2",Table1[[#This Row],[Previous Marks]]&gt;70,"B1",Table1[[#This Row],[Previous Marks]]&gt;60,"B2",Table1[[#This Row],[Previous Marks]]&gt;50,"C1",Table1[[#This Row],[Previous Marks]]&gt;40,"C2")</f>
        <v>A2</v>
      </c>
      <c r="F935">
        <v>92</v>
      </c>
    </row>
    <row r="936" spans="2:6" x14ac:dyDescent="0.3">
      <c r="B936">
        <v>80</v>
      </c>
      <c r="C936" t="str" cm="1">
        <f t="array" ref="C936">_xlfn.IFS(B936&gt;90,"A1",B936&gt;80,"A2",B936&gt;70,"B1",B936&gt;60,"B2",B936&gt;50,"C1",B936&gt;40,"C2")</f>
        <v>B1</v>
      </c>
      <c r="D936">
        <v>65</v>
      </c>
      <c r="E936" t="str" cm="1">
        <f t="array" ref="E936">_xlfn.IFS(Table1[[#This Row],[Previous Marks]]&gt;90,"A1",Table1[[#This Row],[Previous Marks]]&gt;80,"A2",Table1[[#This Row],[Previous Marks]]&gt;70,"B1",Table1[[#This Row],[Previous Marks]]&gt;60,"B2",Table1[[#This Row],[Previous Marks]]&gt;50,"C1",Table1[[#This Row],[Previous Marks]]&gt;40,"C2")</f>
        <v>B2</v>
      </c>
      <c r="F936">
        <v>82</v>
      </c>
    </row>
    <row r="937" spans="2:6" x14ac:dyDescent="0.3">
      <c r="B937">
        <v>78</v>
      </c>
      <c r="C937" t="str" cm="1">
        <f t="array" ref="C937">_xlfn.IFS(B937&gt;90,"A1",B937&gt;80,"A2",B937&gt;70,"B1",B937&gt;60,"B2",B937&gt;50,"C1",B937&gt;40,"C2")</f>
        <v>B1</v>
      </c>
      <c r="D937">
        <v>86</v>
      </c>
      <c r="E937" t="str" cm="1">
        <f t="array" ref="E937">_xlfn.IFS(Table1[[#This Row],[Previous Marks]]&gt;90,"A1",Table1[[#This Row],[Previous Marks]]&gt;80,"A2",Table1[[#This Row],[Previous Marks]]&gt;70,"B1",Table1[[#This Row],[Previous Marks]]&gt;60,"B2",Table1[[#This Row],[Previous Marks]]&gt;50,"C1",Table1[[#This Row],[Previous Marks]]&gt;40,"C2")</f>
        <v>A2</v>
      </c>
      <c r="F937">
        <v>95</v>
      </c>
    </row>
    <row r="938" spans="2:6" x14ac:dyDescent="0.3">
      <c r="B938">
        <v>85</v>
      </c>
      <c r="C938" t="str" cm="1">
        <f t="array" ref="C938">_xlfn.IFS(B938&gt;90,"A1",B938&gt;80,"A2",B938&gt;70,"B1",B938&gt;60,"B2",B938&gt;50,"C1",B938&gt;40,"C2")</f>
        <v>A2</v>
      </c>
      <c r="D938">
        <v>70</v>
      </c>
      <c r="E938" t="str" cm="1">
        <f t="array" ref="E938">_xlfn.IFS(Table1[[#This Row],[Previous Marks]]&gt;90,"A1",Table1[[#This Row],[Previous Marks]]&gt;80,"A2",Table1[[#This Row],[Previous Marks]]&gt;70,"B1",Table1[[#This Row],[Previous Marks]]&gt;60,"B2",Table1[[#This Row],[Previous Marks]]&gt;50,"C1",Table1[[#This Row],[Previous Marks]]&gt;40,"C2")</f>
        <v>B2</v>
      </c>
      <c r="F938">
        <v>91</v>
      </c>
    </row>
    <row r="939" spans="2:6" x14ac:dyDescent="0.3">
      <c r="B939">
        <v>92</v>
      </c>
      <c r="C939" t="str" cm="1">
        <f t="array" ref="C939">_xlfn.IFS(B939&gt;90,"A1",B939&gt;80,"A2",B939&gt;70,"B1",B939&gt;60,"B2",B939&gt;50,"C1",B939&gt;40,"C2")</f>
        <v>A1</v>
      </c>
      <c r="D939">
        <v>70</v>
      </c>
      <c r="E939" t="str" cm="1">
        <f t="array" ref="E939">_xlfn.IFS(Table1[[#This Row],[Previous Marks]]&gt;90,"A1",Table1[[#This Row],[Previous Marks]]&gt;80,"A2",Table1[[#This Row],[Previous Marks]]&gt;70,"B1",Table1[[#This Row],[Previous Marks]]&gt;60,"B2",Table1[[#This Row],[Previous Marks]]&gt;50,"C1",Table1[[#This Row],[Previous Marks]]&gt;40,"C2")</f>
        <v>B2</v>
      </c>
      <c r="F939">
        <v>85</v>
      </c>
    </row>
    <row r="940" spans="2:6" x14ac:dyDescent="0.3">
      <c r="B940">
        <v>68</v>
      </c>
      <c r="C940" t="str" cm="1">
        <f t="array" ref="C940">_xlfn.IFS(B940&gt;90,"A1",B940&gt;80,"A2",B940&gt;70,"B1",B940&gt;60,"B2",B940&gt;50,"C1",B940&gt;40,"C2")</f>
        <v>B2</v>
      </c>
      <c r="D940">
        <v>78</v>
      </c>
      <c r="E940" t="str" cm="1">
        <f t="array" ref="E940">_xlfn.IFS(Table1[[#This Row],[Previous Marks]]&gt;90,"A1",Table1[[#This Row],[Previous Marks]]&gt;80,"A2",Table1[[#This Row],[Previous Marks]]&gt;70,"B1",Table1[[#This Row],[Previous Marks]]&gt;60,"B2",Table1[[#This Row],[Previous Marks]]&gt;50,"C1",Table1[[#This Row],[Previous Marks]]&gt;40,"C2")</f>
        <v>B1</v>
      </c>
      <c r="F940">
        <v>78</v>
      </c>
    </row>
    <row r="941" spans="2:6" x14ac:dyDescent="0.3">
      <c r="B941">
        <v>92</v>
      </c>
      <c r="C941" t="str" cm="1">
        <f t="array" ref="C941">_xlfn.IFS(B941&gt;90,"A1",B941&gt;80,"A2",B941&gt;70,"B1",B941&gt;60,"B2",B941&gt;50,"C1",B941&gt;40,"C2")</f>
        <v>A1</v>
      </c>
      <c r="D941">
        <v>70</v>
      </c>
      <c r="E941" t="str" cm="1">
        <f t="array" ref="E941">_xlfn.IFS(Table1[[#This Row],[Previous Marks]]&gt;90,"A1",Table1[[#This Row],[Previous Marks]]&gt;80,"A2",Table1[[#This Row],[Previous Marks]]&gt;70,"B1",Table1[[#This Row],[Previous Marks]]&gt;60,"B2",Table1[[#This Row],[Previous Marks]]&gt;50,"C1",Table1[[#This Row],[Previous Marks]]&gt;40,"C2")</f>
        <v>B2</v>
      </c>
      <c r="F941">
        <v>70</v>
      </c>
    </row>
    <row r="942" spans="2:6" x14ac:dyDescent="0.3">
      <c r="B942">
        <v>85</v>
      </c>
      <c r="C942" t="str" cm="1">
        <f t="array" ref="C942">_xlfn.IFS(B942&gt;90,"A1",B942&gt;80,"A2",B942&gt;70,"B1",B942&gt;60,"B2",B942&gt;50,"C1",B942&gt;40,"C2")</f>
        <v>A2</v>
      </c>
      <c r="D942">
        <v>85</v>
      </c>
      <c r="E942" t="str" cm="1">
        <f t="array" ref="E942">_xlfn.IFS(Table1[[#This Row],[Previous Marks]]&gt;90,"A1",Table1[[#This Row],[Previous Marks]]&gt;80,"A2",Table1[[#This Row],[Previous Marks]]&gt;70,"B1",Table1[[#This Row],[Previous Marks]]&gt;60,"B2",Table1[[#This Row],[Previous Marks]]&gt;50,"C1",Table1[[#This Row],[Previous Marks]]&gt;40,"C2")</f>
        <v>A2</v>
      </c>
      <c r="F942">
        <v>85</v>
      </c>
    </row>
    <row r="943" spans="2:6" x14ac:dyDescent="0.3">
      <c r="B943">
        <v>90</v>
      </c>
      <c r="C943" t="str" cm="1">
        <f t="array" ref="C943">_xlfn.IFS(B943&gt;90,"A1",B943&gt;80,"A2",B943&gt;70,"B1",B943&gt;60,"B2",B943&gt;50,"C1",B943&gt;40,"C2")</f>
        <v>A2</v>
      </c>
      <c r="D943">
        <v>78</v>
      </c>
      <c r="E943" t="str" cm="1">
        <f t="array" ref="E943">_xlfn.IFS(Table1[[#This Row],[Previous Marks]]&gt;90,"A1",Table1[[#This Row],[Previous Marks]]&gt;80,"A2",Table1[[#This Row],[Previous Marks]]&gt;70,"B1",Table1[[#This Row],[Previous Marks]]&gt;60,"B2",Table1[[#This Row],[Previous Marks]]&gt;50,"C1",Table1[[#This Row],[Previous Marks]]&gt;40,"C2")</f>
        <v>B1</v>
      </c>
      <c r="F943">
        <v>85</v>
      </c>
    </row>
    <row r="944" spans="2:6" x14ac:dyDescent="0.3">
      <c r="B944">
        <v>85</v>
      </c>
      <c r="C944" t="str" cm="1">
        <f t="array" ref="C944">_xlfn.IFS(B944&gt;90,"A1",B944&gt;80,"A2",B944&gt;70,"B1",B944&gt;60,"B2",B944&gt;50,"C1",B944&gt;40,"C2")</f>
        <v>A2</v>
      </c>
      <c r="D944">
        <v>77.598759048603924</v>
      </c>
      <c r="E944" t="str" cm="1">
        <f t="array" ref="E944">_xlfn.IFS(Table1[[#This Row],[Previous Marks]]&gt;90,"A1",Table1[[#This Row],[Previous Marks]]&gt;80,"A2",Table1[[#This Row],[Previous Marks]]&gt;70,"B1",Table1[[#This Row],[Previous Marks]]&gt;60,"B2",Table1[[#This Row],[Previous Marks]]&gt;50,"C1",Table1[[#This Row],[Previous Marks]]&gt;40,"C2")</f>
        <v>B1</v>
      </c>
      <c r="F944">
        <v>78</v>
      </c>
    </row>
    <row r="945" spans="2:6" x14ac:dyDescent="0.3">
      <c r="B945">
        <v>90</v>
      </c>
      <c r="C945" t="str" cm="1">
        <f t="array" ref="C945">_xlfn.IFS(B945&gt;90,"A1",B945&gt;80,"A2",B945&gt;70,"B1",B945&gt;60,"B2",B945&gt;50,"C1",B945&gt;40,"C2")</f>
        <v>A2</v>
      </c>
      <c r="D945">
        <v>86</v>
      </c>
      <c r="E945" t="str" cm="1">
        <f t="array" ref="E945">_xlfn.IFS(Table1[[#This Row],[Previous Marks]]&gt;90,"A1",Table1[[#This Row],[Previous Marks]]&gt;80,"A2",Table1[[#This Row],[Previous Marks]]&gt;70,"B1",Table1[[#This Row],[Previous Marks]]&gt;60,"B2",Table1[[#This Row],[Previous Marks]]&gt;50,"C1",Table1[[#This Row],[Previous Marks]]&gt;40,"C2")</f>
        <v>A2</v>
      </c>
      <c r="F945">
        <v>95</v>
      </c>
    </row>
    <row r="946" spans="2:6" x14ac:dyDescent="0.3">
      <c r="B946">
        <v>88</v>
      </c>
      <c r="C946" t="str" cm="1">
        <f t="array" ref="C946">_xlfn.IFS(B946&gt;90,"A1",B946&gt;80,"A2",B946&gt;70,"B1",B946&gt;60,"B2",B946&gt;50,"C1",B946&gt;40,"C2")</f>
        <v>A2</v>
      </c>
      <c r="D946">
        <v>86</v>
      </c>
      <c r="E946" t="str" cm="1">
        <f t="array" ref="E946">_xlfn.IFS(Table1[[#This Row],[Previous Marks]]&gt;90,"A1",Table1[[#This Row],[Previous Marks]]&gt;80,"A2",Table1[[#This Row],[Previous Marks]]&gt;70,"B1",Table1[[#This Row],[Previous Marks]]&gt;60,"B2",Table1[[#This Row],[Previous Marks]]&gt;50,"C1",Table1[[#This Row],[Previous Marks]]&gt;40,"C2")</f>
        <v>A2</v>
      </c>
      <c r="F946">
        <v>90</v>
      </c>
    </row>
    <row r="947" spans="2:6" x14ac:dyDescent="0.3">
      <c r="B947">
        <v>85</v>
      </c>
      <c r="C947" t="str" cm="1">
        <f t="array" ref="C947">_xlfn.IFS(B947&gt;90,"A1",B947&gt;80,"A2",B947&gt;70,"B1",B947&gt;60,"B2",B947&gt;50,"C1",B947&gt;40,"C2")</f>
        <v>A2</v>
      </c>
      <c r="D947">
        <v>70</v>
      </c>
      <c r="E947" t="str" cm="1">
        <f t="array" ref="E947">_xlfn.IFS(Table1[[#This Row],[Previous Marks]]&gt;90,"A1",Table1[[#This Row],[Previous Marks]]&gt;80,"A2",Table1[[#This Row],[Previous Marks]]&gt;70,"B1",Table1[[#This Row],[Previous Marks]]&gt;60,"B2",Table1[[#This Row],[Previous Marks]]&gt;50,"C1",Table1[[#This Row],[Previous Marks]]&gt;40,"C2")</f>
        <v>B2</v>
      </c>
      <c r="F947">
        <v>90</v>
      </c>
    </row>
    <row r="948" spans="2:6" x14ac:dyDescent="0.3">
      <c r="B948">
        <v>85</v>
      </c>
      <c r="C948" t="str" cm="1">
        <f t="array" ref="C948">_xlfn.IFS(B948&gt;90,"A1",B948&gt;80,"A2",B948&gt;70,"B1",B948&gt;60,"B2",B948&gt;50,"C1",B948&gt;40,"C2")</f>
        <v>A2</v>
      </c>
      <c r="D948">
        <v>90</v>
      </c>
      <c r="E948" t="str" cm="1">
        <f t="array" ref="E948">_xlfn.IFS(Table1[[#This Row],[Previous Marks]]&gt;90,"A1",Table1[[#This Row],[Previous Marks]]&gt;80,"A2",Table1[[#This Row],[Previous Marks]]&gt;70,"B1",Table1[[#This Row],[Previous Marks]]&gt;60,"B2",Table1[[#This Row],[Previous Marks]]&gt;50,"C1",Table1[[#This Row],[Previous Marks]]&gt;40,"C2")</f>
        <v>A2</v>
      </c>
      <c r="F948">
        <v>85</v>
      </c>
    </row>
    <row r="949" spans="2:6" x14ac:dyDescent="0.3">
      <c r="B949">
        <v>72</v>
      </c>
      <c r="C949" t="str" cm="1">
        <f t="array" ref="C949">_xlfn.IFS(B949&gt;90,"A1",B949&gt;80,"A2",B949&gt;70,"B1",B949&gt;60,"B2",B949&gt;50,"C1",B949&gt;40,"C2")</f>
        <v>B1</v>
      </c>
      <c r="D949">
        <v>85</v>
      </c>
      <c r="E949" t="str" cm="1">
        <f t="array" ref="E949">_xlfn.IFS(Table1[[#This Row],[Previous Marks]]&gt;90,"A1",Table1[[#This Row],[Previous Marks]]&gt;80,"A2",Table1[[#This Row],[Previous Marks]]&gt;70,"B1",Table1[[#This Row],[Previous Marks]]&gt;60,"B2",Table1[[#This Row],[Previous Marks]]&gt;50,"C1",Table1[[#This Row],[Previous Marks]]&gt;40,"C2")</f>
        <v>A2</v>
      </c>
      <c r="F949">
        <v>90</v>
      </c>
    </row>
    <row r="950" spans="2:6" x14ac:dyDescent="0.3">
      <c r="B950">
        <v>80.030208333333334</v>
      </c>
      <c r="C950" t="str" cm="1">
        <f t="array" ref="C950">_xlfn.IFS(B950&gt;90,"A1",B950&gt;80,"A2",B950&gt;70,"B1",B950&gt;60,"B2",B950&gt;50,"C1",B950&gt;40,"C2")</f>
        <v>A2</v>
      </c>
      <c r="D950">
        <v>78</v>
      </c>
      <c r="E950" t="str" cm="1">
        <f t="array" ref="E950">_xlfn.IFS(Table1[[#This Row],[Previous Marks]]&gt;90,"A1",Table1[[#This Row],[Previous Marks]]&gt;80,"A2",Table1[[#This Row],[Previous Marks]]&gt;70,"B1",Table1[[#This Row],[Previous Marks]]&gt;60,"B2",Table1[[#This Row],[Previous Marks]]&gt;50,"C1",Table1[[#This Row],[Previous Marks]]&gt;40,"C2")</f>
        <v>B1</v>
      </c>
      <c r="F950">
        <v>78</v>
      </c>
    </row>
    <row r="951" spans="2:6" x14ac:dyDescent="0.3">
      <c r="B951">
        <v>62</v>
      </c>
      <c r="C951" t="str" cm="1">
        <f t="array" ref="C951">_xlfn.IFS(B951&gt;90,"A1",B951&gt;80,"A2",B951&gt;70,"B1",B951&gt;60,"B2",B951&gt;50,"C1",B951&gt;40,"C2")</f>
        <v>B2</v>
      </c>
      <c r="D951">
        <v>70</v>
      </c>
      <c r="E951" t="str" cm="1">
        <f t="array" ref="E951">_xlfn.IFS(Table1[[#This Row],[Previous Marks]]&gt;90,"A1",Table1[[#This Row],[Previous Marks]]&gt;80,"A2",Table1[[#This Row],[Previous Marks]]&gt;70,"B1",Table1[[#This Row],[Previous Marks]]&gt;60,"B2",Table1[[#This Row],[Previous Marks]]&gt;50,"C1",Table1[[#This Row],[Previous Marks]]&gt;40,"C2")</f>
        <v>B2</v>
      </c>
      <c r="F951">
        <v>78</v>
      </c>
    </row>
    <row r="952" spans="2:6" x14ac:dyDescent="0.3">
      <c r="B952">
        <v>80</v>
      </c>
      <c r="C952" t="str" cm="1">
        <f t="array" ref="C952">_xlfn.IFS(B952&gt;90,"A1",B952&gt;80,"A2",B952&gt;70,"B1",B952&gt;60,"B2",B952&gt;50,"C1",B952&gt;40,"C2")</f>
        <v>B1</v>
      </c>
      <c r="D952">
        <v>90</v>
      </c>
      <c r="E952" t="str" cm="1">
        <f t="array" ref="E952">_xlfn.IFS(Table1[[#This Row],[Previous Marks]]&gt;90,"A1",Table1[[#This Row],[Previous Marks]]&gt;80,"A2",Table1[[#This Row],[Previous Marks]]&gt;70,"B1",Table1[[#This Row],[Previous Marks]]&gt;60,"B2",Table1[[#This Row],[Previous Marks]]&gt;50,"C1",Table1[[#This Row],[Previous Marks]]&gt;40,"C2")</f>
        <v>A2</v>
      </c>
      <c r="F952">
        <v>78</v>
      </c>
    </row>
    <row r="953" spans="2:6" x14ac:dyDescent="0.3">
      <c r="B953">
        <v>87</v>
      </c>
      <c r="C953" t="str" cm="1">
        <f t="array" ref="C953">_xlfn.IFS(B953&gt;90,"A1",B953&gt;80,"A2",B953&gt;70,"B1",B953&gt;60,"B2",B953&gt;50,"C1",B953&gt;40,"C2")</f>
        <v>A2</v>
      </c>
      <c r="D953">
        <v>82</v>
      </c>
      <c r="E953" t="str" cm="1">
        <f t="array" ref="E953">_xlfn.IFS(Table1[[#This Row],[Previous Marks]]&gt;90,"A1",Table1[[#This Row],[Previous Marks]]&gt;80,"A2",Table1[[#This Row],[Previous Marks]]&gt;70,"B1",Table1[[#This Row],[Previous Marks]]&gt;60,"B2",Table1[[#This Row],[Previous Marks]]&gt;50,"C1",Table1[[#This Row],[Previous Marks]]&gt;40,"C2")</f>
        <v>A2</v>
      </c>
      <c r="F953">
        <v>88</v>
      </c>
    </row>
    <row r="954" spans="2:6" x14ac:dyDescent="0.3">
      <c r="B954">
        <v>92</v>
      </c>
      <c r="C954" t="str" cm="1">
        <f t="array" ref="C954">_xlfn.IFS(B954&gt;90,"A1",B954&gt;80,"A2",B954&gt;70,"B1",B954&gt;60,"B2",B954&gt;50,"C1",B954&gt;40,"C2")</f>
        <v>A1</v>
      </c>
      <c r="D954">
        <v>65</v>
      </c>
      <c r="E954" t="str" cm="1">
        <f t="array" ref="E954">_xlfn.IFS(Table1[[#This Row],[Previous Marks]]&gt;90,"A1",Table1[[#This Row],[Previous Marks]]&gt;80,"A2",Table1[[#This Row],[Previous Marks]]&gt;70,"B1",Table1[[#This Row],[Previous Marks]]&gt;60,"B2",Table1[[#This Row],[Previous Marks]]&gt;50,"C1",Table1[[#This Row],[Previous Marks]]&gt;40,"C2")</f>
        <v>B2</v>
      </c>
      <c r="F954">
        <v>78</v>
      </c>
    </row>
    <row r="955" spans="2:6" x14ac:dyDescent="0.3">
      <c r="B955">
        <v>72</v>
      </c>
      <c r="C955" t="str" cm="1">
        <f t="array" ref="C955">_xlfn.IFS(B955&gt;90,"A1",B955&gt;80,"A2",B955&gt;70,"B1",B955&gt;60,"B2",B955&gt;50,"C1",B955&gt;40,"C2")</f>
        <v>B1</v>
      </c>
      <c r="D955">
        <v>88</v>
      </c>
      <c r="E955" t="str" cm="1">
        <f t="array" ref="E955">_xlfn.IFS(Table1[[#This Row],[Previous Marks]]&gt;90,"A1",Table1[[#This Row],[Previous Marks]]&gt;80,"A2",Table1[[#This Row],[Previous Marks]]&gt;70,"B1",Table1[[#This Row],[Previous Marks]]&gt;60,"B2",Table1[[#This Row],[Previous Marks]]&gt;50,"C1",Table1[[#This Row],[Previous Marks]]&gt;40,"C2")</f>
        <v>A2</v>
      </c>
      <c r="F955">
        <v>91</v>
      </c>
    </row>
    <row r="956" spans="2:6" x14ac:dyDescent="0.3">
      <c r="B956">
        <v>85</v>
      </c>
      <c r="C956" t="str" cm="1">
        <f t="array" ref="C956">_xlfn.IFS(B956&gt;90,"A1",B956&gt;80,"A2",B956&gt;70,"B1",B956&gt;60,"B2",B956&gt;50,"C1",B956&gt;40,"C2")</f>
        <v>A2</v>
      </c>
      <c r="D956">
        <v>88</v>
      </c>
      <c r="E956" t="str" cm="1">
        <f t="array" ref="E956">_xlfn.IFS(Table1[[#This Row],[Previous Marks]]&gt;90,"A1",Table1[[#This Row],[Previous Marks]]&gt;80,"A2",Table1[[#This Row],[Previous Marks]]&gt;70,"B1",Table1[[#This Row],[Previous Marks]]&gt;60,"B2",Table1[[#This Row],[Previous Marks]]&gt;50,"C1",Table1[[#This Row],[Previous Marks]]&gt;40,"C2")</f>
        <v>A2</v>
      </c>
      <c r="F956">
        <v>85</v>
      </c>
    </row>
    <row r="957" spans="2:6" x14ac:dyDescent="0.3">
      <c r="B957">
        <v>90</v>
      </c>
      <c r="C957" t="str" cm="1">
        <f t="array" ref="C957">_xlfn.IFS(B957&gt;90,"A1",B957&gt;80,"A2",B957&gt;70,"B1",B957&gt;60,"B2",B957&gt;50,"C1",B957&gt;40,"C2")</f>
        <v>A2</v>
      </c>
      <c r="D957">
        <v>90</v>
      </c>
      <c r="E957" t="str" cm="1">
        <f t="array" ref="E957">_xlfn.IFS(Table1[[#This Row],[Previous Marks]]&gt;90,"A1",Table1[[#This Row],[Previous Marks]]&gt;80,"A2",Table1[[#This Row],[Previous Marks]]&gt;70,"B1",Table1[[#This Row],[Previous Marks]]&gt;60,"B2",Table1[[#This Row],[Previous Marks]]&gt;50,"C1",Table1[[#This Row],[Previous Marks]]&gt;40,"C2")</f>
        <v>A2</v>
      </c>
      <c r="F957">
        <v>91</v>
      </c>
    </row>
    <row r="958" spans="2:6" x14ac:dyDescent="0.3">
      <c r="B958">
        <v>87</v>
      </c>
      <c r="C958" t="str" cm="1">
        <f t="array" ref="C958">_xlfn.IFS(B958&gt;90,"A1",B958&gt;80,"A2",B958&gt;70,"B1",B958&gt;60,"B2",B958&gt;50,"C1",B958&gt;40,"C2")</f>
        <v>A2</v>
      </c>
      <c r="D958">
        <v>88</v>
      </c>
      <c r="E958" t="str" cm="1">
        <f t="array" ref="E958">_xlfn.IFS(Table1[[#This Row],[Previous Marks]]&gt;90,"A1",Table1[[#This Row],[Previous Marks]]&gt;80,"A2",Table1[[#This Row],[Previous Marks]]&gt;70,"B1",Table1[[#This Row],[Previous Marks]]&gt;60,"B2",Table1[[#This Row],[Previous Marks]]&gt;50,"C1",Table1[[#This Row],[Previous Marks]]&gt;40,"C2")</f>
        <v>A2</v>
      </c>
      <c r="F958">
        <v>92</v>
      </c>
    </row>
    <row r="959" spans="2:6" x14ac:dyDescent="0.3">
      <c r="B959">
        <v>85</v>
      </c>
      <c r="C959" t="str" cm="1">
        <f t="array" ref="C959">_xlfn.IFS(B959&gt;90,"A1",B959&gt;80,"A2",B959&gt;70,"B1",B959&gt;60,"B2",B959&gt;50,"C1",B959&gt;40,"C2")</f>
        <v>A2</v>
      </c>
      <c r="D959">
        <v>65</v>
      </c>
      <c r="E959" t="str" cm="1">
        <f t="array" ref="E959">_xlfn.IFS(Table1[[#This Row],[Previous Marks]]&gt;90,"A1",Table1[[#This Row],[Previous Marks]]&gt;80,"A2",Table1[[#This Row],[Previous Marks]]&gt;70,"B1",Table1[[#This Row],[Previous Marks]]&gt;60,"B2",Table1[[#This Row],[Previous Marks]]&gt;50,"C1",Table1[[#This Row],[Previous Marks]]&gt;40,"C2")</f>
        <v>B2</v>
      </c>
      <c r="F959">
        <v>91</v>
      </c>
    </row>
    <row r="960" spans="2:6" x14ac:dyDescent="0.3">
      <c r="B960">
        <v>62</v>
      </c>
      <c r="C960" t="str" cm="1">
        <f t="array" ref="C960">_xlfn.IFS(B960&gt;90,"A1",B960&gt;80,"A2",B960&gt;70,"B1",B960&gt;60,"B2",B960&gt;50,"C1",B960&gt;40,"C2")</f>
        <v>B2</v>
      </c>
      <c r="D960">
        <v>60</v>
      </c>
      <c r="E960" t="str" cm="1">
        <f t="array" ref="E960">_xlfn.IFS(Table1[[#This Row],[Previous Marks]]&gt;90,"A1",Table1[[#This Row],[Previous Marks]]&gt;80,"A2",Table1[[#This Row],[Previous Marks]]&gt;70,"B1",Table1[[#This Row],[Previous Marks]]&gt;60,"B2",Table1[[#This Row],[Previous Marks]]&gt;50,"C1",Table1[[#This Row],[Previous Marks]]&gt;40,"C2")</f>
        <v>C1</v>
      </c>
      <c r="F960">
        <v>78</v>
      </c>
    </row>
    <row r="961" spans="2:6" x14ac:dyDescent="0.3">
      <c r="B961">
        <v>80</v>
      </c>
      <c r="C961" t="str" cm="1">
        <f t="array" ref="C961">_xlfn.IFS(B961&gt;90,"A1",B961&gt;80,"A2",B961&gt;70,"B1",B961&gt;60,"B2",B961&gt;50,"C1",B961&gt;40,"C2")</f>
        <v>B1</v>
      </c>
      <c r="D961">
        <v>78</v>
      </c>
      <c r="E961" t="str" cm="1">
        <f t="array" ref="E961">_xlfn.IFS(Table1[[#This Row],[Previous Marks]]&gt;90,"A1",Table1[[#This Row],[Previous Marks]]&gt;80,"A2",Table1[[#This Row],[Previous Marks]]&gt;70,"B1",Table1[[#This Row],[Previous Marks]]&gt;60,"B2",Table1[[#This Row],[Previous Marks]]&gt;50,"C1",Table1[[#This Row],[Previous Marks]]&gt;40,"C2")</f>
        <v>B1</v>
      </c>
      <c r="F961">
        <v>70</v>
      </c>
    </row>
    <row r="962" spans="2:6" x14ac:dyDescent="0.3">
      <c r="B962">
        <v>90</v>
      </c>
      <c r="C962" t="str" cm="1">
        <f t="array" ref="C962">_xlfn.IFS(B962&gt;90,"A1",B962&gt;80,"A2",B962&gt;70,"B1",B962&gt;60,"B2",B962&gt;50,"C1",B962&gt;40,"C2")</f>
        <v>A2</v>
      </c>
      <c r="D962">
        <v>78</v>
      </c>
      <c r="E962" t="str" cm="1">
        <f t="array" ref="E962">_xlfn.IFS(Table1[[#This Row],[Previous Marks]]&gt;90,"A1",Table1[[#This Row],[Previous Marks]]&gt;80,"A2",Table1[[#This Row],[Previous Marks]]&gt;70,"B1",Table1[[#This Row],[Previous Marks]]&gt;60,"B2",Table1[[#This Row],[Previous Marks]]&gt;50,"C1",Table1[[#This Row],[Previous Marks]]&gt;40,"C2")</f>
        <v>B1</v>
      </c>
      <c r="F962">
        <v>91</v>
      </c>
    </row>
    <row r="963" spans="2:6" x14ac:dyDescent="0.3">
      <c r="B963">
        <v>78</v>
      </c>
      <c r="C963" t="str" cm="1">
        <f t="array" ref="C963">_xlfn.IFS(B963&gt;90,"A1",B963&gt;80,"A2",B963&gt;70,"B1",B963&gt;60,"B2",B963&gt;50,"C1",B963&gt;40,"C2")</f>
        <v>B1</v>
      </c>
      <c r="D963">
        <v>65</v>
      </c>
      <c r="E963" t="str" cm="1">
        <f t="array" ref="E963">_xlfn.IFS(Table1[[#This Row],[Previous Marks]]&gt;90,"A1",Table1[[#This Row],[Previous Marks]]&gt;80,"A2",Table1[[#This Row],[Previous Marks]]&gt;70,"B1",Table1[[#This Row],[Previous Marks]]&gt;60,"B2",Table1[[#This Row],[Previous Marks]]&gt;50,"C1",Table1[[#This Row],[Previous Marks]]&gt;40,"C2")</f>
        <v>B2</v>
      </c>
      <c r="F963">
        <v>91</v>
      </c>
    </row>
    <row r="964" spans="2:6" x14ac:dyDescent="0.3">
      <c r="B964">
        <v>80.030208333333334</v>
      </c>
      <c r="C964" t="str" cm="1">
        <f t="array" ref="C964">_xlfn.IFS(B964&gt;90,"A1",B964&gt;80,"A2",B964&gt;70,"B1",B964&gt;60,"B2",B964&gt;50,"C1",B964&gt;40,"C2")</f>
        <v>A2</v>
      </c>
      <c r="D964">
        <v>85</v>
      </c>
      <c r="E964" t="str" cm="1">
        <f t="array" ref="E964">_xlfn.IFS(Table1[[#This Row],[Previous Marks]]&gt;90,"A1",Table1[[#This Row],[Previous Marks]]&gt;80,"A2",Table1[[#This Row],[Previous Marks]]&gt;70,"B1",Table1[[#This Row],[Previous Marks]]&gt;60,"B2",Table1[[#This Row],[Previous Marks]]&gt;50,"C1",Table1[[#This Row],[Previous Marks]]&gt;40,"C2")</f>
        <v>A2</v>
      </c>
      <c r="F964">
        <v>85.510416666666671</v>
      </c>
    </row>
    <row r="965" spans="2:6" x14ac:dyDescent="0.3">
      <c r="B965">
        <v>90</v>
      </c>
      <c r="C965" t="str" cm="1">
        <f t="array" ref="C965">_xlfn.IFS(B965&gt;90,"A1",B965&gt;80,"A2",B965&gt;70,"B1",B965&gt;60,"B2",B965&gt;50,"C1",B965&gt;40,"C2")</f>
        <v>A2</v>
      </c>
      <c r="D965">
        <v>60</v>
      </c>
      <c r="E965" t="str" cm="1">
        <f t="array" ref="E965">_xlfn.IFS(Table1[[#This Row],[Previous Marks]]&gt;90,"A1",Table1[[#This Row],[Previous Marks]]&gt;80,"A2",Table1[[#This Row],[Previous Marks]]&gt;70,"B1",Table1[[#This Row],[Previous Marks]]&gt;60,"B2",Table1[[#This Row],[Previous Marks]]&gt;50,"C1",Table1[[#This Row],[Previous Marks]]&gt;40,"C2")</f>
        <v>C1</v>
      </c>
      <c r="F965">
        <v>85</v>
      </c>
    </row>
    <row r="966" spans="2:6" x14ac:dyDescent="0.3">
      <c r="B966">
        <v>90</v>
      </c>
      <c r="C966" t="str" cm="1">
        <f t="array" ref="C966">_xlfn.IFS(B966&gt;90,"A1",B966&gt;80,"A2",B966&gt;70,"B1",B966&gt;60,"B2",B966&gt;50,"C1",B966&gt;40,"C2")</f>
        <v>A2</v>
      </c>
      <c r="D966">
        <v>90</v>
      </c>
      <c r="E966" t="str" cm="1">
        <f t="array" ref="E966">_xlfn.IFS(Table1[[#This Row],[Previous Marks]]&gt;90,"A1",Table1[[#This Row],[Previous Marks]]&gt;80,"A2",Table1[[#This Row],[Previous Marks]]&gt;70,"B1",Table1[[#This Row],[Previous Marks]]&gt;60,"B2",Table1[[#This Row],[Previous Marks]]&gt;50,"C1",Table1[[#This Row],[Previous Marks]]&gt;40,"C2")</f>
        <v>A2</v>
      </c>
      <c r="F966">
        <v>78</v>
      </c>
    </row>
    <row r="967" spans="2:6" x14ac:dyDescent="0.3">
      <c r="B967">
        <v>72</v>
      </c>
      <c r="C967" t="str" cm="1">
        <f t="array" ref="C967">_xlfn.IFS(B967&gt;90,"A1",B967&gt;80,"A2",B967&gt;70,"B1",B967&gt;60,"B2",B967&gt;50,"C1",B967&gt;40,"C2")</f>
        <v>B1</v>
      </c>
      <c r="D967">
        <v>65</v>
      </c>
      <c r="E967" t="str" cm="1">
        <f t="array" ref="E967">_xlfn.IFS(Table1[[#This Row],[Previous Marks]]&gt;90,"A1",Table1[[#This Row],[Previous Marks]]&gt;80,"A2",Table1[[#This Row],[Previous Marks]]&gt;70,"B1",Table1[[#This Row],[Previous Marks]]&gt;60,"B2",Table1[[#This Row],[Previous Marks]]&gt;50,"C1",Table1[[#This Row],[Previous Marks]]&gt;40,"C2")</f>
        <v>B2</v>
      </c>
      <c r="F967">
        <v>85</v>
      </c>
    </row>
    <row r="968" spans="2:6" x14ac:dyDescent="0.3">
      <c r="B968">
        <v>78</v>
      </c>
      <c r="C968" t="str" cm="1">
        <f t="array" ref="C968">_xlfn.IFS(B968&gt;90,"A1",B968&gt;80,"A2",B968&gt;70,"B1",B968&gt;60,"B2",B968&gt;50,"C1",B968&gt;40,"C2")</f>
        <v>B1</v>
      </c>
      <c r="D968">
        <v>88</v>
      </c>
      <c r="E968" t="str" cm="1">
        <f t="array" ref="E968">_xlfn.IFS(Table1[[#This Row],[Previous Marks]]&gt;90,"A1",Table1[[#This Row],[Previous Marks]]&gt;80,"A2",Table1[[#This Row],[Previous Marks]]&gt;70,"B1",Table1[[#This Row],[Previous Marks]]&gt;60,"B2",Table1[[#This Row],[Previous Marks]]&gt;50,"C1",Table1[[#This Row],[Previous Marks]]&gt;40,"C2")</f>
        <v>A2</v>
      </c>
      <c r="F968">
        <v>91</v>
      </c>
    </row>
    <row r="969" spans="2:6" x14ac:dyDescent="0.3">
      <c r="B969">
        <v>78</v>
      </c>
      <c r="C969" t="str" cm="1">
        <f t="array" ref="C969">_xlfn.IFS(B969&gt;90,"A1",B969&gt;80,"A2",B969&gt;70,"B1",B969&gt;60,"B2",B969&gt;50,"C1",B969&gt;40,"C2")</f>
        <v>B1</v>
      </c>
      <c r="D969">
        <v>65</v>
      </c>
      <c r="E969" t="str" cm="1">
        <f t="array" ref="E969">_xlfn.IFS(Table1[[#This Row],[Previous Marks]]&gt;90,"A1",Table1[[#This Row],[Previous Marks]]&gt;80,"A2",Table1[[#This Row],[Previous Marks]]&gt;70,"B1",Table1[[#This Row],[Previous Marks]]&gt;60,"B2",Table1[[#This Row],[Previous Marks]]&gt;50,"C1",Table1[[#This Row],[Previous Marks]]&gt;40,"C2")</f>
        <v>B2</v>
      </c>
      <c r="F969">
        <v>78</v>
      </c>
    </row>
    <row r="970" spans="2:6" x14ac:dyDescent="0.3">
      <c r="B970">
        <v>90</v>
      </c>
      <c r="C970" t="str" cm="1">
        <f t="array" ref="C970">_xlfn.IFS(B970&gt;90,"A1",B970&gt;80,"A2",B970&gt;70,"B1",B970&gt;60,"B2",B970&gt;50,"C1",B970&gt;40,"C2")</f>
        <v>A2</v>
      </c>
      <c r="D970">
        <v>65</v>
      </c>
      <c r="E970" t="str" cm="1">
        <f t="array" ref="E970">_xlfn.IFS(Table1[[#This Row],[Previous Marks]]&gt;90,"A1",Table1[[#This Row],[Previous Marks]]&gt;80,"A2",Table1[[#This Row],[Previous Marks]]&gt;70,"B1",Table1[[#This Row],[Previous Marks]]&gt;60,"B2",Table1[[#This Row],[Previous Marks]]&gt;50,"C1",Table1[[#This Row],[Previous Marks]]&gt;40,"C2")</f>
        <v>B2</v>
      </c>
      <c r="F970">
        <v>90</v>
      </c>
    </row>
    <row r="971" spans="2:6" x14ac:dyDescent="0.3">
      <c r="B971">
        <v>78</v>
      </c>
      <c r="C971" t="str" cm="1">
        <f t="array" ref="C971">_xlfn.IFS(B971&gt;90,"A1",B971&gt;80,"A2",B971&gt;70,"B1",B971&gt;60,"B2",B971&gt;50,"C1",B971&gt;40,"C2")</f>
        <v>B1</v>
      </c>
      <c r="D971">
        <v>60</v>
      </c>
      <c r="E971" t="str" cm="1">
        <f t="array" ref="E971">_xlfn.IFS(Table1[[#This Row],[Previous Marks]]&gt;90,"A1",Table1[[#This Row],[Previous Marks]]&gt;80,"A2",Table1[[#This Row],[Previous Marks]]&gt;70,"B1",Table1[[#This Row],[Previous Marks]]&gt;60,"B2",Table1[[#This Row],[Previous Marks]]&gt;50,"C1",Table1[[#This Row],[Previous Marks]]&gt;40,"C2")</f>
        <v>C1</v>
      </c>
      <c r="F971">
        <v>78</v>
      </c>
    </row>
    <row r="972" spans="2:6" x14ac:dyDescent="0.3">
      <c r="B972">
        <v>92</v>
      </c>
      <c r="C972" t="str" cm="1">
        <f t="array" ref="C972">_xlfn.IFS(B972&gt;90,"A1",B972&gt;80,"A2",B972&gt;70,"B1",B972&gt;60,"B2",B972&gt;50,"C1",B972&gt;40,"C2")</f>
        <v>A1</v>
      </c>
      <c r="D972">
        <v>70</v>
      </c>
      <c r="E972" t="str" cm="1">
        <f t="array" ref="E972">_xlfn.IFS(Table1[[#This Row],[Previous Marks]]&gt;90,"A1",Table1[[#This Row],[Previous Marks]]&gt;80,"A2",Table1[[#This Row],[Previous Marks]]&gt;70,"B1",Table1[[#This Row],[Previous Marks]]&gt;60,"B2",Table1[[#This Row],[Previous Marks]]&gt;50,"C1",Table1[[#This Row],[Previous Marks]]&gt;40,"C2")</f>
        <v>B2</v>
      </c>
      <c r="F972">
        <v>91</v>
      </c>
    </row>
    <row r="973" spans="2:6" x14ac:dyDescent="0.3">
      <c r="B973">
        <v>87</v>
      </c>
      <c r="C973" t="str" cm="1">
        <f t="array" ref="C973">_xlfn.IFS(B973&gt;90,"A1",B973&gt;80,"A2",B973&gt;70,"B1",B973&gt;60,"B2",B973&gt;50,"C1",B973&gt;40,"C2")</f>
        <v>A2</v>
      </c>
      <c r="D973">
        <v>70</v>
      </c>
      <c r="E973" t="str" cm="1">
        <f t="array" ref="E973">_xlfn.IFS(Table1[[#This Row],[Previous Marks]]&gt;90,"A1",Table1[[#This Row],[Previous Marks]]&gt;80,"A2",Table1[[#This Row],[Previous Marks]]&gt;70,"B1",Table1[[#This Row],[Previous Marks]]&gt;60,"B2",Table1[[#This Row],[Previous Marks]]&gt;50,"C1",Table1[[#This Row],[Previous Marks]]&gt;40,"C2")</f>
        <v>B2</v>
      </c>
      <c r="F973">
        <v>85</v>
      </c>
    </row>
    <row r="974" spans="2:6" x14ac:dyDescent="0.3">
      <c r="B974">
        <v>92</v>
      </c>
      <c r="C974" t="str" cm="1">
        <f t="array" ref="C974">_xlfn.IFS(B974&gt;90,"A1",B974&gt;80,"A2",B974&gt;70,"B1",B974&gt;60,"B2",B974&gt;50,"C1",B974&gt;40,"C2")</f>
        <v>A1</v>
      </c>
      <c r="D974">
        <v>70</v>
      </c>
      <c r="E974" t="str" cm="1">
        <f t="array" ref="E974">_xlfn.IFS(Table1[[#This Row],[Previous Marks]]&gt;90,"A1",Table1[[#This Row],[Previous Marks]]&gt;80,"A2",Table1[[#This Row],[Previous Marks]]&gt;70,"B1",Table1[[#This Row],[Previous Marks]]&gt;60,"B2",Table1[[#This Row],[Previous Marks]]&gt;50,"C1",Table1[[#This Row],[Previous Marks]]&gt;40,"C2")</f>
        <v>B2</v>
      </c>
      <c r="F974">
        <v>85</v>
      </c>
    </row>
    <row r="975" spans="2:6" x14ac:dyDescent="0.3">
      <c r="B975">
        <v>87</v>
      </c>
      <c r="C975" t="str" cm="1">
        <f t="array" ref="C975">_xlfn.IFS(B975&gt;90,"A1",B975&gt;80,"A2",B975&gt;70,"B1",B975&gt;60,"B2",B975&gt;50,"C1",B975&gt;40,"C2")</f>
        <v>A2</v>
      </c>
      <c r="D975">
        <v>60</v>
      </c>
      <c r="E975" t="str" cm="1">
        <f t="array" ref="E975">_xlfn.IFS(Table1[[#This Row],[Previous Marks]]&gt;90,"A1",Table1[[#This Row],[Previous Marks]]&gt;80,"A2",Table1[[#This Row],[Previous Marks]]&gt;70,"B1",Table1[[#This Row],[Previous Marks]]&gt;60,"B2",Table1[[#This Row],[Previous Marks]]&gt;50,"C1",Table1[[#This Row],[Previous Marks]]&gt;40,"C2")</f>
        <v>C1</v>
      </c>
      <c r="F975">
        <v>70</v>
      </c>
    </row>
    <row r="976" spans="2:6" x14ac:dyDescent="0.3">
      <c r="B976">
        <v>87</v>
      </c>
      <c r="C976" t="str" cm="1">
        <f t="array" ref="C976">_xlfn.IFS(B976&gt;90,"A1",B976&gt;80,"A2",B976&gt;70,"B1",B976&gt;60,"B2",B976&gt;50,"C1",B976&gt;40,"C2")</f>
        <v>A2</v>
      </c>
      <c r="D976">
        <v>65</v>
      </c>
      <c r="E976" t="str" cm="1">
        <f t="array" ref="E976">_xlfn.IFS(Table1[[#This Row],[Previous Marks]]&gt;90,"A1",Table1[[#This Row],[Previous Marks]]&gt;80,"A2",Table1[[#This Row],[Previous Marks]]&gt;70,"B1",Table1[[#This Row],[Previous Marks]]&gt;60,"B2",Table1[[#This Row],[Previous Marks]]&gt;50,"C1",Table1[[#This Row],[Previous Marks]]&gt;40,"C2")</f>
        <v>B2</v>
      </c>
      <c r="F976">
        <v>78</v>
      </c>
    </row>
    <row r="977" spans="2:6" x14ac:dyDescent="0.3">
      <c r="B977">
        <v>90</v>
      </c>
      <c r="C977" t="str" cm="1">
        <f t="array" ref="C977">_xlfn.IFS(B977&gt;90,"A1",B977&gt;80,"A2",B977&gt;70,"B1",B977&gt;60,"B2",B977&gt;50,"C1",B977&gt;40,"C2")</f>
        <v>A2</v>
      </c>
      <c r="D977">
        <v>82</v>
      </c>
      <c r="E977" t="str" cm="1">
        <f t="array" ref="E977">_xlfn.IFS(Table1[[#This Row],[Previous Marks]]&gt;90,"A1",Table1[[#This Row],[Previous Marks]]&gt;80,"A2",Table1[[#This Row],[Previous Marks]]&gt;70,"B1",Table1[[#This Row],[Previous Marks]]&gt;60,"B2",Table1[[#This Row],[Previous Marks]]&gt;50,"C1",Table1[[#This Row],[Previous Marks]]&gt;40,"C2")</f>
        <v>A2</v>
      </c>
      <c r="F977">
        <v>78</v>
      </c>
    </row>
    <row r="978" spans="2:6" x14ac:dyDescent="0.3">
      <c r="B978">
        <v>72</v>
      </c>
      <c r="C978" t="str" cm="1">
        <f t="array" ref="C978">_xlfn.IFS(B978&gt;90,"A1",B978&gt;80,"A2",B978&gt;70,"B1",B978&gt;60,"B2",B978&gt;50,"C1",B978&gt;40,"C2")</f>
        <v>B1</v>
      </c>
      <c r="D978">
        <v>78</v>
      </c>
      <c r="E978" t="str" cm="1">
        <f t="array" ref="E978">_xlfn.IFS(Table1[[#This Row],[Previous Marks]]&gt;90,"A1",Table1[[#This Row],[Previous Marks]]&gt;80,"A2",Table1[[#This Row],[Previous Marks]]&gt;70,"B1",Table1[[#This Row],[Previous Marks]]&gt;60,"B2",Table1[[#This Row],[Previous Marks]]&gt;50,"C1",Table1[[#This Row],[Previous Marks]]&gt;40,"C2")</f>
        <v>B1</v>
      </c>
      <c r="F978">
        <v>78</v>
      </c>
    </row>
    <row r="979" spans="2:6" x14ac:dyDescent="0.3">
      <c r="B979">
        <v>68</v>
      </c>
      <c r="C979" t="str" cm="1">
        <f t="array" ref="C979">_xlfn.IFS(B979&gt;90,"A1",B979&gt;80,"A2",B979&gt;70,"B1",B979&gt;60,"B2",B979&gt;50,"C1",B979&gt;40,"C2")</f>
        <v>B2</v>
      </c>
      <c r="D979">
        <v>82</v>
      </c>
      <c r="E979" t="str" cm="1">
        <f t="array" ref="E979">_xlfn.IFS(Table1[[#This Row],[Previous Marks]]&gt;90,"A1",Table1[[#This Row],[Previous Marks]]&gt;80,"A2",Table1[[#This Row],[Previous Marks]]&gt;70,"B1",Table1[[#This Row],[Previous Marks]]&gt;60,"B2",Table1[[#This Row],[Previous Marks]]&gt;50,"C1",Table1[[#This Row],[Previous Marks]]&gt;40,"C2")</f>
        <v>A2</v>
      </c>
      <c r="F979">
        <v>91</v>
      </c>
    </row>
    <row r="980" spans="2:6" x14ac:dyDescent="0.3">
      <c r="B980">
        <v>68</v>
      </c>
      <c r="C980" t="str" cm="1">
        <f t="array" ref="C980">_xlfn.IFS(B980&gt;90,"A1",B980&gt;80,"A2",B980&gt;70,"B1",B980&gt;60,"B2",B980&gt;50,"C1",B980&gt;40,"C2")</f>
        <v>B2</v>
      </c>
      <c r="D980">
        <v>78</v>
      </c>
      <c r="E980" t="str" cm="1">
        <f t="array" ref="E980">_xlfn.IFS(Table1[[#This Row],[Previous Marks]]&gt;90,"A1",Table1[[#This Row],[Previous Marks]]&gt;80,"A2",Table1[[#This Row],[Previous Marks]]&gt;70,"B1",Table1[[#This Row],[Previous Marks]]&gt;60,"B2",Table1[[#This Row],[Previous Marks]]&gt;50,"C1",Table1[[#This Row],[Previous Marks]]&gt;40,"C2")</f>
        <v>B1</v>
      </c>
      <c r="F980">
        <v>70</v>
      </c>
    </row>
    <row r="981" spans="2:6" x14ac:dyDescent="0.3">
      <c r="B981">
        <v>90</v>
      </c>
      <c r="C981" t="str" cm="1">
        <f t="array" ref="C981">_xlfn.IFS(B981&gt;90,"A1",B981&gt;80,"A2",B981&gt;70,"B1",B981&gt;60,"B2",B981&gt;50,"C1",B981&gt;40,"C2")</f>
        <v>A2</v>
      </c>
      <c r="D981">
        <v>60</v>
      </c>
      <c r="E981" t="str" cm="1">
        <f t="array" ref="E981">_xlfn.IFS(Table1[[#This Row],[Previous Marks]]&gt;90,"A1",Table1[[#This Row],[Previous Marks]]&gt;80,"A2",Table1[[#This Row],[Previous Marks]]&gt;70,"B1",Table1[[#This Row],[Previous Marks]]&gt;60,"B2",Table1[[#This Row],[Previous Marks]]&gt;50,"C1",Table1[[#This Row],[Previous Marks]]&gt;40,"C2")</f>
        <v>C1</v>
      </c>
      <c r="F981">
        <v>95</v>
      </c>
    </row>
    <row r="982" spans="2:6" x14ac:dyDescent="0.3">
      <c r="B982">
        <v>92</v>
      </c>
      <c r="C982" t="str" cm="1">
        <f t="array" ref="C982">_xlfn.IFS(B982&gt;90,"A1",B982&gt;80,"A2",B982&gt;70,"B1",B982&gt;60,"B2",B982&gt;50,"C1",B982&gt;40,"C2")</f>
        <v>A1</v>
      </c>
      <c r="D982">
        <v>86</v>
      </c>
      <c r="E982" t="str" cm="1">
        <f t="array" ref="E982">_xlfn.IFS(Table1[[#This Row],[Previous Marks]]&gt;90,"A1",Table1[[#This Row],[Previous Marks]]&gt;80,"A2",Table1[[#This Row],[Previous Marks]]&gt;70,"B1",Table1[[#This Row],[Previous Marks]]&gt;60,"B2",Table1[[#This Row],[Previous Marks]]&gt;50,"C1",Table1[[#This Row],[Previous Marks]]&gt;40,"C2")</f>
        <v>A2</v>
      </c>
      <c r="F982">
        <v>90</v>
      </c>
    </row>
    <row r="983" spans="2:6" x14ac:dyDescent="0.3">
      <c r="B983">
        <v>92</v>
      </c>
      <c r="C983" t="str" cm="1">
        <f t="array" ref="C983">_xlfn.IFS(B983&gt;90,"A1",B983&gt;80,"A2",B983&gt;70,"B1",B983&gt;60,"B2",B983&gt;50,"C1",B983&gt;40,"C2")</f>
        <v>A1</v>
      </c>
      <c r="D983">
        <v>82</v>
      </c>
      <c r="E983" t="str" cm="1">
        <f t="array" ref="E983">_xlfn.IFS(Table1[[#This Row],[Previous Marks]]&gt;90,"A1",Table1[[#This Row],[Previous Marks]]&gt;80,"A2",Table1[[#This Row],[Previous Marks]]&gt;70,"B1",Table1[[#This Row],[Previous Marks]]&gt;60,"B2",Table1[[#This Row],[Previous Marks]]&gt;50,"C1",Table1[[#This Row],[Previous Marks]]&gt;40,"C2")</f>
        <v>A2</v>
      </c>
      <c r="F983">
        <v>91</v>
      </c>
    </row>
    <row r="984" spans="2:6" x14ac:dyDescent="0.3">
      <c r="B984">
        <v>80</v>
      </c>
      <c r="C984" t="str" cm="1">
        <f t="array" ref="C984">_xlfn.IFS(B984&gt;90,"A1",B984&gt;80,"A2",B984&gt;70,"B1",B984&gt;60,"B2",B984&gt;50,"C1",B984&gt;40,"C2")</f>
        <v>B1</v>
      </c>
      <c r="D984">
        <v>78</v>
      </c>
      <c r="E984" t="str" cm="1">
        <f t="array" ref="E984">_xlfn.IFS(Table1[[#This Row],[Previous Marks]]&gt;90,"A1",Table1[[#This Row],[Previous Marks]]&gt;80,"A2",Table1[[#This Row],[Previous Marks]]&gt;70,"B1",Table1[[#This Row],[Previous Marks]]&gt;60,"B2",Table1[[#This Row],[Previous Marks]]&gt;50,"C1",Table1[[#This Row],[Previous Marks]]&gt;40,"C2")</f>
        <v>B1</v>
      </c>
      <c r="F984">
        <v>91</v>
      </c>
    </row>
    <row r="985" spans="2:6" x14ac:dyDescent="0.3">
      <c r="B985">
        <v>62</v>
      </c>
      <c r="C985" t="str" cm="1">
        <f t="array" ref="C985">_xlfn.IFS(B985&gt;90,"A1",B985&gt;80,"A2",B985&gt;70,"B1",B985&gt;60,"B2",B985&gt;50,"C1",B985&gt;40,"C2")</f>
        <v>B2</v>
      </c>
      <c r="D985">
        <v>70</v>
      </c>
      <c r="E985" t="str" cm="1">
        <f t="array" ref="E985">_xlfn.IFS(Table1[[#This Row],[Previous Marks]]&gt;90,"A1",Table1[[#This Row],[Previous Marks]]&gt;80,"A2",Table1[[#This Row],[Previous Marks]]&gt;70,"B1",Table1[[#This Row],[Previous Marks]]&gt;60,"B2",Table1[[#This Row],[Previous Marks]]&gt;50,"C1",Table1[[#This Row],[Previous Marks]]&gt;40,"C2")</f>
        <v>B2</v>
      </c>
      <c r="F985">
        <v>88</v>
      </c>
    </row>
    <row r="986" spans="2:6" x14ac:dyDescent="0.3">
      <c r="B986">
        <v>88</v>
      </c>
      <c r="C986" t="str" cm="1">
        <f t="array" ref="C986">_xlfn.IFS(B986&gt;90,"A1",B986&gt;80,"A2",B986&gt;70,"B1",B986&gt;60,"B2",B986&gt;50,"C1",B986&gt;40,"C2")</f>
        <v>A2</v>
      </c>
      <c r="D986">
        <v>70</v>
      </c>
      <c r="E986" t="str" cm="1">
        <f t="array" ref="E986">_xlfn.IFS(Table1[[#This Row],[Previous Marks]]&gt;90,"A1",Table1[[#This Row],[Previous Marks]]&gt;80,"A2",Table1[[#This Row],[Previous Marks]]&gt;70,"B1",Table1[[#This Row],[Previous Marks]]&gt;60,"B2",Table1[[#This Row],[Previous Marks]]&gt;50,"C1",Table1[[#This Row],[Previous Marks]]&gt;40,"C2")</f>
        <v>B2</v>
      </c>
      <c r="F986">
        <v>82</v>
      </c>
    </row>
    <row r="987" spans="2:6" x14ac:dyDescent="0.3">
      <c r="B987">
        <v>92</v>
      </c>
      <c r="C987" t="str" cm="1">
        <f t="array" ref="C987">_xlfn.IFS(B987&gt;90,"A1",B987&gt;80,"A2",B987&gt;70,"B1",B987&gt;60,"B2",B987&gt;50,"C1",B987&gt;40,"C2")</f>
        <v>A1</v>
      </c>
      <c r="D987">
        <v>85</v>
      </c>
      <c r="E987" t="str" cm="1">
        <f t="array" ref="E987">_xlfn.IFS(Table1[[#This Row],[Previous Marks]]&gt;90,"A1",Table1[[#This Row],[Previous Marks]]&gt;80,"A2",Table1[[#This Row],[Previous Marks]]&gt;70,"B1",Table1[[#This Row],[Previous Marks]]&gt;60,"B2",Table1[[#This Row],[Previous Marks]]&gt;50,"C1",Table1[[#This Row],[Previous Marks]]&gt;40,"C2")</f>
        <v>A2</v>
      </c>
      <c r="F987">
        <v>78</v>
      </c>
    </row>
    <row r="988" spans="2:6" x14ac:dyDescent="0.3">
      <c r="B988">
        <v>88</v>
      </c>
      <c r="C988" t="str" cm="1">
        <f t="array" ref="C988">_xlfn.IFS(B988&gt;90,"A1",B988&gt;80,"A2",B988&gt;70,"B1",B988&gt;60,"B2",B988&gt;50,"C1",B988&gt;40,"C2")</f>
        <v>A2</v>
      </c>
      <c r="D988">
        <v>88</v>
      </c>
      <c r="E988" t="str" cm="1">
        <f t="array" ref="E988">_xlfn.IFS(Table1[[#This Row],[Previous Marks]]&gt;90,"A1",Table1[[#This Row],[Previous Marks]]&gt;80,"A2",Table1[[#This Row],[Previous Marks]]&gt;70,"B1",Table1[[#This Row],[Previous Marks]]&gt;60,"B2",Table1[[#This Row],[Previous Marks]]&gt;50,"C1",Table1[[#This Row],[Previous Marks]]&gt;40,"C2")</f>
        <v>A2</v>
      </c>
      <c r="F988">
        <v>85</v>
      </c>
    </row>
    <row r="989" spans="2:6" x14ac:dyDescent="0.3">
      <c r="B989">
        <v>88</v>
      </c>
      <c r="C989" t="str" cm="1">
        <f t="array" ref="C989">_xlfn.IFS(B989&gt;90,"A1",B989&gt;80,"A2",B989&gt;70,"B1",B989&gt;60,"B2",B989&gt;50,"C1",B989&gt;40,"C2")</f>
        <v>A2</v>
      </c>
      <c r="D989">
        <v>86</v>
      </c>
      <c r="E989" t="str" cm="1">
        <f t="array" ref="E989">_xlfn.IFS(Table1[[#This Row],[Previous Marks]]&gt;90,"A1",Table1[[#This Row],[Previous Marks]]&gt;80,"A2",Table1[[#This Row],[Previous Marks]]&gt;70,"B1",Table1[[#This Row],[Previous Marks]]&gt;60,"B2",Table1[[#This Row],[Previous Marks]]&gt;50,"C1",Table1[[#This Row],[Previous Marks]]&gt;40,"C2")</f>
        <v>A2</v>
      </c>
      <c r="F989">
        <v>92</v>
      </c>
    </row>
    <row r="990" spans="2:6" x14ac:dyDescent="0.3">
      <c r="B990">
        <v>78</v>
      </c>
      <c r="C990" t="str" cm="1">
        <f t="array" ref="C990">_xlfn.IFS(B990&gt;90,"A1",B990&gt;80,"A2",B990&gt;70,"B1",B990&gt;60,"B2",B990&gt;50,"C1",B990&gt;40,"C2")</f>
        <v>B1</v>
      </c>
      <c r="D990">
        <v>85</v>
      </c>
      <c r="E990" t="str" cm="1">
        <f t="array" ref="E990">_xlfn.IFS(Table1[[#This Row],[Previous Marks]]&gt;90,"A1",Table1[[#This Row],[Previous Marks]]&gt;80,"A2",Table1[[#This Row],[Previous Marks]]&gt;70,"B1",Table1[[#This Row],[Previous Marks]]&gt;60,"B2",Table1[[#This Row],[Previous Marks]]&gt;50,"C1",Table1[[#This Row],[Previous Marks]]&gt;40,"C2")</f>
        <v>A2</v>
      </c>
      <c r="F990">
        <v>88</v>
      </c>
    </row>
    <row r="991" spans="2:6" x14ac:dyDescent="0.3">
      <c r="B991">
        <v>68</v>
      </c>
      <c r="C991" t="str" cm="1">
        <f t="array" ref="C991">_xlfn.IFS(B991&gt;90,"A1",B991&gt;80,"A2",B991&gt;70,"B1",B991&gt;60,"B2",B991&gt;50,"C1",B991&gt;40,"C2")</f>
        <v>B2</v>
      </c>
      <c r="D991">
        <v>88</v>
      </c>
      <c r="E991" t="str" cm="1">
        <f t="array" ref="E991">_xlfn.IFS(Table1[[#This Row],[Previous Marks]]&gt;90,"A1",Table1[[#This Row],[Previous Marks]]&gt;80,"A2",Table1[[#This Row],[Previous Marks]]&gt;70,"B1",Table1[[#This Row],[Previous Marks]]&gt;60,"B2",Table1[[#This Row],[Previous Marks]]&gt;50,"C1",Table1[[#This Row],[Previous Marks]]&gt;40,"C2")</f>
        <v>A2</v>
      </c>
      <c r="F991">
        <v>91</v>
      </c>
    </row>
    <row r="992" spans="2:6" x14ac:dyDescent="0.3">
      <c r="B992">
        <v>80</v>
      </c>
      <c r="C992" t="str" cm="1">
        <f t="array" ref="C992">_xlfn.IFS(B992&gt;90,"A1",B992&gt;80,"A2",B992&gt;70,"B1",B992&gt;60,"B2",B992&gt;50,"C1",B992&gt;40,"C2")</f>
        <v>B1</v>
      </c>
      <c r="D992">
        <v>85</v>
      </c>
      <c r="E992" t="str" cm="1">
        <f t="array" ref="E992">_xlfn.IFS(Table1[[#This Row],[Previous Marks]]&gt;90,"A1",Table1[[#This Row],[Previous Marks]]&gt;80,"A2",Table1[[#This Row],[Previous Marks]]&gt;70,"B1",Table1[[#This Row],[Previous Marks]]&gt;60,"B2",Table1[[#This Row],[Previous Marks]]&gt;50,"C1",Table1[[#This Row],[Previous Marks]]&gt;40,"C2")</f>
        <v>A2</v>
      </c>
      <c r="F992">
        <v>85</v>
      </c>
    </row>
    <row r="993" spans="2:6" x14ac:dyDescent="0.3">
      <c r="B993">
        <v>90</v>
      </c>
      <c r="C993" t="str" cm="1">
        <f t="array" ref="C993">_xlfn.IFS(B993&gt;90,"A1",B993&gt;80,"A2",B993&gt;70,"B1",B993&gt;60,"B2",B993&gt;50,"C1",B993&gt;40,"C2")</f>
        <v>A2</v>
      </c>
      <c r="D993">
        <v>70</v>
      </c>
      <c r="E993" t="str" cm="1">
        <f t="array" ref="E993">_xlfn.IFS(Table1[[#This Row],[Previous Marks]]&gt;90,"A1",Table1[[#This Row],[Previous Marks]]&gt;80,"A2",Table1[[#This Row],[Previous Marks]]&gt;70,"B1",Table1[[#This Row],[Previous Marks]]&gt;60,"B2",Table1[[#This Row],[Previous Marks]]&gt;50,"C1",Table1[[#This Row],[Previous Marks]]&gt;40,"C2")</f>
        <v>B2</v>
      </c>
      <c r="F993">
        <v>85</v>
      </c>
    </row>
    <row r="994" spans="2:6" x14ac:dyDescent="0.3">
      <c r="B994">
        <v>68</v>
      </c>
      <c r="C994" t="str" cm="1">
        <f t="array" ref="C994">_xlfn.IFS(B994&gt;90,"A1",B994&gt;80,"A2",B994&gt;70,"B1",B994&gt;60,"B2",B994&gt;50,"C1",B994&gt;40,"C2")</f>
        <v>B2</v>
      </c>
      <c r="D994">
        <v>90</v>
      </c>
      <c r="E994" t="str" cm="1">
        <f t="array" ref="E994">_xlfn.IFS(Table1[[#This Row],[Previous Marks]]&gt;90,"A1",Table1[[#This Row],[Previous Marks]]&gt;80,"A2",Table1[[#This Row],[Previous Marks]]&gt;70,"B1",Table1[[#This Row],[Previous Marks]]&gt;60,"B2",Table1[[#This Row],[Previous Marks]]&gt;50,"C1",Table1[[#This Row],[Previous Marks]]&gt;40,"C2")</f>
        <v>A2</v>
      </c>
      <c r="F994">
        <v>91</v>
      </c>
    </row>
    <row r="995" spans="2:6" x14ac:dyDescent="0.3">
      <c r="B995">
        <v>87</v>
      </c>
      <c r="C995" t="str" cm="1">
        <f t="array" ref="C995">_xlfn.IFS(B995&gt;90,"A1",B995&gt;80,"A2",B995&gt;70,"B1",B995&gt;60,"B2",B995&gt;50,"C1",B995&gt;40,"C2")</f>
        <v>A2</v>
      </c>
      <c r="D995">
        <v>60</v>
      </c>
      <c r="E995" t="str" cm="1">
        <f t="array" ref="E995">_xlfn.IFS(Table1[[#This Row],[Previous Marks]]&gt;90,"A1",Table1[[#This Row],[Previous Marks]]&gt;80,"A2",Table1[[#This Row],[Previous Marks]]&gt;70,"B1",Table1[[#This Row],[Previous Marks]]&gt;60,"B2",Table1[[#This Row],[Previous Marks]]&gt;50,"C1",Table1[[#This Row],[Previous Marks]]&gt;40,"C2")</f>
        <v>C1</v>
      </c>
      <c r="F995">
        <v>90</v>
      </c>
    </row>
    <row r="996" spans="2:6" x14ac:dyDescent="0.3">
      <c r="B996">
        <v>62</v>
      </c>
      <c r="C996" t="str" cm="1">
        <f t="array" ref="C996">_xlfn.IFS(B996&gt;90,"A1",B996&gt;80,"A2",B996&gt;70,"B1",B996&gt;60,"B2",B996&gt;50,"C1",B996&gt;40,"C2")</f>
        <v>B2</v>
      </c>
      <c r="D996">
        <v>60</v>
      </c>
      <c r="E996" t="str" cm="1">
        <f t="array" ref="E996">_xlfn.IFS(Table1[[#This Row],[Previous Marks]]&gt;90,"A1",Table1[[#This Row],[Previous Marks]]&gt;80,"A2",Table1[[#This Row],[Previous Marks]]&gt;70,"B1",Table1[[#This Row],[Previous Marks]]&gt;60,"B2",Table1[[#This Row],[Previous Marks]]&gt;50,"C1",Table1[[#This Row],[Previous Marks]]&gt;40,"C2")</f>
        <v>C1</v>
      </c>
      <c r="F996">
        <v>78</v>
      </c>
    </row>
    <row r="997" spans="2:6" x14ac:dyDescent="0.3">
      <c r="B997">
        <v>72</v>
      </c>
      <c r="C997" t="str" cm="1">
        <f t="array" ref="C997">_xlfn.IFS(B997&gt;90,"A1",B997&gt;80,"A2",B997&gt;70,"B1",B997&gt;60,"B2",B997&gt;50,"C1",B997&gt;40,"C2")</f>
        <v>B1</v>
      </c>
      <c r="D997">
        <v>77.598759048603924</v>
      </c>
      <c r="E997" t="str" cm="1">
        <f t="array" ref="E997">_xlfn.IFS(Table1[[#This Row],[Previous Marks]]&gt;90,"A1",Table1[[#This Row],[Previous Marks]]&gt;80,"A2",Table1[[#This Row],[Previous Marks]]&gt;70,"B1",Table1[[#This Row],[Previous Marks]]&gt;60,"B2",Table1[[#This Row],[Previous Marks]]&gt;50,"C1",Table1[[#This Row],[Previous Marks]]&gt;40,"C2")</f>
        <v>B1</v>
      </c>
      <c r="F997">
        <v>85</v>
      </c>
    </row>
    <row r="998" spans="2:6" x14ac:dyDescent="0.3">
      <c r="B998">
        <v>90</v>
      </c>
      <c r="C998" t="str" cm="1">
        <f t="array" ref="C998">_xlfn.IFS(B998&gt;90,"A1",B998&gt;80,"A2",B998&gt;70,"B1",B998&gt;60,"B2",B998&gt;50,"C1",B998&gt;40,"C2")</f>
        <v>A2</v>
      </c>
      <c r="D998">
        <v>86</v>
      </c>
      <c r="E998" t="str" cm="1">
        <f t="array" ref="E998">_xlfn.IFS(Table1[[#This Row],[Previous Marks]]&gt;90,"A1",Table1[[#This Row],[Previous Marks]]&gt;80,"A2",Table1[[#This Row],[Previous Marks]]&gt;70,"B1",Table1[[#This Row],[Previous Marks]]&gt;60,"B2",Table1[[#This Row],[Previous Marks]]&gt;50,"C1",Table1[[#This Row],[Previous Marks]]&gt;40,"C2")</f>
        <v>A2</v>
      </c>
      <c r="F998">
        <v>91</v>
      </c>
    </row>
    <row r="999" spans="2:6" x14ac:dyDescent="0.3">
      <c r="B999">
        <v>68</v>
      </c>
      <c r="C999" t="str" cm="1">
        <f t="array" ref="C999">_xlfn.IFS(B999&gt;90,"A1",B999&gt;80,"A2",B999&gt;70,"B1",B999&gt;60,"B2",B999&gt;50,"C1",B999&gt;40,"C2")</f>
        <v>B2</v>
      </c>
      <c r="D999">
        <v>82</v>
      </c>
      <c r="E999" t="str" cm="1">
        <f t="array" ref="E999">_xlfn.IFS(Table1[[#This Row],[Previous Marks]]&gt;90,"A1",Table1[[#This Row],[Previous Marks]]&gt;80,"A2",Table1[[#This Row],[Previous Marks]]&gt;70,"B1",Table1[[#This Row],[Previous Marks]]&gt;60,"B2",Table1[[#This Row],[Previous Marks]]&gt;50,"C1",Table1[[#This Row],[Previous Marks]]&gt;40,"C2")</f>
        <v>A2</v>
      </c>
      <c r="F999">
        <v>85</v>
      </c>
    </row>
    <row r="1000" spans="2:6" x14ac:dyDescent="0.3">
      <c r="B1000">
        <v>85</v>
      </c>
      <c r="C1000" t="str" cm="1">
        <f t="array" ref="C1000">_xlfn.IFS(B1000&gt;90,"A1",B1000&gt;80,"A2",B1000&gt;70,"B1",B1000&gt;60,"B2",B1000&gt;50,"C1",B1000&gt;40,"C2")</f>
        <v>A2</v>
      </c>
      <c r="D1000">
        <v>60</v>
      </c>
      <c r="E1000" t="str" cm="1">
        <f t="array" ref="E1000">_xlfn.IFS(Table1[[#This Row],[Previous Marks]]&gt;90,"A1",Table1[[#This Row],[Previous Marks]]&gt;80,"A2",Table1[[#This Row],[Previous Marks]]&gt;70,"B1",Table1[[#This Row],[Previous Marks]]&gt;60,"B2",Table1[[#This Row],[Previous Marks]]&gt;50,"C1",Table1[[#This Row],[Previous Marks]]&gt;40,"C2")</f>
        <v>C1</v>
      </c>
      <c r="F1000">
        <v>88</v>
      </c>
    </row>
    <row r="1001" spans="2:6" x14ac:dyDescent="0.3">
      <c r="B1001">
        <v>80.030208333333334</v>
      </c>
      <c r="C1001" t="str" cm="1">
        <f t="array" ref="C1001">_xlfn.IFS(B1001&gt;90,"A1",B1001&gt;80,"A2",B1001&gt;70,"B1",B1001&gt;60,"B2",B1001&gt;50,"C1",B1001&gt;40,"C2")</f>
        <v>A2</v>
      </c>
      <c r="D1001">
        <v>90</v>
      </c>
      <c r="E1001" t="str" cm="1">
        <f t="array" ref="E1001">_xlfn.IFS(Table1[[#This Row],[Previous Marks]]&gt;90,"A1",Table1[[#This Row],[Previous Marks]]&gt;80,"A2",Table1[[#This Row],[Previous Marks]]&gt;70,"B1",Table1[[#This Row],[Previous Marks]]&gt;60,"B2",Table1[[#This Row],[Previous Marks]]&gt;50,"C1",Table1[[#This Row],[Previous Marks]]&gt;40,"C2")</f>
        <v>A2</v>
      </c>
      <c r="F1001">
        <v>88</v>
      </c>
    </row>
  </sheetData>
  <conditionalFormatting sqref="B7">
    <cfRule type="cellIs" dxfId="0" priority="1" operator="greaterThan">
      <formula>90</formula>
    </cfRule>
  </conditionalFormatting>
  <dataValidations count="1">
    <dataValidation type="list" allowBlank="1" showInputMessage="1" showErrorMessage="1" sqref="H4" xr:uid="{644C78ED-1EA3-40F5-AE50-9155C0B8D0A7}">
      <formula1>$B$2:$B$1001</formula1>
    </dataValidation>
  </dataValidation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3FE6-5992-4550-A1B5-430B353CEEE0}">
  <dimension ref="A2:B13"/>
  <sheetViews>
    <sheetView workbookViewId="0">
      <selection activeCell="N13" sqref="N13"/>
    </sheetView>
  </sheetViews>
  <sheetFormatPr defaultRowHeight="14.4" x14ac:dyDescent="0.3"/>
  <cols>
    <col min="1" max="1" width="16.5546875" bestFit="1" customWidth="1"/>
    <col min="2" max="2" width="18.77734375" bestFit="1" customWidth="1"/>
    <col min="3" max="3" width="11" bestFit="1" customWidth="1"/>
    <col min="4" max="10" width="12" bestFit="1" customWidth="1"/>
    <col min="11" max="11" width="11" bestFit="1" customWidth="1"/>
    <col min="12" max="12" width="12" bestFit="1" customWidth="1"/>
  </cols>
  <sheetData>
    <row r="2" spans="1:2" x14ac:dyDescent="0.3">
      <c r="A2" s="1" t="s">
        <v>1001</v>
      </c>
      <c r="B2" t="s">
        <v>992</v>
      </c>
    </row>
    <row r="3" spans="1:2" x14ac:dyDescent="0.3">
      <c r="A3" s="2">
        <v>95</v>
      </c>
      <c r="B3">
        <v>78.578375400641022</v>
      </c>
    </row>
    <row r="4" spans="1:2" x14ac:dyDescent="0.3">
      <c r="A4" s="2">
        <v>92</v>
      </c>
      <c r="B4">
        <v>80.002843137254899</v>
      </c>
    </row>
    <row r="5" spans="1:2" x14ac:dyDescent="0.3">
      <c r="A5" s="2">
        <v>91</v>
      </c>
      <c r="B5">
        <v>80.148987268518525</v>
      </c>
    </row>
    <row r="6" spans="1:2" x14ac:dyDescent="0.3">
      <c r="A6" s="2">
        <v>90</v>
      </c>
      <c r="B6">
        <v>81.25519812091504</v>
      </c>
    </row>
    <row r="7" spans="1:2" x14ac:dyDescent="0.3">
      <c r="A7" s="2">
        <v>88</v>
      </c>
      <c r="B7">
        <v>78.034626831501825</v>
      </c>
    </row>
    <row r="8" spans="1:2" x14ac:dyDescent="0.3">
      <c r="A8" s="2">
        <v>85.510416666666671</v>
      </c>
      <c r="B8">
        <v>82.027265624999998</v>
      </c>
    </row>
    <row r="9" spans="1:2" x14ac:dyDescent="0.3">
      <c r="A9" s="2">
        <v>85</v>
      </c>
      <c r="B9">
        <v>80.500331959706969</v>
      </c>
    </row>
    <row r="10" spans="1:2" x14ac:dyDescent="0.3">
      <c r="A10" s="2">
        <v>82</v>
      </c>
      <c r="B10">
        <v>80.866089527027029</v>
      </c>
    </row>
    <row r="11" spans="1:2" x14ac:dyDescent="0.3">
      <c r="A11" s="2">
        <v>78</v>
      </c>
      <c r="B11">
        <v>80.169635903426808</v>
      </c>
    </row>
    <row r="12" spans="1:2" x14ac:dyDescent="0.3">
      <c r="A12" s="2">
        <v>70</v>
      </c>
      <c r="B12">
        <v>79.608888239875384</v>
      </c>
    </row>
    <row r="13" spans="1:2" x14ac:dyDescent="0.3">
      <c r="A13" s="2" t="s">
        <v>978</v>
      </c>
      <c r="B13">
        <v>80.03020833333332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E1D42-47BD-4BD4-9AA0-55BBE79D94B7}">
  <dimension ref="A1:K5"/>
  <sheetViews>
    <sheetView workbookViewId="0">
      <selection activeCell="N22" sqref="N22"/>
    </sheetView>
  </sheetViews>
  <sheetFormatPr defaultRowHeight="14.4" x14ac:dyDescent="0.3"/>
  <cols>
    <col min="1" max="1" width="16.6640625" bestFit="1" customWidth="1"/>
    <col min="2" max="2" width="18.77734375" bestFit="1" customWidth="1"/>
    <col min="10" max="10" width="18.88671875" bestFit="1" customWidth="1"/>
    <col min="11" max="11" width="19.21875" bestFit="1" customWidth="1"/>
  </cols>
  <sheetData>
    <row r="1" spans="1:11" x14ac:dyDescent="0.3">
      <c r="A1" s="1" t="s">
        <v>1002</v>
      </c>
      <c r="B1" t="s">
        <v>992</v>
      </c>
      <c r="J1" s="1" t="s">
        <v>1003</v>
      </c>
      <c r="K1" t="s">
        <v>992</v>
      </c>
    </row>
    <row r="2" spans="1:11" x14ac:dyDescent="0.3">
      <c r="A2" s="2" t="s">
        <v>12</v>
      </c>
      <c r="B2">
        <v>79.439926771117172</v>
      </c>
      <c r="J2" s="2" t="s">
        <v>993</v>
      </c>
      <c r="K2">
        <v>80.017673611111107</v>
      </c>
    </row>
    <row r="3" spans="1:11" x14ac:dyDescent="0.3">
      <c r="A3" s="2" t="s">
        <v>17</v>
      </c>
      <c r="B3">
        <v>80.312564890710391</v>
      </c>
      <c r="J3" s="2" t="s">
        <v>994</v>
      </c>
      <c r="K3">
        <v>80.041778846153832</v>
      </c>
    </row>
    <row r="4" spans="1:11" x14ac:dyDescent="0.3">
      <c r="A4" s="2" t="s">
        <v>15</v>
      </c>
      <c r="B4">
        <v>80.428118648373996</v>
      </c>
      <c r="J4" s="2" t="s">
        <v>978</v>
      </c>
      <c r="K4">
        <v>80.03020833333332</v>
      </c>
    </row>
    <row r="5" spans="1:11" x14ac:dyDescent="0.3">
      <c r="A5" s="2" t="s">
        <v>978</v>
      </c>
      <c r="B5">
        <v>80.03020833333332</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F2A63-FC82-424C-89B6-47A7494E31AC}">
  <dimension ref="A1:B6"/>
  <sheetViews>
    <sheetView workbookViewId="0">
      <selection activeCell="G7" sqref="G7"/>
    </sheetView>
  </sheetViews>
  <sheetFormatPr defaultRowHeight="14.4" x14ac:dyDescent="0.3"/>
  <cols>
    <col min="1" max="1" width="17.33203125" bestFit="1" customWidth="1"/>
    <col min="2" max="2" width="22.109375" bestFit="1" customWidth="1"/>
  </cols>
  <sheetData>
    <row r="1" spans="1:2" x14ac:dyDescent="0.3">
      <c r="A1" s="1" t="s">
        <v>1002</v>
      </c>
      <c r="B1" t="s">
        <v>979</v>
      </c>
    </row>
    <row r="2" spans="1:2" x14ac:dyDescent="0.3">
      <c r="A2" s="2" t="s">
        <v>12</v>
      </c>
      <c r="B2">
        <v>345</v>
      </c>
    </row>
    <row r="3" spans="1:2" x14ac:dyDescent="0.3">
      <c r="A3" s="2" t="s">
        <v>17</v>
      </c>
      <c r="B3">
        <v>305</v>
      </c>
    </row>
    <row r="4" spans="1:2" x14ac:dyDescent="0.3">
      <c r="A4" s="2" t="s">
        <v>15</v>
      </c>
      <c r="B4">
        <v>328</v>
      </c>
    </row>
    <row r="5" spans="1:2" x14ac:dyDescent="0.3">
      <c r="A5" s="2" t="s">
        <v>1021</v>
      </c>
    </row>
    <row r="6" spans="1:2" x14ac:dyDescent="0.3">
      <c r="A6" s="2" t="s">
        <v>978</v>
      </c>
      <c r="B6">
        <v>978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2E1DB-FF6A-4B1A-9426-D44058699586}">
  <dimension ref="A1"/>
  <sheetViews>
    <sheetView showGridLines="0" workbookViewId="0">
      <pane xSplit="2" ySplit="4" topLeftCell="C16" activePane="bottomRight" state="frozen"/>
      <selection pane="topRight" activeCell="C1" sqref="C1"/>
      <selection pane="bottomLeft" activeCell="A5" sqref="A5"/>
      <selection pane="bottomRight" activeCell="W24" sqref="W24"/>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34A32E-0A3D-4CFE-A145-E98245EFD9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student_performance_updated_100</vt:lpstr>
      <vt:lpstr>Summary</vt:lpstr>
      <vt:lpstr>Remarks Pivot Table</vt:lpstr>
      <vt:lpstr>REMARKS</vt:lpstr>
      <vt:lpstr>Analysis</vt:lpstr>
      <vt:lpstr>Attendance v Final Grade</vt:lpstr>
      <vt:lpstr>Parent Support v Final Grade</vt:lpstr>
      <vt:lpstr>Parent Support PV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NEERAJ</dc:creator>
  <cp:lastModifiedBy>Neeraj Rai</cp:lastModifiedBy>
  <dcterms:created xsi:type="dcterms:W3CDTF">2026-02-23T19:52:56Z</dcterms:created>
  <dcterms:modified xsi:type="dcterms:W3CDTF">2026-03-31T20:09:33Z</dcterms:modified>
</cp:coreProperties>
</file>